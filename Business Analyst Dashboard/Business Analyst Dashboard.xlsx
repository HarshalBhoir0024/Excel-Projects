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440d9e26f7100b98/Desktop/Data Science/Excel/Excel Project/Business Analyst Dashboard/"/>
    </mc:Choice>
  </mc:AlternateContent>
  <xr:revisionPtr revIDLastSave="34" documentId="13_ncr:1_{DEB421F3-1924-4448-BDB3-FA37AD9F171A}" xr6:coauthVersionLast="47" xr6:coauthVersionMax="47" xr10:uidLastSave="{79FC7109-0B21-42EC-9997-58E9A55489AE}"/>
  <bookViews>
    <workbookView xWindow="-108" yWindow="-108" windowWidth="23256" windowHeight="12456" activeTab="2" xr2:uid="{69144443-3813-4BBD-A9F0-D681F24BD99F}"/>
  </bookViews>
  <sheets>
    <sheet name="Dataset" sheetId="1" r:id="rId1"/>
    <sheet name="Dashboard" sheetId="13" r:id="rId2"/>
    <sheet name="Revenue by region" sheetId="6" r:id="rId3"/>
    <sheet name="Revenue by monthly trend" sheetId="7" r:id="rId4"/>
    <sheet name="Sales by category" sheetId="8" r:id="rId5"/>
    <sheet name="Customer segment Revenue Share" sheetId="9" r:id="rId6"/>
    <sheet name="Profit Margin by Category" sheetId="10" r:id="rId7"/>
    <sheet name="Top 10 Products by revenue" sheetId="11" r:id="rId8"/>
    <sheet name="Top Sales reps by Revenue" sheetId="12" r:id="rId9"/>
    <sheet name="KPI's" sheetId="15" r:id="rId10"/>
  </sheets>
  <definedNames>
    <definedName name="_xlnm._FilterDatabase" localSheetId="0" hidden="1">Dataset!$A$1:$S$1001</definedName>
    <definedName name="Slicer_Category">#N/A</definedName>
    <definedName name="Slicer_Product">#N/A</definedName>
  </definedNames>
  <calcPr calcId="191029"/>
  <pivotCaches>
    <pivotCache cacheId="9" r:id="rId11"/>
    <pivotCache cacheId="1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10" i="1" l="1"/>
  <c r="X8" i="1"/>
  <c r="X12" i="1"/>
</calcChain>
</file>

<file path=xl/sharedStrings.xml><?xml version="1.0" encoding="utf-8"?>
<sst xmlns="http://schemas.openxmlformats.org/spreadsheetml/2006/main" count="12102" uniqueCount="1494">
  <si>
    <t>Order ID</t>
  </si>
  <si>
    <t>Date</t>
  </si>
  <si>
    <t>Month</t>
  </si>
  <si>
    <t>Quarter</t>
  </si>
  <si>
    <t>Product</t>
  </si>
  <si>
    <t>Category</t>
  </si>
  <si>
    <t>Region</t>
  </si>
  <si>
    <t>City</t>
  </si>
  <si>
    <t>Customer Segment</t>
  </si>
  <si>
    <t>Sales Channel</t>
  </si>
  <si>
    <t>Sales Rep</t>
  </si>
  <si>
    <t>Unit Price (INR)</t>
  </si>
  <si>
    <t>Quantity</t>
  </si>
  <si>
    <t>Gross Revenue (INR)</t>
  </si>
  <si>
    <t>Discount (%)</t>
  </si>
  <si>
    <t>Net Revenue (INR)</t>
  </si>
  <si>
    <t>Margin (%)</t>
  </si>
  <si>
    <t>Profit (INR)</t>
  </si>
  <si>
    <t>Order Status</t>
  </si>
  <si>
    <t>ORD-2026-0001</t>
  </si>
  <si>
    <t>2026-11-04</t>
  </si>
  <si>
    <t>Nov</t>
  </si>
  <si>
    <t>Q4</t>
  </si>
  <si>
    <t>Tablet Ultra</t>
  </si>
  <si>
    <t>Electronics</t>
  </si>
  <si>
    <t>East</t>
  </si>
  <si>
    <t>Guwahati</t>
  </si>
  <si>
    <t>SMB</t>
  </si>
  <si>
    <t>B2B</t>
  </si>
  <si>
    <t>Rohit Das</t>
  </si>
  <si>
    <t>Cancelled</t>
  </si>
  <si>
    <t>ORD-2026-0002</t>
  </si>
  <si>
    <t>2026-12-17</t>
  </si>
  <si>
    <t>Dec</t>
  </si>
  <si>
    <t>Sofa 3-seater</t>
  </si>
  <si>
    <t>Furniture</t>
  </si>
  <si>
    <t>South</t>
  </si>
  <si>
    <t>Hyderabad</t>
  </si>
  <si>
    <t>Wholesale</t>
  </si>
  <si>
    <t>Neha Patel</t>
  </si>
  <si>
    <t>Fulfilled</t>
  </si>
  <si>
    <t>ORD-2026-0003</t>
  </si>
  <si>
    <t>2026-10-13</t>
  </si>
  <si>
    <t>Oct</t>
  </si>
  <si>
    <t>Olive Oil 1L</t>
  </si>
  <si>
    <t>Food</t>
  </si>
  <si>
    <t>Patna</t>
  </si>
  <si>
    <t>Online</t>
  </si>
  <si>
    <t>Priya Sharma</t>
  </si>
  <si>
    <t>ORD-2026-0004</t>
  </si>
  <si>
    <t>2026-10-27</t>
  </si>
  <si>
    <t>Football Pro</t>
  </si>
  <si>
    <t>Sports</t>
  </si>
  <si>
    <t>Central</t>
  </si>
  <si>
    <t>Raipur</t>
  </si>
  <si>
    <t>Retail</t>
  </si>
  <si>
    <t>Kavya Bhat</t>
  </si>
  <si>
    <t>ORD-2026-0005</t>
  </si>
  <si>
    <t>2026-09-03</t>
  </si>
  <si>
    <t>Sep</t>
  </si>
  <si>
    <t>Q3</t>
  </si>
  <si>
    <t>Eye Shadow Palette</t>
  </si>
  <si>
    <t>Cosmetics</t>
  </si>
  <si>
    <t>West</t>
  </si>
  <si>
    <t>Mumbai</t>
  </si>
  <si>
    <t>Partner</t>
  </si>
  <si>
    <t>ORD-2026-0006</t>
  </si>
  <si>
    <t>2026-04-28</t>
  </si>
  <si>
    <t>Apr</t>
  </si>
  <si>
    <t>Q2</t>
  </si>
  <si>
    <t>Smart Watch S3</t>
  </si>
  <si>
    <t>Nagpur</t>
  </si>
  <si>
    <t>Enterprise</t>
  </si>
  <si>
    <t>ORD-2026-0007</t>
  </si>
  <si>
    <t>2026-07-25</t>
  </si>
  <si>
    <t>Jul</t>
  </si>
  <si>
    <t>Muesli Box</t>
  </si>
  <si>
    <t>Bhopal</t>
  </si>
  <si>
    <t>Aisha Khan</t>
  </si>
  <si>
    <t>Pending</t>
  </si>
  <si>
    <t>ORD-2026-0008</t>
  </si>
  <si>
    <t>2026-07-04</t>
  </si>
  <si>
    <t>Wireless Earbuds</t>
  </si>
  <si>
    <t>ORD-2026-0009</t>
  </si>
  <si>
    <t>2026-02-20</t>
  </si>
  <si>
    <t>Feb</t>
  </si>
  <si>
    <t>Q1</t>
  </si>
  <si>
    <t>Ahmedabad</t>
  </si>
  <si>
    <t>Sunita Lal</t>
  </si>
  <si>
    <t>ORD-2026-0010</t>
  </si>
  <si>
    <t>2026-07-30</t>
  </si>
  <si>
    <t>Dumbbells 5kg</t>
  </si>
  <si>
    <t>Surat</t>
  </si>
  <si>
    <t>Direct</t>
  </si>
  <si>
    <t>ORD-2026-0011</t>
  </si>
  <si>
    <t>2026-01-23</t>
  </si>
  <si>
    <t>Jan</t>
  </si>
  <si>
    <t>Coffee Table</t>
  </si>
  <si>
    <t>Indore</t>
  </si>
  <si>
    <t>ORD-2026-0012</t>
  </si>
  <si>
    <t>2026-08-31</t>
  </si>
  <si>
    <t>Aug</t>
  </si>
  <si>
    <t>Rahul Mehta</t>
  </si>
  <si>
    <t>ORD-2026-0013</t>
  </si>
  <si>
    <t>2026-09-24</t>
  </si>
  <si>
    <t>Chennai</t>
  </si>
  <si>
    <t>ORD-2026-0014</t>
  </si>
  <si>
    <t>2026-01-14</t>
  </si>
  <si>
    <t>Bed Frame Queen</t>
  </si>
  <si>
    <t>North</t>
  </si>
  <si>
    <t>Jaipur</t>
  </si>
  <si>
    <t>Amit Joshi</t>
  </si>
  <si>
    <t>Returned</t>
  </si>
  <si>
    <t>ORD-2026-0015</t>
  </si>
  <si>
    <t>Protein Powder</t>
  </si>
  <si>
    <t>ORD-2026-0016</t>
  </si>
  <si>
    <t>2026-03-30</t>
  </si>
  <si>
    <t>Mar</t>
  </si>
  <si>
    <t>Face Serum</t>
  </si>
  <si>
    <t>Bengaluru</t>
  </si>
  <si>
    <t>ORD-2026-0017</t>
  </si>
  <si>
    <t>2026-03-12</t>
  </si>
  <si>
    <t>Chandigarh</t>
  </si>
  <si>
    <t>ORD-2026-0018</t>
  </si>
  <si>
    <t>2026-09-12</t>
  </si>
  <si>
    <t>Body Lotion</t>
  </si>
  <si>
    <t>ORD-2026-0019</t>
  </si>
  <si>
    <t>2026-02-18</t>
  </si>
  <si>
    <t>Quinoa 1kg</t>
  </si>
  <si>
    <t>ORD-2026-0020</t>
  </si>
  <si>
    <t>2026-06-30</t>
  </si>
  <si>
    <t>Jun</t>
  </si>
  <si>
    <t>Bhubaneswar</t>
  </si>
  <si>
    <t>ORD-2026-0021</t>
  </si>
  <si>
    <t>2026-05-16</t>
  </si>
  <si>
    <t>May</t>
  </si>
  <si>
    <t>Kochi</t>
  </si>
  <si>
    <t>ORD-2026-0022</t>
  </si>
  <si>
    <t>2026-05-30</t>
  </si>
  <si>
    <t>Green Tea Pack</t>
  </si>
  <si>
    <t>ORD-2026-0023</t>
  </si>
  <si>
    <t>2026-05-01</t>
  </si>
  <si>
    <t>Laptop Pro X1</t>
  </si>
  <si>
    <t>ORD-2026-0024</t>
  </si>
  <si>
    <t>2026-07-26</t>
  </si>
  <si>
    <t>Lip Gloss Set</t>
  </si>
  <si>
    <t>ORD-2026-0025</t>
  </si>
  <si>
    <t>2026-07-02</t>
  </si>
  <si>
    <t>Yoga Mat</t>
  </si>
  <si>
    <t>Deepak Rao</t>
  </si>
  <si>
    <t>ORD-2026-0026</t>
  </si>
  <si>
    <t>2026-06-25</t>
  </si>
  <si>
    <t>Delhi</t>
  </si>
  <si>
    <t>ORD-2026-0027</t>
  </si>
  <si>
    <t>2026-01-15</t>
  </si>
  <si>
    <t>Gaming Console</t>
  </si>
  <si>
    <t>ORD-2026-0028</t>
  </si>
  <si>
    <t>2026-12-05</t>
  </si>
  <si>
    <t>Wardrobe 3-door</t>
  </si>
  <si>
    <t>Vikram Tiwari</t>
  </si>
  <si>
    <t>ORD-2026-0029</t>
  </si>
  <si>
    <t>2026-11-17</t>
  </si>
  <si>
    <t>ORD-2026-0030</t>
  </si>
  <si>
    <t>2026-11-18</t>
  </si>
  <si>
    <t>ORD-2026-0031</t>
  </si>
  <si>
    <t>Sports Shorts</t>
  </si>
  <si>
    <t>Apparel</t>
  </si>
  <si>
    <t>Pune</t>
  </si>
  <si>
    <t>ORD-2026-0032</t>
  </si>
  <si>
    <t>2026-03-23</t>
  </si>
  <si>
    <t>Badminton Set</t>
  </si>
  <si>
    <t>ORD-2026-0033</t>
  </si>
  <si>
    <t>ORD-2026-0034</t>
  </si>
  <si>
    <t>2026-11-26</t>
  </si>
  <si>
    <t>Nut Mix 500g</t>
  </si>
  <si>
    <t>ORD-2026-0035</t>
  </si>
  <si>
    <t>2026-04-08</t>
  </si>
  <si>
    <t>Denim Jeans</t>
  </si>
  <si>
    <t>ORD-2026-0036</t>
  </si>
  <si>
    <t>2026-08-05</t>
  </si>
  <si>
    <t>Winter Jacket</t>
  </si>
  <si>
    <t>ORD-2026-0037</t>
  </si>
  <si>
    <t>ORD-2026-0038</t>
  </si>
  <si>
    <t>2026-09-06</t>
  </si>
  <si>
    <t>Organic Honey</t>
  </si>
  <si>
    <t>ORD-2026-0039</t>
  </si>
  <si>
    <t>2026-12-16</t>
  </si>
  <si>
    <t>ORD-2026-0040</t>
  </si>
  <si>
    <t>2026-06-16</t>
  </si>
  <si>
    <t>Lucknow</t>
  </si>
  <si>
    <t>ORD-2026-0041</t>
  </si>
  <si>
    <t>2026-06-29</t>
  </si>
  <si>
    <t>ORD-2026-0042</t>
  </si>
  <si>
    <t>2026-05-17</t>
  </si>
  <si>
    <t>Skipping Rope</t>
  </si>
  <si>
    <t>ORD-2026-0043</t>
  </si>
  <si>
    <t>2026-08-23</t>
  </si>
  <si>
    <t>ORD-2026-0044</t>
  </si>
  <si>
    <t>2026-12-14</t>
  </si>
  <si>
    <t>ORD-2026-0045</t>
  </si>
  <si>
    <t>2026-10-24</t>
  </si>
  <si>
    <t>DSLR Camera</t>
  </si>
  <si>
    <t>ORD-2026-0046</t>
  </si>
  <si>
    <t>2026-01-10</t>
  </si>
  <si>
    <t>ORD-2026-0047</t>
  </si>
  <si>
    <t>2026-03-21</t>
  </si>
  <si>
    <t>Resistance Bands</t>
  </si>
  <si>
    <t>ORD-2026-0048</t>
  </si>
  <si>
    <t>2026-10-14</t>
  </si>
  <si>
    <t>ORD-2026-0049</t>
  </si>
  <si>
    <t>2026-12-03</t>
  </si>
  <si>
    <t>ORD-2026-0050</t>
  </si>
  <si>
    <t>2026-01-12</t>
  </si>
  <si>
    <t>Foundation Kit</t>
  </si>
  <si>
    <t>ORD-2026-0051</t>
  </si>
  <si>
    <t>Kolkata</t>
  </si>
  <si>
    <t>ORD-2026-0052</t>
  </si>
  <si>
    <t>Sunscreen SPF50</t>
  </si>
  <si>
    <t>ORD-2026-0053</t>
  </si>
  <si>
    <t>2026-08-26</t>
  </si>
  <si>
    <t>ORD-2026-0054</t>
  </si>
  <si>
    <t>ORD-2026-0055</t>
  </si>
  <si>
    <t>ORD-2026-0056</t>
  </si>
  <si>
    <t>2026-12-21</t>
  </si>
  <si>
    <t>Cotton T-Shirt</t>
  </si>
  <si>
    <t>ORD-2026-0057</t>
  </si>
  <si>
    <t>2026-08-27</t>
  </si>
  <si>
    <t>ORD-2026-0058</t>
  </si>
  <si>
    <t>2026-12-24</t>
  </si>
  <si>
    <t>ORD-2026-0059</t>
  </si>
  <si>
    <t>2026-03-29</t>
  </si>
  <si>
    <t>ORD-2026-0060</t>
  </si>
  <si>
    <t>2026-04-18</t>
  </si>
  <si>
    <t>ORD-2026-0061</t>
  </si>
  <si>
    <t>2026-02-28</t>
  </si>
  <si>
    <t>ORD-2026-0062</t>
  </si>
  <si>
    <t>2026-07-06</t>
  </si>
  <si>
    <t>ORD-2026-0063</t>
  </si>
  <si>
    <t>2026-08-22</t>
  </si>
  <si>
    <t>ORD-2026-0064</t>
  </si>
  <si>
    <t>ORD-2026-0065</t>
  </si>
  <si>
    <t>2026-10-22</t>
  </si>
  <si>
    <t>ORD-2026-0066</t>
  </si>
  <si>
    <t>2026-01-24</t>
  </si>
  <si>
    <t>ORD-2026-0067</t>
  </si>
  <si>
    <t>2026-05-05</t>
  </si>
  <si>
    <t>Cycling Helmet</t>
  </si>
  <si>
    <t>ORD-2026-0068</t>
  </si>
  <si>
    <t>2026-10-30</t>
  </si>
  <si>
    <t>ORD-2026-0069</t>
  </si>
  <si>
    <t>ORD-2026-0070</t>
  </si>
  <si>
    <t>2026-02-08</t>
  </si>
  <si>
    <t>ORD-2026-0071</t>
  </si>
  <si>
    <t>2026-03-28</t>
  </si>
  <si>
    <t>ORD-2026-0072</t>
  </si>
  <si>
    <t>2026-10-09</t>
  </si>
  <si>
    <t>Kurti Set</t>
  </si>
  <si>
    <t>ORD-2026-0073</t>
  </si>
  <si>
    <t>2026-02-16</t>
  </si>
  <si>
    <t>ORD-2026-0074</t>
  </si>
  <si>
    <t>2026-10-07</t>
  </si>
  <si>
    <t>ORD-2026-0075</t>
  </si>
  <si>
    <t>2026-10-12</t>
  </si>
  <si>
    <t>ORD-2026-0076</t>
  </si>
  <si>
    <t>2026-12-02</t>
  </si>
  <si>
    <t>ORD-2026-0077</t>
  </si>
  <si>
    <t>ORD-2026-0078</t>
  </si>
  <si>
    <t>2026-12-10</t>
  </si>
  <si>
    <t>ORD-2026-0079</t>
  </si>
  <si>
    <t>2026-06-05</t>
  </si>
  <si>
    <t>ORD-2026-0080</t>
  </si>
  <si>
    <t>ORD-2026-0081</t>
  </si>
  <si>
    <t>2026-06-01</t>
  </si>
  <si>
    <t>ORD-2026-0082</t>
  </si>
  <si>
    <t>2026-05-21</t>
  </si>
  <si>
    <t>ORD-2026-0083</t>
  </si>
  <si>
    <t>2026-10-08</t>
  </si>
  <si>
    <t>ORD-2026-0084</t>
  </si>
  <si>
    <t>2026-10-02</t>
  </si>
  <si>
    <t>Running Shoes</t>
  </si>
  <si>
    <t>ORD-2026-0085</t>
  </si>
  <si>
    <t>2026-06-04</t>
  </si>
  <si>
    <t>ORD-2026-0086</t>
  </si>
  <si>
    <t>2026-01-19</t>
  </si>
  <si>
    <t>ORD-2026-0087</t>
  </si>
  <si>
    <t>2026-09-17</t>
  </si>
  <si>
    <t>ORD-2026-0088</t>
  </si>
  <si>
    <t>ORD-2026-0089</t>
  </si>
  <si>
    <t>2026-09-20</t>
  </si>
  <si>
    <t>ORD-2026-0090</t>
  </si>
  <si>
    <t>ORD-2026-0091</t>
  </si>
  <si>
    <t>ORD-2026-0092</t>
  </si>
  <si>
    <t>ORD-2026-0093</t>
  </si>
  <si>
    <t>ORD-2026-0094</t>
  </si>
  <si>
    <t>2026-03-14</t>
  </si>
  <si>
    <t>ORD-2026-0095</t>
  </si>
  <si>
    <t>2026-11-13</t>
  </si>
  <si>
    <t>ORD-2026-0096</t>
  </si>
  <si>
    <t>2026-09-27</t>
  </si>
  <si>
    <t>ORD-2026-0097</t>
  </si>
  <si>
    <t>2026-02-26</t>
  </si>
  <si>
    <t>ORD-2026-0098</t>
  </si>
  <si>
    <t>2026-07-27</t>
  </si>
  <si>
    <t>Hair Oil 200ml</t>
  </si>
  <si>
    <t>ORD-2026-0099</t>
  </si>
  <si>
    <t>2026-07-13</t>
  </si>
  <si>
    <t>Book Shelf 5-tier</t>
  </si>
  <si>
    <t>ORD-2026-0100</t>
  </si>
  <si>
    <t>2026-05-31</t>
  </si>
  <si>
    <t>ORD-2026-0101</t>
  </si>
  <si>
    <t>ORD-2026-0102</t>
  </si>
  <si>
    <t>2026-08-03</t>
  </si>
  <si>
    <t>ORD-2026-0103</t>
  </si>
  <si>
    <t>2026-05-27</t>
  </si>
  <si>
    <t>ORD-2026-0104</t>
  </si>
  <si>
    <t>2026-07-23</t>
  </si>
  <si>
    <t>ORD-2026-0105</t>
  </si>
  <si>
    <t>ORD-2026-0106</t>
  </si>
  <si>
    <t>ORD-2026-0107</t>
  </si>
  <si>
    <t>2026-02-17</t>
  </si>
  <si>
    <t>Smart TV 55"</t>
  </si>
  <si>
    <t>ORD-2026-0108</t>
  </si>
  <si>
    <t>ORD-2026-0109</t>
  </si>
  <si>
    <t>2026-04-07</t>
  </si>
  <si>
    <t>ORD-2026-0110</t>
  </si>
  <si>
    <t>ORD-2026-0111</t>
  </si>
  <si>
    <t>2026-04-17</t>
  </si>
  <si>
    <t>ORD-2026-0112</t>
  </si>
  <si>
    <t>2026-02-04</t>
  </si>
  <si>
    <t>ORD-2026-0113</t>
  </si>
  <si>
    <t>2026-05-10</t>
  </si>
  <si>
    <t>ORD-2026-0114</t>
  </si>
  <si>
    <t>ORD-2026-0115</t>
  </si>
  <si>
    <t>2026-01-11</t>
  </si>
  <si>
    <t>ORD-2026-0116</t>
  </si>
  <si>
    <t>ORD-2026-0117</t>
  </si>
  <si>
    <t>2026-09-01</t>
  </si>
  <si>
    <t>ORD-2026-0118</t>
  </si>
  <si>
    <t>ORD-2026-0119</t>
  </si>
  <si>
    <t>2026-05-15</t>
  </si>
  <si>
    <t>ORD-2026-0120</t>
  </si>
  <si>
    <t>2026-04-26</t>
  </si>
  <si>
    <t>ORD-2026-0121</t>
  </si>
  <si>
    <t>2026-06-22</t>
  </si>
  <si>
    <t>ORD-2026-0122</t>
  </si>
  <si>
    <t>2026-03-08</t>
  </si>
  <si>
    <t>Study Table</t>
  </si>
  <si>
    <t>ORD-2026-0123</t>
  </si>
  <si>
    <t>ORD-2026-0124</t>
  </si>
  <si>
    <t>2026-07-20</t>
  </si>
  <si>
    <t>ORD-2026-0125</t>
  </si>
  <si>
    <t>2026-03-09</t>
  </si>
  <si>
    <t>ORD-2026-0126</t>
  </si>
  <si>
    <t>2026-04-13</t>
  </si>
  <si>
    <t>ORD-2026-0127</t>
  </si>
  <si>
    <t>2026-02-19</t>
  </si>
  <si>
    <t>ORD-2026-0128</t>
  </si>
  <si>
    <t>2026-01-20</t>
  </si>
  <si>
    <t>Office Chair</t>
  </si>
  <si>
    <t>ORD-2026-0129</t>
  </si>
  <si>
    <t>2026-09-10</t>
  </si>
  <si>
    <t>ORD-2026-0130</t>
  </si>
  <si>
    <t>2026-03-18</t>
  </si>
  <si>
    <t>ORD-2026-0131</t>
  </si>
  <si>
    <t>2026-09-18</t>
  </si>
  <si>
    <t>ORD-2026-0132</t>
  </si>
  <si>
    <t>2026-03-03</t>
  </si>
  <si>
    <t>ORD-2026-0133</t>
  </si>
  <si>
    <t>ORD-2026-0134</t>
  </si>
  <si>
    <t>ORD-2026-0135</t>
  </si>
  <si>
    <t>2026-04-25</t>
  </si>
  <si>
    <t>ORD-2026-0136</t>
  </si>
  <si>
    <t>2026-09-28</t>
  </si>
  <si>
    <t>ORD-2026-0137</t>
  </si>
  <si>
    <t>2026-01-13</t>
  </si>
  <si>
    <t>ORD-2026-0138</t>
  </si>
  <si>
    <t>2026-03-04</t>
  </si>
  <si>
    <t>ORD-2026-0139</t>
  </si>
  <si>
    <t>2026-08-12</t>
  </si>
  <si>
    <t>ORD-2026-0140</t>
  </si>
  <si>
    <t>2026-02-25</t>
  </si>
  <si>
    <t>ORD-2026-0141</t>
  </si>
  <si>
    <t>2026-12-20</t>
  </si>
  <si>
    <t>ORD-2026-0142</t>
  </si>
  <si>
    <t>2026-01-18</t>
  </si>
  <si>
    <t>ORD-2026-0143</t>
  </si>
  <si>
    <t>ORD-2026-0144</t>
  </si>
  <si>
    <t>ORD-2026-0145</t>
  </si>
  <si>
    <t>2026-04-01</t>
  </si>
  <si>
    <t>ORD-2026-0146</t>
  </si>
  <si>
    <t>ORD-2026-0147</t>
  </si>
  <si>
    <t>2026-11-22</t>
  </si>
  <si>
    <t>ORD-2026-0148</t>
  </si>
  <si>
    <t>ORD-2026-0149</t>
  </si>
  <si>
    <t>2026-07-18</t>
  </si>
  <si>
    <t>ORD-2026-0150</t>
  </si>
  <si>
    <t>ORD-2026-0151</t>
  </si>
  <si>
    <t>2026-01-27</t>
  </si>
  <si>
    <t>ORD-2026-0152</t>
  </si>
  <si>
    <t>ORD-2026-0153</t>
  </si>
  <si>
    <t>ORD-2026-0154</t>
  </si>
  <si>
    <t>2026-08-02</t>
  </si>
  <si>
    <t>ORD-2026-0155</t>
  </si>
  <si>
    <t>2026-07-29</t>
  </si>
  <si>
    <t>ORD-2026-0156</t>
  </si>
  <si>
    <t>2026-04-03</t>
  </si>
  <si>
    <t>ORD-2026-0157</t>
  </si>
  <si>
    <t>2026-09-13</t>
  </si>
  <si>
    <t>ORD-2026-0158</t>
  </si>
  <si>
    <t>2026-08-06</t>
  </si>
  <si>
    <t>Formal Shirt</t>
  </si>
  <si>
    <t>ORD-2026-0159</t>
  </si>
  <si>
    <t>2026-05-22</t>
  </si>
  <si>
    <t>ORD-2026-0160</t>
  </si>
  <si>
    <t>2026-08-10</t>
  </si>
  <si>
    <t>ORD-2026-0161</t>
  </si>
  <si>
    <t>2026-05-29</t>
  </si>
  <si>
    <t>ORD-2026-0162</t>
  </si>
  <si>
    <t>ORD-2026-0163</t>
  </si>
  <si>
    <t>2026-02-15</t>
  </si>
  <si>
    <t>ORD-2026-0164</t>
  </si>
  <si>
    <t>2026-11-14</t>
  </si>
  <si>
    <t>ORD-2026-0165</t>
  </si>
  <si>
    <t>2026-08-29</t>
  </si>
  <si>
    <t>ORD-2026-0166</t>
  </si>
  <si>
    <t>2026-01-02</t>
  </si>
  <si>
    <t>ORD-2026-0167</t>
  </si>
  <si>
    <t>2026-05-26</t>
  </si>
  <si>
    <t>ORD-2026-0168</t>
  </si>
  <si>
    <t>2026-05-02</t>
  </si>
  <si>
    <t>ORD-2026-0169</t>
  </si>
  <si>
    <t>2026-11-08</t>
  </si>
  <si>
    <t>ORD-2026-0170</t>
  </si>
  <si>
    <t>2026-06-08</t>
  </si>
  <si>
    <t>ORD-2026-0171</t>
  </si>
  <si>
    <t>2026-01-26</t>
  </si>
  <si>
    <t>ORD-2026-0172</t>
  </si>
  <si>
    <t>2026-02-03</t>
  </si>
  <si>
    <t>ORD-2026-0173</t>
  </si>
  <si>
    <t>2026-10-17</t>
  </si>
  <si>
    <t>ORD-2026-0174</t>
  </si>
  <si>
    <t>ORD-2026-0175</t>
  </si>
  <si>
    <t>ORD-2026-0176</t>
  </si>
  <si>
    <t>2026-07-24</t>
  </si>
  <si>
    <t>ORD-2026-0177</t>
  </si>
  <si>
    <t>2026-10-04</t>
  </si>
  <si>
    <t>ORD-2026-0178</t>
  </si>
  <si>
    <t>ORD-2026-0179</t>
  </si>
  <si>
    <t>2026-12-23</t>
  </si>
  <si>
    <t>ORD-2026-0180</t>
  </si>
  <si>
    <t>2026-02-23</t>
  </si>
  <si>
    <t>ORD-2026-0181</t>
  </si>
  <si>
    <t>ORD-2026-0182</t>
  </si>
  <si>
    <t>2026-01-07</t>
  </si>
  <si>
    <t>ORD-2026-0183</t>
  </si>
  <si>
    <t>ORD-2026-0184</t>
  </si>
  <si>
    <t>2026-12-08</t>
  </si>
  <si>
    <t>ORD-2026-0185</t>
  </si>
  <si>
    <t>ORD-2026-0186</t>
  </si>
  <si>
    <t>2026-05-14</t>
  </si>
  <si>
    <t>ORD-2026-0187</t>
  </si>
  <si>
    <t>2026-03-13</t>
  </si>
  <si>
    <t>ORD-2026-0188</t>
  </si>
  <si>
    <t>2026-09-29</t>
  </si>
  <si>
    <t>ORD-2026-0189</t>
  </si>
  <si>
    <t>2026-07-17</t>
  </si>
  <si>
    <t>ORD-2026-0190</t>
  </si>
  <si>
    <t>ORD-2026-0191</t>
  </si>
  <si>
    <t>ORD-2026-0192</t>
  </si>
  <si>
    <t>ORD-2026-0193</t>
  </si>
  <si>
    <t>2026-08-01</t>
  </si>
  <si>
    <t>ORD-2026-0194</t>
  </si>
  <si>
    <t>ORD-2026-0195</t>
  </si>
  <si>
    <t>2026-06-17</t>
  </si>
  <si>
    <t>ORD-2026-0196</t>
  </si>
  <si>
    <t>2026-03-15</t>
  </si>
  <si>
    <t>ORD-2026-0197</t>
  </si>
  <si>
    <t>2026-11-10</t>
  </si>
  <si>
    <t>ORD-2026-0198</t>
  </si>
  <si>
    <t>ORD-2026-0199</t>
  </si>
  <si>
    <t>2026-06-18</t>
  </si>
  <si>
    <t>ORD-2026-0200</t>
  </si>
  <si>
    <t>ORD-2026-0201</t>
  </si>
  <si>
    <t>2026-10-31</t>
  </si>
  <si>
    <t>ORD-2026-0202</t>
  </si>
  <si>
    <t>2026-05-03</t>
  </si>
  <si>
    <t>ORD-2026-0203</t>
  </si>
  <si>
    <t>ORD-2026-0204</t>
  </si>
  <si>
    <t>ORD-2026-0205</t>
  </si>
  <si>
    <t>2026-07-28</t>
  </si>
  <si>
    <t>ORD-2026-0206</t>
  </si>
  <si>
    <t>2026-04-05</t>
  </si>
  <si>
    <t>ORD-2026-0207</t>
  </si>
  <si>
    <t>2026-10-03</t>
  </si>
  <si>
    <t>ORD-2026-0208</t>
  </si>
  <si>
    <t>2026-08-04</t>
  </si>
  <si>
    <t>ORD-2026-0209</t>
  </si>
  <si>
    <t>2026-12-15</t>
  </si>
  <si>
    <t>ORD-2026-0210</t>
  </si>
  <si>
    <t>2026-07-03</t>
  </si>
  <si>
    <t>ORD-2026-0211</t>
  </si>
  <si>
    <t>2026-04-10</t>
  </si>
  <si>
    <t>ORD-2026-0212</t>
  </si>
  <si>
    <t>2026-07-19</t>
  </si>
  <si>
    <t>ORD-2026-0213</t>
  </si>
  <si>
    <t>2026-08-09</t>
  </si>
  <si>
    <t>ORD-2026-0214</t>
  </si>
  <si>
    <t>2026-12-28</t>
  </si>
  <si>
    <t>ORD-2026-0215</t>
  </si>
  <si>
    <t>ORD-2026-0216</t>
  </si>
  <si>
    <t>ORD-2026-0217</t>
  </si>
  <si>
    <t>2026-04-19</t>
  </si>
  <si>
    <t>ORD-2026-0218</t>
  </si>
  <si>
    <t>2026-04-22</t>
  </si>
  <si>
    <t>ORD-2026-0219</t>
  </si>
  <si>
    <t>2026-11-27</t>
  </si>
  <si>
    <t>ORD-2026-0220</t>
  </si>
  <si>
    <t>2026-07-11</t>
  </si>
  <si>
    <t>ORD-2026-0221</t>
  </si>
  <si>
    <t>2026-02-13</t>
  </si>
  <si>
    <t>ORD-2026-0222</t>
  </si>
  <si>
    <t>2026-08-07</t>
  </si>
  <si>
    <t>ORD-2026-0223</t>
  </si>
  <si>
    <t>2026-10-18</t>
  </si>
  <si>
    <t>ORD-2026-0224</t>
  </si>
  <si>
    <t>2026-11-25</t>
  </si>
  <si>
    <t>ORD-2026-0225</t>
  </si>
  <si>
    <t>2026-03-24</t>
  </si>
  <si>
    <t>ORD-2026-0226</t>
  </si>
  <si>
    <t>ORD-2026-0227</t>
  </si>
  <si>
    <t>ORD-2026-0228</t>
  </si>
  <si>
    <t>2026-11-03</t>
  </si>
  <si>
    <t>ORD-2026-0229</t>
  </si>
  <si>
    <t>2026-08-17</t>
  </si>
  <si>
    <t>ORD-2026-0230</t>
  </si>
  <si>
    <t>ORD-2026-0231</t>
  </si>
  <si>
    <t>2026-10-23</t>
  </si>
  <si>
    <t>ORD-2026-0232</t>
  </si>
  <si>
    <t>2026-04-09</t>
  </si>
  <si>
    <t>ORD-2026-0233</t>
  </si>
  <si>
    <t>2026-04-06</t>
  </si>
  <si>
    <t>ORD-2026-0234</t>
  </si>
  <si>
    <t>ORD-2026-0235</t>
  </si>
  <si>
    <t>ORD-2026-0236</t>
  </si>
  <si>
    <t>ORD-2026-0237</t>
  </si>
  <si>
    <t>ORD-2026-0238</t>
  </si>
  <si>
    <t>2026-08-16</t>
  </si>
  <si>
    <t>ORD-2026-0239</t>
  </si>
  <si>
    <t>2026-03-17</t>
  </si>
  <si>
    <t>ORD-2026-0240</t>
  </si>
  <si>
    <t>2026-12-11</t>
  </si>
  <si>
    <t>ORD-2026-0241</t>
  </si>
  <si>
    <t>2026-05-09</t>
  </si>
  <si>
    <t>ORD-2026-0242</t>
  </si>
  <si>
    <t>ORD-2026-0243</t>
  </si>
  <si>
    <t>2026-01-25</t>
  </si>
  <si>
    <t>ORD-2026-0244</t>
  </si>
  <si>
    <t>2026-08-30</t>
  </si>
  <si>
    <t>ORD-2026-0245</t>
  </si>
  <si>
    <t>ORD-2026-0246</t>
  </si>
  <si>
    <t>2026-02-12</t>
  </si>
  <si>
    <t>ORD-2026-0247</t>
  </si>
  <si>
    <t>2026-02-24</t>
  </si>
  <si>
    <t>ORD-2026-0248</t>
  </si>
  <si>
    <t>ORD-2026-0249</t>
  </si>
  <si>
    <t>ORD-2026-0250</t>
  </si>
  <si>
    <t>ORD-2026-0251</t>
  </si>
  <si>
    <t>2026-01-17</t>
  </si>
  <si>
    <t>ORD-2026-0252</t>
  </si>
  <si>
    <t>2026-04-14</t>
  </si>
  <si>
    <t>ORD-2026-0253</t>
  </si>
  <si>
    <t>2026-04-29</t>
  </si>
  <si>
    <t>ORD-2026-0254</t>
  </si>
  <si>
    <t>ORD-2026-0255</t>
  </si>
  <si>
    <t>2026-03-05</t>
  </si>
  <si>
    <t>ORD-2026-0256</t>
  </si>
  <si>
    <t>ORD-2026-0257</t>
  </si>
  <si>
    <t>2026-05-18</t>
  </si>
  <si>
    <t>ORD-2026-0258</t>
  </si>
  <si>
    <t>ORD-2026-0259</t>
  </si>
  <si>
    <t>2026-08-24</t>
  </si>
  <si>
    <t>ORD-2026-0260</t>
  </si>
  <si>
    <t>2026-06-13</t>
  </si>
  <si>
    <t>ORD-2026-0261</t>
  </si>
  <si>
    <t>2026-07-08</t>
  </si>
  <si>
    <t>ORD-2026-0262</t>
  </si>
  <si>
    <t>2026-01-09</t>
  </si>
  <si>
    <t>ORD-2026-0263</t>
  </si>
  <si>
    <t>2026-05-20</t>
  </si>
  <si>
    <t>ORD-2026-0264</t>
  </si>
  <si>
    <t>ORD-2026-0265</t>
  </si>
  <si>
    <t>ORD-2026-0266</t>
  </si>
  <si>
    <t>2026-06-23</t>
  </si>
  <si>
    <t>ORD-2026-0267</t>
  </si>
  <si>
    <t>2026-12-01</t>
  </si>
  <si>
    <t>ORD-2026-0268</t>
  </si>
  <si>
    <t>2026-04-21</t>
  </si>
  <si>
    <t>ORD-2026-0269</t>
  </si>
  <si>
    <t>2026-12-26</t>
  </si>
  <si>
    <t>ORD-2026-0270</t>
  </si>
  <si>
    <t>2026-11-21</t>
  </si>
  <si>
    <t>ORD-2026-0271</t>
  </si>
  <si>
    <t>ORD-2026-0272</t>
  </si>
  <si>
    <t>ORD-2026-0273</t>
  </si>
  <si>
    <t>2026-08-21</t>
  </si>
  <si>
    <t>ORD-2026-0274</t>
  </si>
  <si>
    <t>ORD-2026-0275</t>
  </si>
  <si>
    <t>2026-06-15</t>
  </si>
  <si>
    <t>ORD-2026-0276</t>
  </si>
  <si>
    <t>2026-07-14</t>
  </si>
  <si>
    <t>ORD-2026-0277</t>
  </si>
  <si>
    <t>ORD-2026-0278</t>
  </si>
  <si>
    <t>ORD-2026-0279</t>
  </si>
  <si>
    <t>2026-08-08</t>
  </si>
  <si>
    <t>ORD-2026-0280</t>
  </si>
  <si>
    <t>ORD-2026-0281</t>
  </si>
  <si>
    <t>ORD-2026-0282</t>
  </si>
  <si>
    <t>ORD-2026-0283</t>
  </si>
  <si>
    <t>ORD-2026-0284</t>
  </si>
  <si>
    <t>2026-05-25</t>
  </si>
  <si>
    <t>ORD-2026-0285</t>
  </si>
  <si>
    <t>2026-10-01</t>
  </si>
  <si>
    <t>ORD-2026-0286</t>
  </si>
  <si>
    <t>2026-11-24</t>
  </si>
  <si>
    <t>ORD-2026-0287</t>
  </si>
  <si>
    <t>2026-10-11</t>
  </si>
  <si>
    <t>ORD-2026-0288</t>
  </si>
  <si>
    <t>2026-11-16</t>
  </si>
  <si>
    <t>ORD-2026-0289</t>
  </si>
  <si>
    <t>ORD-2026-0290</t>
  </si>
  <si>
    <t>2026-08-25</t>
  </si>
  <si>
    <t>ORD-2026-0291</t>
  </si>
  <si>
    <t>ORD-2026-0292</t>
  </si>
  <si>
    <t>ORD-2026-0293</t>
  </si>
  <si>
    <t>ORD-2026-0294</t>
  </si>
  <si>
    <t>2026-11-11</t>
  </si>
  <si>
    <t>ORD-2026-0295</t>
  </si>
  <si>
    <t>2026-09-08</t>
  </si>
  <si>
    <t>ORD-2026-0296</t>
  </si>
  <si>
    <t>ORD-2026-0297</t>
  </si>
  <si>
    <t>ORD-2026-0298</t>
  </si>
  <si>
    <t>ORD-2026-0299</t>
  </si>
  <si>
    <t>ORD-2026-0300</t>
  </si>
  <si>
    <t>2026-09-04</t>
  </si>
  <si>
    <t>ORD-2026-0301</t>
  </si>
  <si>
    <t>ORD-2026-0302</t>
  </si>
  <si>
    <t>ORD-2026-0303</t>
  </si>
  <si>
    <t>2026-11-29</t>
  </si>
  <si>
    <t>ORD-2026-0304</t>
  </si>
  <si>
    <t>ORD-2026-0305</t>
  </si>
  <si>
    <t>ORD-2026-0306</t>
  </si>
  <si>
    <t>2026-04-16</t>
  </si>
  <si>
    <t>ORD-2026-0307</t>
  </si>
  <si>
    <t>2026-09-15</t>
  </si>
  <si>
    <t>ORD-2026-0308</t>
  </si>
  <si>
    <t>ORD-2026-0309</t>
  </si>
  <si>
    <t>ORD-2026-0310</t>
  </si>
  <si>
    <t>ORD-2026-0311</t>
  </si>
  <si>
    <t>ORD-2026-0312</t>
  </si>
  <si>
    <t>ORD-2026-0313</t>
  </si>
  <si>
    <t>ORD-2026-0314</t>
  </si>
  <si>
    <t>2026-02-21</t>
  </si>
  <si>
    <t>ORD-2026-0315</t>
  </si>
  <si>
    <t>ORD-2026-0316</t>
  </si>
  <si>
    <t>ORD-2026-0317</t>
  </si>
  <si>
    <t>2026-01-01</t>
  </si>
  <si>
    <t>ORD-2026-0318</t>
  </si>
  <si>
    <t>ORD-2026-0319</t>
  </si>
  <si>
    <t>2026-10-05</t>
  </si>
  <si>
    <t>ORD-2026-0320</t>
  </si>
  <si>
    <t>ORD-2026-0321</t>
  </si>
  <si>
    <t>ORD-2026-0322</t>
  </si>
  <si>
    <t>ORD-2026-0323</t>
  </si>
  <si>
    <t>2026-03-31</t>
  </si>
  <si>
    <t>ORD-2026-0324</t>
  </si>
  <si>
    <t>2026-07-01</t>
  </si>
  <si>
    <t>ORD-2026-0325</t>
  </si>
  <si>
    <t>ORD-2026-0326</t>
  </si>
  <si>
    <t>2026-04-12</t>
  </si>
  <si>
    <t>ORD-2026-0327</t>
  </si>
  <si>
    <t>ORD-2026-0328</t>
  </si>
  <si>
    <t>2026-03-19</t>
  </si>
  <si>
    <t>ORD-2026-0329</t>
  </si>
  <si>
    <t>2026-02-14</t>
  </si>
  <si>
    <t>ORD-2026-0330</t>
  </si>
  <si>
    <t>2026-06-10</t>
  </si>
  <si>
    <t>ORD-2026-0331</t>
  </si>
  <si>
    <t>2026-04-24</t>
  </si>
  <si>
    <t>ORD-2026-0332</t>
  </si>
  <si>
    <t>ORD-2026-0333</t>
  </si>
  <si>
    <t>2026-12-04</t>
  </si>
  <si>
    <t>ORD-2026-0334</t>
  </si>
  <si>
    <t>ORD-2026-0335</t>
  </si>
  <si>
    <t>ORD-2026-0336</t>
  </si>
  <si>
    <t>ORD-2026-0337</t>
  </si>
  <si>
    <t>2026-12-18</t>
  </si>
  <si>
    <t>ORD-2026-0338</t>
  </si>
  <si>
    <t>ORD-2026-0339</t>
  </si>
  <si>
    <t>ORD-2026-0340</t>
  </si>
  <si>
    <t>ORD-2026-0341</t>
  </si>
  <si>
    <t>ORD-2026-0342</t>
  </si>
  <si>
    <t>ORD-2026-0343</t>
  </si>
  <si>
    <t>2026-02-11</t>
  </si>
  <si>
    <t>ORD-2026-0344</t>
  </si>
  <si>
    <t>ORD-2026-0345</t>
  </si>
  <si>
    <t>ORD-2026-0346</t>
  </si>
  <si>
    <t>ORD-2026-0347</t>
  </si>
  <si>
    <t>ORD-2026-0348</t>
  </si>
  <si>
    <t>ORD-2026-0349</t>
  </si>
  <si>
    <t>ORD-2026-0350</t>
  </si>
  <si>
    <t>ORD-2026-0351</t>
  </si>
  <si>
    <t>ORD-2026-0352</t>
  </si>
  <si>
    <t>2026-08-11</t>
  </si>
  <si>
    <t>ORD-2026-0353</t>
  </si>
  <si>
    <t>2026-01-29</t>
  </si>
  <si>
    <t>ORD-2026-0354</t>
  </si>
  <si>
    <t>2026-01-31</t>
  </si>
  <si>
    <t>ORD-2026-0355</t>
  </si>
  <si>
    <t>ORD-2026-0356</t>
  </si>
  <si>
    <t>ORD-2026-0357</t>
  </si>
  <si>
    <t>2026-12-31</t>
  </si>
  <si>
    <t>ORD-2026-0358</t>
  </si>
  <si>
    <t>ORD-2026-0359</t>
  </si>
  <si>
    <t>ORD-2026-0360</t>
  </si>
  <si>
    <t>ORD-2026-0361</t>
  </si>
  <si>
    <t>2026-08-15</t>
  </si>
  <si>
    <t>ORD-2026-0362</t>
  </si>
  <si>
    <t>ORD-2026-0363</t>
  </si>
  <si>
    <t>ORD-2026-0364</t>
  </si>
  <si>
    <t>ORD-2026-0365</t>
  </si>
  <si>
    <t>2026-08-20</t>
  </si>
  <si>
    <t>ORD-2026-0366</t>
  </si>
  <si>
    <t>2026-08-19</t>
  </si>
  <si>
    <t>ORD-2026-0367</t>
  </si>
  <si>
    <t>ORD-2026-0368</t>
  </si>
  <si>
    <t>ORD-2026-0369</t>
  </si>
  <si>
    <t>2026-11-23</t>
  </si>
  <si>
    <t>ORD-2026-0370</t>
  </si>
  <si>
    <t>ORD-2026-0371</t>
  </si>
  <si>
    <t>2026-08-28</t>
  </si>
  <si>
    <t>ORD-2026-0372</t>
  </si>
  <si>
    <t>2026-04-15</t>
  </si>
  <si>
    <t>ORD-2026-0373</t>
  </si>
  <si>
    <t>2026-07-31</t>
  </si>
  <si>
    <t>ORD-2026-0374</t>
  </si>
  <si>
    <t>ORD-2026-0375</t>
  </si>
  <si>
    <t>ORD-2026-0376</t>
  </si>
  <si>
    <t>2026-09-14</t>
  </si>
  <si>
    <t>ORD-2026-0377</t>
  </si>
  <si>
    <t>2026-01-04</t>
  </si>
  <si>
    <t>ORD-2026-0378</t>
  </si>
  <si>
    <t>2026-07-07</t>
  </si>
  <si>
    <t>ORD-2026-0379</t>
  </si>
  <si>
    <t>2026-01-30</t>
  </si>
  <si>
    <t>ORD-2026-0380</t>
  </si>
  <si>
    <t>2026-12-22</t>
  </si>
  <si>
    <t>ORD-2026-0381</t>
  </si>
  <si>
    <t>2026-07-12</t>
  </si>
  <si>
    <t>ORD-2026-0382</t>
  </si>
  <si>
    <t>ORD-2026-0383</t>
  </si>
  <si>
    <t>ORD-2026-0384</t>
  </si>
  <si>
    <t>ORD-2026-0385</t>
  </si>
  <si>
    <t>ORD-2026-0386</t>
  </si>
  <si>
    <t>2026-09-02</t>
  </si>
  <si>
    <t>ORD-2026-0387</t>
  </si>
  <si>
    <t>ORD-2026-0388</t>
  </si>
  <si>
    <t>ORD-2026-0389</t>
  </si>
  <si>
    <t>ORD-2026-0390</t>
  </si>
  <si>
    <t>ORD-2026-0391</t>
  </si>
  <si>
    <t>ORD-2026-0392</t>
  </si>
  <si>
    <t>2026-02-22</t>
  </si>
  <si>
    <t>ORD-2026-0393</t>
  </si>
  <si>
    <t>ORD-2026-0394</t>
  </si>
  <si>
    <t>ORD-2026-0395</t>
  </si>
  <si>
    <t>ORD-2026-0396</t>
  </si>
  <si>
    <t>2026-10-26</t>
  </si>
  <si>
    <t>ORD-2026-0397</t>
  </si>
  <si>
    <t>2026-03-11</t>
  </si>
  <si>
    <t>ORD-2026-0398</t>
  </si>
  <si>
    <t>ORD-2026-0399</t>
  </si>
  <si>
    <t>2026-03-22</t>
  </si>
  <si>
    <t>ORD-2026-0400</t>
  </si>
  <si>
    <t>ORD-2026-0401</t>
  </si>
  <si>
    <t>ORD-2026-0402</t>
  </si>
  <si>
    <t>ORD-2026-0403</t>
  </si>
  <si>
    <t>2026-01-22</t>
  </si>
  <si>
    <t>ORD-2026-0404</t>
  </si>
  <si>
    <t>2026-05-06</t>
  </si>
  <si>
    <t>ORD-2026-0405</t>
  </si>
  <si>
    <t>ORD-2026-0406</t>
  </si>
  <si>
    <t>2026-03-25</t>
  </si>
  <si>
    <t>ORD-2026-0407</t>
  </si>
  <si>
    <t>ORD-2026-0408</t>
  </si>
  <si>
    <t>ORD-2026-0409</t>
  </si>
  <si>
    <t>ORD-2026-0410</t>
  </si>
  <si>
    <t>ORD-2026-0411</t>
  </si>
  <si>
    <t>ORD-2026-0412</t>
  </si>
  <si>
    <t>ORD-2026-0413</t>
  </si>
  <si>
    <t>2026-03-26</t>
  </si>
  <si>
    <t>ORD-2026-0414</t>
  </si>
  <si>
    <t>2026-09-19</t>
  </si>
  <si>
    <t>ORD-2026-0415</t>
  </si>
  <si>
    <t>ORD-2026-0416</t>
  </si>
  <si>
    <t>ORD-2026-0417</t>
  </si>
  <si>
    <t>ORD-2026-0418</t>
  </si>
  <si>
    <t>2026-06-14</t>
  </si>
  <si>
    <t>ORD-2026-0419</t>
  </si>
  <si>
    <t>2026-03-02</t>
  </si>
  <si>
    <t>ORD-2026-0420</t>
  </si>
  <si>
    <t>ORD-2026-0421</t>
  </si>
  <si>
    <t>ORD-2026-0422</t>
  </si>
  <si>
    <t>ORD-2026-0423</t>
  </si>
  <si>
    <t>ORD-2026-0424</t>
  </si>
  <si>
    <t>ORD-2026-0425</t>
  </si>
  <si>
    <t>2026-06-12</t>
  </si>
  <si>
    <t>ORD-2026-0426</t>
  </si>
  <si>
    <t>ORD-2026-0427</t>
  </si>
  <si>
    <t>ORD-2026-0428</t>
  </si>
  <si>
    <t>ORD-2026-0429</t>
  </si>
  <si>
    <t>2026-03-27</t>
  </si>
  <si>
    <t>ORD-2026-0430</t>
  </si>
  <si>
    <t>2026-12-27</t>
  </si>
  <si>
    <t>ORD-2026-0431</t>
  </si>
  <si>
    <t>ORD-2026-0432</t>
  </si>
  <si>
    <t>2026-05-13</t>
  </si>
  <si>
    <t>ORD-2026-0433</t>
  </si>
  <si>
    <t>2026-11-15</t>
  </si>
  <si>
    <t>ORD-2026-0434</t>
  </si>
  <si>
    <t>ORD-2026-0435</t>
  </si>
  <si>
    <t>ORD-2026-0436</t>
  </si>
  <si>
    <t>2026-06-07</t>
  </si>
  <si>
    <t>ORD-2026-0437</t>
  </si>
  <si>
    <t>ORD-2026-0438</t>
  </si>
  <si>
    <t>ORD-2026-0439</t>
  </si>
  <si>
    <t>ORD-2026-0440</t>
  </si>
  <si>
    <t>ORD-2026-0441</t>
  </si>
  <si>
    <t>2026-08-13</t>
  </si>
  <si>
    <t>ORD-2026-0442</t>
  </si>
  <si>
    <t>ORD-2026-0443</t>
  </si>
  <si>
    <t>ORD-2026-0444</t>
  </si>
  <si>
    <t>ORD-2026-0445</t>
  </si>
  <si>
    <t>ORD-2026-0446</t>
  </si>
  <si>
    <t>ORD-2026-0447</t>
  </si>
  <si>
    <t>ORD-2026-0448</t>
  </si>
  <si>
    <t>ORD-2026-0449</t>
  </si>
  <si>
    <t>2026-11-20</t>
  </si>
  <si>
    <t>ORD-2026-0450</t>
  </si>
  <si>
    <t>ORD-2026-0451</t>
  </si>
  <si>
    <t>ORD-2026-0452</t>
  </si>
  <si>
    <t>ORD-2026-0453</t>
  </si>
  <si>
    <t>ORD-2026-0454</t>
  </si>
  <si>
    <t>ORD-2026-0455</t>
  </si>
  <si>
    <t>2026-05-08</t>
  </si>
  <si>
    <t>ORD-2026-0456</t>
  </si>
  <si>
    <t>ORD-2026-0457</t>
  </si>
  <si>
    <t>ORD-2026-0458</t>
  </si>
  <si>
    <t>ORD-2026-0459</t>
  </si>
  <si>
    <t>ORD-2026-0460</t>
  </si>
  <si>
    <t>ORD-2026-0461</t>
  </si>
  <si>
    <t>ORD-2026-0462</t>
  </si>
  <si>
    <t>ORD-2026-0463</t>
  </si>
  <si>
    <t>ORD-2026-0464</t>
  </si>
  <si>
    <t>2026-01-08</t>
  </si>
  <si>
    <t>ORD-2026-0465</t>
  </si>
  <si>
    <t>ORD-2026-0466</t>
  </si>
  <si>
    <t>ORD-2026-0467</t>
  </si>
  <si>
    <t>ORD-2026-0468</t>
  </si>
  <si>
    <t>ORD-2026-0469</t>
  </si>
  <si>
    <t>ORD-2026-0470</t>
  </si>
  <si>
    <t>ORD-2026-0471</t>
  </si>
  <si>
    <t>ORD-2026-0472</t>
  </si>
  <si>
    <t>ORD-2026-0473</t>
  </si>
  <si>
    <t>ORD-2026-0474</t>
  </si>
  <si>
    <t>ORD-2026-0475</t>
  </si>
  <si>
    <t>ORD-2026-0476</t>
  </si>
  <si>
    <t>ORD-2026-0477</t>
  </si>
  <si>
    <t>ORD-2026-0478</t>
  </si>
  <si>
    <t>ORD-2026-0479</t>
  </si>
  <si>
    <t>ORD-2026-0480</t>
  </si>
  <si>
    <t>ORD-2026-0481</t>
  </si>
  <si>
    <t>ORD-2026-0482</t>
  </si>
  <si>
    <t>ORD-2026-0483</t>
  </si>
  <si>
    <t>2026-01-05</t>
  </si>
  <si>
    <t>ORD-2026-0484</t>
  </si>
  <si>
    <t>ORD-2026-0485</t>
  </si>
  <si>
    <t>ORD-2026-0486</t>
  </si>
  <si>
    <t>ORD-2026-0487</t>
  </si>
  <si>
    <t>ORD-2026-0488</t>
  </si>
  <si>
    <t>ORD-2026-0489</t>
  </si>
  <si>
    <t>2026-11-06</t>
  </si>
  <si>
    <t>ORD-2026-0490</t>
  </si>
  <si>
    <t>ORD-2026-0491</t>
  </si>
  <si>
    <t>2026-01-16</t>
  </si>
  <si>
    <t>ORD-2026-0492</t>
  </si>
  <si>
    <t>ORD-2026-0493</t>
  </si>
  <si>
    <t>ORD-2026-0494</t>
  </si>
  <si>
    <t>ORD-2026-0495</t>
  </si>
  <si>
    <t>ORD-2026-0496</t>
  </si>
  <si>
    <t>2026-10-16</t>
  </si>
  <si>
    <t>ORD-2026-0497</t>
  </si>
  <si>
    <t>ORD-2026-0498</t>
  </si>
  <si>
    <t>ORD-2026-0499</t>
  </si>
  <si>
    <t>ORD-2026-0500</t>
  </si>
  <si>
    <t>ORD-2026-0501</t>
  </si>
  <si>
    <t>2026-04-20</t>
  </si>
  <si>
    <t>ORD-2026-0502</t>
  </si>
  <si>
    <t>2026-06-09</t>
  </si>
  <si>
    <t>ORD-2026-0503</t>
  </si>
  <si>
    <t>ORD-2026-0504</t>
  </si>
  <si>
    <t>ORD-2026-0505</t>
  </si>
  <si>
    <t>ORD-2026-0506</t>
  </si>
  <si>
    <t>ORD-2026-0507</t>
  </si>
  <si>
    <t>ORD-2026-0508</t>
  </si>
  <si>
    <t>ORD-2026-0509</t>
  </si>
  <si>
    <t>ORD-2026-0510</t>
  </si>
  <si>
    <t>ORD-2026-0511</t>
  </si>
  <si>
    <t>ORD-2026-0512</t>
  </si>
  <si>
    <t>ORD-2026-0513</t>
  </si>
  <si>
    <t>ORD-2026-0514</t>
  </si>
  <si>
    <t>ORD-2026-0515</t>
  </si>
  <si>
    <t>2026-12-13</t>
  </si>
  <si>
    <t>ORD-2026-0516</t>
  </si>
  <si>
    <t>ORD-2026-0517</t>
  </si>
  <si>
    <t>ORD-2026-0518</t>
  </si>
  <si>
    <t>2026-03-06</t>
  </si>
  <si>
    <t>ORD-2026-0519</t>
  </si>
  <si>
    <t>2026-06-27</t>
  </si>
  <si>
    <t>ORD-2026-0520</t>
  </si>
  <si>
    <t>ORD-2026-0521</t>
  </si>
  <si>
    <t>ORD-2026-0522</t>
  </si>
  <si>
    <t>2026-09-21</t>
  </si>
  <si>
    <t>ORD-2026-0523</t>
  </si>
  <si>
    <t>ORD-2026-0524</t>
  </si>
  <si>
    <t>ORD-2026-0525</t>
  </si>
  <si>
    <t>ORD-2026-0526</t>
  </si>
  <si>
    <t>ORD-2026-0527</t>
  </si>
  <si>
    <t>ORD-2026-0528</t>
  </si>
  <si>
    <t>ORD-2026-0529</t>
  </si>
  <si>
    <t>2026-04-30</t>
  </si>
  <si>
    <t>ORD-2026-0530</t>
  </si>
  <si>
    <t>ORD-2026-0531</t>
  </si>
  <si>
    <t>ORD-2026-0532</t>
  </si>
  <si>
    <t>ORD-2026-0533</t>
  </si>
  <si>
    <t>ORD-2026-0534</t>
  </si>
  <si>
    <t>ORD-2026-0535</t>
  </si>
  <si>
    <t>ORD-2026-0536</t>
  </si>
  <si>
    <t>ORD-2026-0537</t>
  </si>
  <si>
    <t>2026-06-26</t>
  </si>
  <si>
    <t>ORD-2026-0538</t>
  </si>
  <si>
    <t>ORD-2026-0539</t>
  </si>
  <si>
    <t>ORD-2026-0540</t>
  </si>
  <si>
    <t>ORD-2026-0541</t>
  </si>
  <si>
    <t>2026-06-21</t>
  </si>
  <si>
    <t>ORD-2026-0542</t>
  </si>
  <si>
    <t>ORD-2026-0543</t>
  </si>
  <si>
    <t>ORD-2026-0544</t>
  </si>
  <si>
    <t>ORD-2026-0545</t>
  </si>
  <si>
    <t>ORD-2026-0546</t>
  </si>
  <si>
    <t>ORD-2026-0547</t>
  </si>
  <si>
    <t>ORD-2026-0548</t>
  </si>
  <si>
    <t>ORD-2026-0549</t>
  </si>
  <si>
    <t>ORD-2026-0550</t>
  </si>
  <si>
    <t>2026-04-02</t>
  </si>
  <si>
    <t>ORD-2026-0551</t>
  </si>
  <si>
    <t>2026-11-02</t>
  </si>
  <si>
    <t>ORD-2026-0552</t>
  </si>
  <si>
    <t>ORD-2026-0553</t>
  </si>
  <si>
    <t>ORD-2026-0554</t>
  </si>
  <si>
    <t>ORD-2026-0555</t>
  </si>
  <si>
    <t>ORD-2026-0556</t>
  </si>
  <si>
    <t>2026-10-29</t>
  </si>
  <si>
    <t>ORD-2026-0557</t>
  </si>
  <si>
    <t>ORD-2026-0558</t>
  </si>
  <si>
    <t>2026-06-28</t>
  </si>
  <si>
    <t>ORD-2026-0559</t>
  </si>
  <si>
    <t>2026-02-02</t>
  </si>
  <si>
    <t>ORD-2026-0560</t>
  </si>
  <si>
    <t>ORD-2026-0561</t>
  </si>
  <si>
    <t>ORD-2026-0562</t>
  </si>
  <si>
    <t>2026-03-10</t>
  </si>
  <si>
    <t>ORD-2026-0563</t>
  </si>
  <si>
    <t>ORD-2026-0564</t>
  </si>
  <si>
    <t>ORD-2026-0565</t>
  </si>
  <si>
    <t>ORD-2026-0566</t>
  </si>
  <si>
    <t>ORD-2026-0567</t>
  </si>
  <si>
    <t>2026-03-16</t>
  </si>
  <si>
    <t>ORD-2026-0568</t>
  </si>
  <si>
    <t>ORD-2026-0569</t>
  </si>
  <si>
    <t>2026-11-30</t>
  </si>
  <si>
    <t>ORD-2026-0570</t>
  </si>
  <si>
    <t>ORD-2026-0571</t>
  </si>
  <si>
    <t>ORD-2026-0572</t>
  </si>
  <si>
    <t>ORD-2026-0573</t>
  </si>
  <si>
    <t>ORD-2026-0574</t>
  </si>
  <si>
    <t>ORD-2026-0575</t>
  </si>
  <si>
    <t>ORD-2026-0576</t>
  </si>
  <si>
    <t>ORD-2026-0577</t>
  </si>
  <si>
    <t>ORD-2026-0578</t>
  </si>
  <si>
    <t>ORD-2026-0579</t>
  </si>
  <si>
    <t>ORD-2026-0580</t>
  </si>
  <si>
    <t>ORD-2026-0581</t>
  </si>
  <si>
    <t>ORD-2026-0582</t>
  </si>
  <si>
    <t>ORD-2026-0583</t>
  </si>
  <si>
    <t>ORD-2026-0584</t>
  </si>
  <si>
    <t>2026-03-07</t>
  </si>
  <si>
    <t>ORD-2026-0585</t>
  </si>
  <si>
    <t>2026-07-15</t>
  </si>
  <si>
    <t>ORD-2026-0586</t>
  </si>
  <si>
    <t>ORD-2026-0587</t>
  </si>
  <si>
    <t>ORD-2026-0588</t>
  </si>
  <si>
    <t>2026-10-28</t>
  </si>
  <si>
    <t>ORD-2026-0589</t>
  </si>
  <si>
    <t>ORD-2026-0590</t>
  </si>
  <si>
    <t>2026-07-21</t>
  </si>
  <si>
    <t>ORD-2026-0591</t>
  </si>
  <si>
    <t>ORD-2026-0592</t>
  </si>
  <si>
    <t>ORD-2026-0593</t>
  </si>
  <si>
    <t>ORD-2026-0594</t>
  </si>
  <si>
    <t>ORD-2026-0595</t>
  </si>
  <si>
    <t>ORD-2026-0596</t>
  </si>
  <si>
    <t>ORD-2026-0597</t>
  </si>
  <si>
    <t>ORD-2026-0598</t>
  </si>
  <si>
    <t>ORD-2026-0599</t>
  </si>
  <si>
    <t>ORD-2026-0600</t>
  </si>
  <si>
    <t>ORD-2026-0601</t>
  </si>
  <si>
    <t>ORD-2026-0602</t>
  </si>
  <si>
    <t>2026-11-12</t>
  </si>
  <si>
    <t>ORD-2026-0603</t>
  </si>
  <si>
    <t>ORD-2026-0604</t>
  </si>
  <si>
    <t>2026-02-05</t>
  </si>
  <si>
    <t>ORD-2026-0605</t>
  </si>
  <si>
    <t>2026-01-06</t>
  </si>
  <si>
    <t>ORD-2026-0606</t>
  </si>
  <si>
    <t>ORD-2026-0607</t>
  </si>
  <si>
    <t>ORD-2026-0608</t>
  </si>
  <si>
    <t>ORD-2026-0609</t>
  </si>
  <si>
    <t>ORD-2026-0610</t>
  </si>
  <si>
    <t>ORD-2026-0611</t>
  </si>
  <si>
    <t>ORD-2026-0612</t>
  </si>
  <si>
    <t>ORD-2026-0613</t>
  </si>
  <si>
    <t>ORD-2026-0614</t>
  </si>
  <si>
    <t>2026-09-09</t>
  </si>
  <si>
    <t>ORD-2026-0615</t>
  </si>
  <si>
    <t>ORD-2026-0616</t>
  </si>
  <si>
    <t>ORD-2026-0617</t>
  </si>
  <si>
    <t>ORD-2026-0618</t>
  </si>
  <si>
    <t>ORD-2026-0619</t>
  </si>
  <si>
    <t>2026-05-19</t>
  </si>
  <si>
    <t>ORD-2026-0620</t>
  </si>
  <si>
    <t>2026-03-20</t>
  </si>
  <si>
    <t>ORD-2026-0621</t>
  </si>
  <si>
    <t>ORD-2026-0622</t>
  </si>
  <si>
    <t>2026-03-01</t>
  </si>
  <si>
    <t>ORD-2026-0623</t>
  </si>
  <si>
    <t>ORD-2026-0624</t>
  </si>
  <si>
    <t>ORD-2026-0625</t>
  </si>
  <si>
    <t>ORD-2026-0626</t>
  </si>
  <si>
    <t>ORD-2026-0627</t>
  </si>
  <si>
    <t>ORD-2026-0628</t>
  </si>
  <si>
    <t>ORD-2026-0629</t>
  </si>
  <si>
    <t>2026-08-14</t>
  </si>
  <si>
    <t>ORD-2026-0630</t>
  </si>
  <si>
    <t>ORD-2026-0631</t>
  </si>
  <si>
    <t>ORD-2026-0632</t>
  </si>
  <si>
    <t>2026-10-19</t>
  </si>
  <si>
    <t>ORD-2026-0633</t>
  </si>
  <si>
    <t>ORD-2026-0634</t>
  </si>
  <si>
    <t>ORD-2026-0635</t>
  </si>
  <si>
    <t>ORD-2026-0636</t>
  </si>
  <si>
    <t>ORD-2026-0637</t>
  </si>
  <si>
    <t>ORD-2026-0638</t>
  </si>
  <si>
    <t>ORD-2026-0639</t>
  </si>
  <si>
    <t>2026-09-26</t>
  </si>
  <si>
    <t>ORD-2026-0640</t>
  </si>
  <si>
    <t>ORD-2026-0641</t>
  </si>
  <si>
    <t>ORD-2026-0642</t>
  </si>
  <si>
    <t>ORD-2026-0643</t>
  </si>
  <si>
    <t>ORD-2026-0644</t>
  </si>
  <si>
    <t>ORD-2026-0645</t>
  </si>
  <si>
    <t>2026-07-05</t>
  </si>
  <si>
    <t>ORD-2026-0646</t>
  </si>
  <si>
    <t>ORD-2026-0647</t>
  </si>
  <si>
    <t>ORD-2026-0648</t>
  </si>
  <si>
    <t>ORD-2026-0649</t>
  </si>
  <si>
    <t>ORD-2026-0650</t>
  </si>
  <si>
    <t>ORD-2026-0651</t>
  </si>
  <si>
    <t>ORD-2026-0652</t>
  </si>
  <si>
    <t>ORD-2026-0653</t>
  </si>
  <si>
    <t>ORD-2026-0654</t>
  </si>
  <si>
    <t>ORD-2026-0655</t>
  </si>
  <si>
    <t>ORD-2026-0656</t>
  </si>
  <si>
    <t>ORD-2026-0657</t>
  </si>
  <si>
    <t>ORD-2026-0658</t>
  </si>
  <si>
    <t>ORD-2026-0659</t>
  </si>
  <si>
    <t>ORD-2026-0660</t>
  </si>
  <si>
    <t>ORD-2026-0661</t>
  </si>
  <si>
    <t>ORD-2026-0662</t>
  </si>
  <si>
    <t>ORD-2026-0663</t>
  </si>
  <si>
    <t>2026-01-28</t>
  </si>
  <si>
    <t>ORD-2026-0664</t>
  </si>
  <si>
    <t>ORD-2026-0665</t>
  </si>
  <si>
    <t>2026-02-27</t>
  </si>
  <si>
    <t>ORD-2026-0666</t>
  </si>
  <si>
    <t>ORD-2026-0667</t>
  </si>
  <si>
    <t>ORD-2026-0668</t>
  </si>
  <si>
    <t>ORD-2026-0669</t>
  </si>
  <si>
    <t>ORD-2026-0670</t>
  </si>
  <si>
    <t>ORD-2026-0671</t>
  </si>
  <si>
    <t>ORD-2026-0672</t>
  </si>
  <si>
    <t>2026-10-15</t>
  </si>
  <si>
    <t>ORD-2026-0673</t>
  </si>
  <si>
    <t>ORD-2026-0674</t>
  </si>
  <si>
    <t>ORD-2026-0675</t>
  </si>
  <si>
    <t>2026-06-19</t>
  </si>
  <si>
    <t>ORD-2026-0676</t>
  </si>
  <si>
    <t>ORD-2026-0677</t>
  </si>
  <si>
    <t>ORD-2026-0678</t>
  </si>
  <si>
    <t>ORD-2026-0679</t>
  </si>
  <si>
    <t>ORD-2026-0680</t>
  </si>
  <si>
    <t>ORD-2026-0681</t>
  </si>
  <si>
    <t>ORD-2026-0682</t>
  </si>
  <si>
    <t>ORD-2026-0683</t>
  </si>
  <si>
    <t>ORD-2026-0684</t>
  </si>
  <si>
    <t>ORD-2026-0685</t>
  </si>
  <si>
    <t>ORD-2026-0686</t>
  </si>
  <si>
    <t>ORD-2026-0687</t>
  </si>
  <si>
    <t>ORD-2026-0688</t>
  </si>
  <si>
    <t>ORD-2026-0689</t>
  </si>
  <si>
    <t>2026-09-11</t>
  </si>
  <si>
    <t>ORD-2026-0690</t>
  </si>
  <si>
    <t>ORD-2026-0691</t>
  </si>
  <si>
    <t>2026-12-30</t>
  </si>
  <si>
    <t>ORD-2026-0692</t>
  </si>
  <si>
    <t>ORD-2026-0693</t>
  </si>
  <si>
    <t>ORD-2026-0694</t>
  </si>
  <si>
    <t>ORD-2026-0695</t>
  </si>
  <si>
    <t>ORD-2026-0696</t>
  </si>
  <si>
    <t>ORD-2026-0697</t>
  </si>
  <si>
    <t>ORD-2026-0698</t>
  </si>
  <si>
    <t>ORD-2026-0699</t>
  </si>
  <si>
    <t>ORD-2026-0700</t>
  </si>
  <si>
    <t>ORD-2026-0701</t>
  </si>
  <si>
    <t>ORD-2026-0702</t>
  </si>
  <si>
    <t>ORD-2026-0703</t>
  </si>
  <si>
    <t>ORD-2026-0704</t>
  </si>
  <si>
    <t>ORD-2026-0705</t>
  </si>
  <si>
    <t>ORD-2026-0706</t>
  </si>
  <si>
    <t>2026-01-21</t>
  </si>
  <si>
    <t>ORD-2026-0707</t>
  </si>
  <si>
    <t>ORD-2026-0708</t>
  </si>
  <si>
    <t>ORD-2026-0709</t>
  </si>
  <si>
    <t>2026-12-25</t>
  </si>
  <si>
    <t>ORD-2026-0710</t>
  </si>
  <si>
    <t>ORD-2026-0711</t>
  </si>
  <si>
    <t>ORD-2026-0712</t>
  </si>
  <si>
    <t>ORD-2026-0713</t>
  </si>
  <si>
    <t>ORD-2026-0714</t>
  </si>
  <si>
    <t>ORD-2026-0715</t>
  </si>
  <si>
    <t>2026-10-20</t>
  </si>
  <si>
    <t>ORD-2026-0716</t>
  </si>
  <si>
    <t>ORD-2026-0717</t>
  </si>
  <si>
    <t>ORD-2026-0718</t>
  </si>
  <si>
    <t>ORD-2026-0719</t>
  </si>
  <si>
    <t>2026-11-01</t>
  </si>
  <si>
    <t>ORD-2026-0720</t>
  </si>
  <si>
    <t>ORD-2026-0721</t>
  </si>
  <si>
    <t>ORD-2026-0722</t>
  </si>
  <si>
    <t>ORD-2026-0723</t>
  </si>
  <si>
    <t>ORD-2026-0724</t>
  </si>
  <si>
    <t>ORD-2026-0725</t>
  </si>
  <si>
    <t>ORD-2026-0726</t>
  </si>
  <si>
    <t>2026-11-19</t>
  </si>
  <si>
    <t>ORD-2026-0727</t>
  </si>
  <si>
    <t>2026-05-07</t>
  </si>
  <si>
    <t>ORD-2026-0728</t>
  </si>
  <si>
    <t>ORD-2026-0729</t>
  </si>
  <si>
    <t>ORD-2026-0730</t>
  </si>
  <si>
    <t>2026-07-09</t>
  </si>
  <si>
    <t>ORD-2026-0731</t>
  </si>
  <si>
    <t>2026-05-04</t>
  </si>
  <si>
    <t>ORD-2026-0732</t>
  </si>
  <si>
    <t>ORD-2026-0733</t>
  </si>
  <si>
    <t>ORD-2026-0734</t>
  </si>
  <si>
    <t>ORD-2026-0735</t>
  </si>
  <si>
    <t>ORD-2026-0736</t>
  </si>
  <si>
    <t>2026-10-25</t>
  </si>
  <si>
    <t>ORD-2026-0737</t>
  </si>
  <si>
    <t>ORD-2026-0738</t>
  </si>
  <si>
    <t>ORD-2026-0739</t>
  </si>
  <si>
    <t>ORD-2026-0740</t>
  </si>
  <si>
    <t>ORD-2026-0741</t>
  </si>
  <si>
    <t>ORD-2026-0742</t>
  </si>
  <si>
    <t>ORD-2026-0743</t>
  </si>
  <si>
    <t>2026-06-20</t>
  </si>
  <si>
    <t>ORD-2026-0744</t>
  </si>
  <si>
    <t>ORD-2026-0745</t>
  </si>
  <si>
    <t>ORD-2026-0746</t>
  </si>
  <si>
    <t>ORD-2026-0747</t>
  </si>
  <si>
    <t>ORD-2026-0748</t>
  </si>
  <si>
    <t>ORD-2026-0749</t>
  </si>
  <si>
    <t>ORD-2026-0750</t>
  </si>
  <si>
    <t>2026-11-05</t>
  </si>
  <si>
    <t>ORD-2026-0751</t>
  </si>
  <si>
    <t>2026-06-02</t>
  </si>
  <si>
    <t>ORD-2026-0752</t>
  </si>
  <si>
    <t>ORD-2026-0753</t>
  </si>
  <si>
    <t>ORD-2026-0754</t>
  </si>
  <si>
    <t>2026-02-10</t>
  </si>
  <si>
    <t>ORD-2026-0755</t>
  </si>
  <si>
    <t>ORD-2026-0756</t>
  </si>
  <si>
    <t>ORD-2026-0757</t>
  </si>
  <si>
    <t>ORD-2026-0758</t>
  </si>
  <si>
    <t>ORD-2026-0759</t>
  </si>
  <si>
    <t>ORD-2026-0760</t>
  </si>
  <si>
    <t>ORD-2026-0761</t>
  </si>
  <si>
    <t>ORD-2026-0762</t>
  </si>
  <si>
    <t>ORD-2026-0763</t>
  </si>
  <si>
    <t>2026-04-27</t>
  </si>
  <si>
    <t>ORD-2026-0764</t>
  </si>
  <si>
    <t>ORD-2026-0765</t>
  </si>
  <si>
    <t>2026-12-29</t>
  </si>
  <si>
    <t>ORD-2026-0766</t>
  </si>
  <si>
    <t>ORD-2026-0767</t>
  </si>
  <si>
    <t>ORD-2026-0768</t>
  </si>
  <si>
    <t>ORD-2026-0769</t>
  </si>
  <si>
    <t>ORD-2026-0770</t>
  </si>
  <si>
    <t>ORD-2026-0771</t>
  </si>
  <si>
    <t>ORD-2026-0772</t>
  </si>
  <si>
    <t>ORD-2026-0773</t>
  </si>
  <si>
    <t>ORD-2026-0774</t>
  </si>
  <si>
    <t>ORD-2026-0775</t>
  </si>
  <si>
    <t>ORD-2026-0776</t>
  </si>
  <si>
    <t>ORD-2026-0777</t>
  </si>
  <si>
    <t>ORD-2026-0778</t>
  </si>
  <si>
    <t>ORD-2026-0779</t>
  </si>
  <si>
    <t>ORD-2026-0780</t>
  </si>
  <si>
    <t>ORD-2026-0781</t>
  </si>
  <si>
    <t>ORD-2026-0782</t>
  </si>
  <si>
    <t>ORD-2026-0783</t>
  </si>
  <si>
    <t>ORD-2026-0784</t>
  </si>
  <si>
    <t>ORD-2026-0785</t>
  </si>
  <si>
    <t>ORD-2026-0786</t>
  </si>
  <si>
    <t>ORD-2026-0787</t>
  </si>
  <si>
    <t>ORD-2026-0788</t>
  </si>
  <si>
    <t>ORD-2026-0789</t>
  </si>
  <si>
    <t>ORD-2026-0790</t>
  </si>
  <si>
    <t>ORD-2026-0791</t>
  </si>
  <si>
    <t>ORD-2026-0792</t>
  </si>
  <si>
    <t>ORD-2026-0793</t>
  </si>
  <si>
    <t>2026-02-06</t>
  </si>
  <si>
    <t>ORD-2026-0794</t>
  </si>
  <si>
    <t>ORD-2026-0795</t>
  </si>
  <si>
    <t>ORD-2026-0796</t>
  </si>
  <si>
    <t>ORD-2026-0797</t>
  </si>
  <si>
    <t>ORD-2026-0798</t>
  </si>
  <si>
    <t>2026-02-07</t>
  </si>
  <si>
    <t>ORD-2026-0799</t>
  </si>
  <si>
    <t>ORD-2026-0800</t>
  </si>
  <si>
    <t>ORD-2026-0801</t>
  </si>
  <si>
    <t>ORD-2026-0802</t>
  </si>
  <si>
    <t>ORD-2026-0803</t>
  </si>
  <si>
    <t>ORD-2026-0804</t>
  </si>
  <si>
    <t>ORD-2026-0805</t>
  </si>
  <si>
    <t>ORD-2026-0806</t>
  </si>
  <si>
    <t>ORD-2026-0807</t>
  </si>
  <si>
    <t>2026-12-09</t>
  </si>
  <si>
    <t>ORD-2026-0808</t>
  </si>
  <si>
    <t>ORD-2026-0809</t>
  </si>
  <si>
    <t>ORD-2026-0810</t>
  </si>
  <si>
    <t>ORD-2026-0811</t>
  </si>
  <si>
    <t>ORD-2026-0812</t>
  </si>
  <si>
    <t>ORD-2026-0813</t>
  </si>
  <si>
    <t>ORD-2026-0814</t>
  </si>
  <si>
    <t>ORD-2026-0815</t>
  </si>
  <si>
    <t>ORD-2026-0816</t>
  </si>
  <si>
    <t>ORD-2026-0817</t>
  </si>
  <si>
    <t>ORD-2026-0818</t>
  </si>
  <si>
    <t>ORD-2026-0819</t>
  </si>
  <si>
    <t>ORD-2026-0820</t>
  </si>
  <si>
    <t>ORD-2026-0821</t>
  </si>
  <si>
    <t>2026-05-12</t>
  </si>
  <si>
    <t>ORD-2026-0822</t>
  </si>
  <si>
    <t>ORD-2026-0823</t>
  </si>
  <si>
    <t>ORD-2026-0824</t>
  </si>
  <si>
    <t>2026-02-01</t>
  </si>
  <si>
    <t>ORD-2026-0825</t>
  </si>
  <si>
    <t>ORD-2026-0826</t>
  </si>
  <si>
    <t>2026-11-28</t>
  </si>
  <si>
    <t>ORD-2026-0827</t>
  </si>
  <si>
    <t>ORD-2026-0828</t>
  </si>
  <si>
    <t>ORD-2026-0829</t>
  </si>
  <si>
    <t>2026-06-06</t>
  </si>
  <si>
    <t>ORD-2026-0830</t>
  </si>
  <si>
    <t>ORD-2026-0831</t>
  </si>
  <si>
    <t>ORD-2026-0832</t>
  </si>
  <si>
    <t>ORD-2026-0833</t>
  </si>
  <si>
    <t>ORD-2026-0834</t>
  </si>
  <si>
    <t>ORD-2026-0835</t>
  </si>
  <si>
    <t>ORD-2026-0836</t>
  </si>
  <si>
    <t>ORD-2026-0837</t>
  </si>
  <si>
    <t>ORD-2026-0838</t>
  </si>
  <si>
    <t>2026-04-04</t>
  </si>
  <si>
    <t>ORD-2026-0839</t>
  </si>
  <si>
    <t>ORD-2026-0840</t>
  </si>
  <si>
    <t>2026-12-06</t>
  </si>
  <si>
    <t>ORD-2026-0841</t>
  </si>
  <si>
    <t>ORD-2026-0842</t>
  </si>
  <si>
    <t>ORD-2026-0843</t>
  </si>
  <si>
    <t>ORD-2026-0844</t>
  </si>
  <si>
    <t>ORD-2026-0845</t>
  </si>
  <si>
    <t>ORD-2026-0846</t>
  </si>
  <si>
    <t>ORD-2026-0847</t>
  </si>
  <si>
    <t>ORD-2026-0848</t>
  </si>
  <si>
    <t>ORD-2026-0849</t>
  </si>
  <si>
    <t>ORD-2026-0850</t>
  </si>
  <si>
    <t>ORD-2026-0851</t>
  </si>
  <si>
    <t>ORD-2026-0852</t>
  </si>
  <si>
    <t>ORD-2026-0853</t>
  </si>
  <si>
    <t>ORD-2026-0854</t>
  </si>
  <si>
    <t>ORD-2026-0855</t>
  </si>
  <si>
    <t>ORD-2026-0856</t>
  </si>
  <si>
    <t>ORD-2026-0857</t>
  </si>
  <si>
    <t>2026-09-23</t>
  </si>
  <si>
    <t>ORD-2026-0858</t>
  </si>
  <si>
    <t>ORD-2026-0859</t>
  </si>
  <si>
    <t>ORD-2026-0860</t>
  </si>
  <si>
    <t>ORD-2026-0861</t>
  </si>
  <si>
    <t>ORD-2026-0862</t>
  </si>
  <si>
    <t>ORD-2026-0863</t>
  </si>
  <si>
    <t>ORD-2026-0864</t>
  </si>
  <si>
    <t>ORD-2026-0865</t>
  </si>
  <si>
    <t>ORD-2026-0866</t>
  </si>
  <si>
    <t>ORD-2026-0867</t>
  </si>
  <si>
    <t>ORD-2026-0868</t>
  </si>
  <si>
    <t>ORD-2026-0869</t>
  </si>
  <si>
    <t>ORD-2026-0870</t>
  </si>
  <si>
    <t>2026-11-07</t>
  </si>
  <si>
    <t>ORD-2026-0871</t>
  </si>
  <si>
    <t>ORD-2026-0872</t>
  </si>
  <si>
    <t>ORD-2026-0873</t>
  </si>
  <si>
    <t>ORD-2026-0874</t>
  </si>
  <si>
    <t>ORD-2026-0875</t>
  </si>
  <si>
    <t>ORD-2026-0876</t>
  </si>
  <si>
    <t>ORD-2026-0877</t>
  </si>
  <si>
    <t>ORD-2026-0878</t>
  </si>
  <si>
    <t>ORD-2026-0879</t>
  </si>
  <si>
    <t>ORD-2026-0880</t>
  </si>
  <si>
    <t>ORD-2026-0881</t>
  </si>
  <si>
    <t>ORD-2026-0882</t>
  </si>
  <si>
    <t>2026-10-21</t>
  </si>
  <si>
    <t>ORD-2026-0883</t>
  </si>
  <si>
    <t>ORD-2026-0884</t>
  </si>
  <si>
    <t>ORD-2026-0885</t>
  </si>
  <si>
    <t>ORD-2026-0886</t>
  </si>
  <si>
    <t>ORD-2026-0887</t>
  </si>
  <si>
    <t>2026-09-22</t>
  </si>
  <si>
    <t>ORD-2026-0888</t>
  </si>
  <si>
    <t>ORD-2026-0889</t>
  </si>
  <si>
    <t>2026-09-25</t>
  </si>
  <si>
    <t>ORD-2026-0890</t>
  </si>
  <si>
    <t>2026-10-06</t>
  </si>
  <si>
    <t>ORD-2026-0891</t>
  </si>
  <si>
    <t>2026-06-24</t>
  </si>
  <si>
    <t>ORD-2026-0892</t>
  </si>
  <si>
    <t>ORD-2026-0893</t>
  </si>
  <si>
    <t>2026-07-10</t>
  </si>
  <si>
    <t>ORD-2026-0894</t>
  </si>
  <si>
    <t>ORD-2026-0895</t>
  </si>
  <si>
    <t>ORD-2026-0896</t>
  </si>
  <si>
    <t>ORD-2026-0897</t>
  </si>
  <si>
    <t>ORD-2026-0898</t>
  </si>
  <si>
    <t>ORD-2026-0899</t>
  </si>
  <si>
    <t>ORD-2026-0900</t>
  </si>
  <si>
    <t>ORD-2026-0901</t>
  </si>
  <si>
    <t>ORD-2026-0902</t>
  </si>
  <si>
    <t>ORD-2026-0903</t>
  </si>
  <si>
    <t>ORD-2026-0904</t>
  </si>
  <si>
    <t>ORD-2026-0905</t>
  </si>
  <si>
    <t>ORD-2026-0906</t>
  </si>
  <si>
    <t>ORD-2026-0907</t>
  </si>
  <si>
    <t>ORD-2026-0908</t>
  </si>
  <si>
    <t>ORD-2026-0909</t>
  </si>
  <si>
    <t>ORD-2026-0910</t>
  </si>
  <si>
    <t>ORD-2026-0911</t>
  </si>
  <si>
    <t>ORD-2026-0912</t>
  </si>
  <si>
    <t>ORD-2026-0913</t>
  </si>
  <si>
    <t>ORD-2026-0914</t>
  </si>
  <si>
    <t>ORD-2026-0915</t>
  </si>
  <si>
    <t>ORD-2026-0916</t>
  </si>
  <si>
    <t>ORD-2026-0917</t>
  </si>
  <si>
    <t>ORD-2026-0918</t>
  </si>
  <si>
    <t>ORD-2026-0919</t>
  </si>
  <si>
    <t>ORD-2026-0920</t>
  </si>
  <si>
    <t>2026-02-09</t>
  </si>
  <si>
    <t>ORD-2026-0921</t>
  </si>
  <si>
    <t>ORD-2026-0922</t>
  </si>
  <si>
    <t>ORD-2026-0923</t>
  </si>
  <si>
    <t>ORD-2026-0924</t>
  </si>
  <si>
    <t>ORD-2026-0925</t>
  </si>
  <si>
    <t>ORD-2026-0926</t>
  </si>
  <si>
    <t>ORD-2026-0927</t>
  </si>
  <si>
    <t>ORD-2026-0928</t>
  </si>
  <si>
    <t>ORD-2026-0929</t>
  </si>
  <si>
    <t>ORD-2026-0930</t>
  </si>
  <si>
    <t>ORD-2026-0931</t>
  </si>
  <si>
    <t>ORD-2026-0932</t>
  </si>
  <si>
    <t>ORD-2026-0933</t>
  </si>
  <si>
    <t>ORD-2026-0934</t>
  </si>
  <si>
    <t>ORD-2026-0935</t>
  </si>
  <si>
    <t>ORD-2026-0936</t>
  </si>
  <si>
    <t>ORD-2026-0937</t>
  </si>
  <si>
    <t>2026-12-19</t>
  </si>
  <si>
    <t>ORD-2026-0938</t>
  </si>
  <si>
    <t>ORD-2026-0939</t>
  </si>
  <si>
    <t>ORD-2026-0940</t>
  </si>
  <si>
    <t>2026-01-03</t>
  </si>
  <si>
    <t>ORD-2026-0941</t>
  </si>
  <si>
    <t>ORD-2026-0942</t>
  </si>
  <si>
    <t>ORD-2026-0943</t>
  </si>
  <si>
    <t>ORD-2026-0944</t>
  </si>
  <si>
    <t>ORD-2026-0945</t>
  </si>
  <si>
    <t>ORD-2026-0946</t>
  </si>
  <si>
    <t>ORD-2026-0947</t>
  </si>
  <si>
    <t>ORD-2026-0948</t>
  </si>
  <si>
    <t>ORD-2026-0949</t>
  </si>
  <si>
    <t>ORD-2026-0950</t>
  </si>
  <si>
    <t>ORD-2026-0951</t>
  </si>
  <si>
    <t>2026-09-07</t>
  </si>
  <si>
    <t>ORD-2026-0952</t>
  </si>
  <si>
    <t>ORD-2026-0953</t>
  </si>
  <si>
    <t>ORD-2026-0954</t>
  </si>
  <si>
    <t>ORD-2026-0955</t>
  </si>
  <si>
    <t>ORD-2026-0956</t>
  </si>
  <si>
    <t>2026-12-07</t>
  </si>
  <si>
    <t>ORD-2026-0957</t>
  </si>
  <si>
    <t>ORD-2026-0958</t>
  </si>
  <si>
    <t>ORD-2026-0959</t>
  </si>
  <si>
    <t>ORD-2026-0960</t>
  </si>
  <si>
    <t>ORD-2026-0961</t>
  </si>
  <si>
    <t>ORD-2026-0962</t>
  </si>
  <si>
    <t>ORD-2026-0963</t>
  </si>
  <si>
    <t>ORD-2026-0964</t>
  </si>
  <si>
    <t>ORD-2026-0965</t>
  </si>
  <si>
    <t>ORD-2026-0966</t>
  </si>
  <si>
    <t>ORD-2026-0967</t>
  </si>
  <si>
    <t>2026-11-09</t>
  </si>
  <si>
    <t>ORD-2026-0968</t>
  </si>
  <si>
    <t>ORD-2026-0969</t>
  </si>
  <si>
    <t>ORD-2026-0970</t>
  </si>
  <si>
    <t>ORD-2026-0971</t>
  </si>
  <si>
    <t>ORD-2026-0972</t>
  </si>
  <si>
    <t>ORD-2026-0973</t>
  </si>
  <si>
    <t>ORD-2026-0974</t>
  </si>
  <si>
    <t>ORD-2026-0975</t>
  </si>
  <si>
    <t>2026-05-23</t>
  </si>
  <si>
    <t>ORD-2026-0976</t>
  </si>
  <si>
    <t>ORD-2026-0977</t>
  </si>
  <si>
    <t>ORD-2026-0978</t>
  </si>
  <si>
    <t>ORD-2026-0979</t>
  </si>
  <si>
    <t>ORD-2026-0980</t>
  </si>
  <si>
    <t>ORD-2026-0981</t>
  </si>
  <si>
    <t>ORD-2026-0982</t>
  </si>
  <si>
    <t>ORD-2026-0983</t>
  </si>
  <si>
    <t>ORD-2026-0984</t>
  </si>
  <si>
    <t>ORD-2026-0985</t>
  </si>
  <si>
    <t>ORD-2026-0986</t>
  </si>
  <si>
    <t>ORD-2026-0987</t>
  </si>
  <si>
    <t>ORD-2026-0988</t>
  </si>
  <si>
    <t>ORD-2026-0989</t>
  </si>
  <si>
    <t>ORD-2026-0990</t>
  </si>
  <si>
    <t>ORD-2026-0991</t>
  </si>
  <si>
    <t>ORD-2026-0992</t>
  </si>
  <si>
    <t>ORD-2026-0993</t>
  </si>
  <si>
    <t>ORD-2026-0994</t>
  </si>
  <si>
    <t>ORD-2026-0995</t>
  </si>
  <si>
    <t>ORD-2026-0996</t>
  </si>
  <si>
    <t>ORD-2026-0997</t>
  </si>
  <si>
    <t>2026-09-30</t>
  </si>
  <si>
    <t>ORD-2026-0998</t>
  </si>
  <si>
    <t>ORD-2026-0999</t>
  </si>
  <si>
    <t>ORD-2026-1000</t>
  </si>
  <si>
    <t>2026-07-22</t>
  </si>
  <si>
    <t>Row Labels</t>
  </si>
  <si>
    <t>Grand Total</t>
  </si>
  <si>
    <t>(blank)</t>
  </si>
  <si>
    <t>Count of Product</t>
  </si>
  <si>
    <t>Sum of Net Revenue (INR)</t>
  </si>
  <si>
    <t>Sum of Margin (%)</t>
  </si>
  <si>
    <t>Net Revenue</t>
  </si>
  <si>
    <t>Profit</t>
  </si>
  <si>
    <t>Avg Margin</t>
  </si>
  <si>
    <t>Total_Profit</t>
  </si>
  <si>
    <t>Gross Revenue</t>
  </si>
  <si>
    <t xml:space="preserve">Net Revenue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</si>
</sst>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
    <numFmt numFmtId="165" formatCode="_ [$₹-439]* #,##0_ ;_ [$₹-439]* \-#,##0_ ;_ [$₹-439]* &quot;-&quot;_ ;_ @_ "/>
  </numFmts>
  <fonts count="4" x14ac:knownFonts="1">
    <font>
      <sz val="11"/>
      <color theme="1"/>
      <name val="Calibri"/>
      <family val="2"/>
      <scheme val="minor"/>
    </font>
    <font>
      <sz val="9"/>
      <name val="Arial"/>
    </font>
    <font>
      <b/>
      <sz val="10"/>
      <color theme="1"/>
      <name val="Arial"/>
    </font>
    <font>
      <sz val="11"/>
      <color theme="1"/>
      <name val="Calibri"/>
      <family val="2"/>
      <scheme val="minor"/>
    </font>
  </fonts>
  <fills count="5">
    <fill>
      <patternFill patternType="none"/>
    </fill>
    <fill>
      <patternFill patternType="gray125"/>
    </fill>
    <fill>
      <patternFill patternType="solid">
        <fgColor rgb="FFEBF3FB"/>
      </patternFill>
    </fill>
    <fill>
      <patternFill patternType="solid">
        <fgColor rgb="FFFFFFFF"/>
      </patternFill>
    </fill>
    <fill>
      <patternFill patternType="solid">
        <fgColor theme="0"/>
        <bgColor indexed="64"/>
      </patternFill>
    </fill>
  </fills>
  <borders count="2">
    <border>
      <left/>
      <right/>
      <top/>
      <bottom/>
      <diagonal/>
    </border>
    <border>
      <left style="thin">
        <color rgb="FFD0D7DE"/>
      </left>
      <right style="thin">
        <color rgb="FFD0D7DE"/>
      </right>
      <top style="thin">
        <color rgb="FFD0D7DE"/>
      </top>
      <bottom style="thin">
        <color rgb="FFD0D7DE"/>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17">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right"/>
    </xf>
    <xf numFmtId="4" fontId="1" fillId="2" borderId="1" xfId="0" applyNumberFormat="1" applyFont="1" applyFill="1" applyBorder="1" applyAlignment="1">
      <alignment horizontal="right"/>
    </xf>
    <xf numFmtId="164" fontId="1" fillId="2" borderId="1" xfId="0" applyNumberFormat="1" applyFont="1" applyFill="1" applyBorder="1" applyAlignment="1">
      <alignment horizontal="right"/>
    </xf>
    <xf numFmtId="0" fontId="1" fillId="3" borderId="1" xfId="0" applyFont="1" applyFill="1" applyBorder="1" applyAlignment="1">
      <alignment horizontal="center"/>
    </xf>
    <xf numFmtId="0" fontId="1" fillId="3" borderId="1" xfId="0" applyFont="1" applyFill="1" applyBorder="1" applyAlignment="1">
      <alignment horizontal="right"/>
    </xf>
    <xf numFmtId="4"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0" fontId="2" fillId="4" borderId="1" xfId="0" applyFont="1" applyFill="1" applyBorder="1" applyAlignment="1">
      <alignment horizontal="center" vertical="center" wrapText="1"/>
    </xf>
    <xf numFmtId="0" fontId="0" fillId="4" borderId="0" xfId="0" applyFont="1" applyFill="1"/>
    <xf numFmtId="0" fontId="0" fillId="0" borderId="0" xfId="0" pivotButton="1"/>
    <xf numFmtId="0" fontId="0" fillId="0" borderId="0" xfId="0" applyAlignment="1">
      <alignment horizontal="left"/>
    </xf>
    <xf numFmtId="0" fontId="0" fillId="0" borderId="0" xfId="0" applyNumberFormat="1"/>
    <xf numFmtId="44" fontId="0" fillId="0" borderId="0" xfId="1" applyFont="1"/>
    <xf numFmtId="9" fontId="0" fillId="0" borderId="0" xfId="2" applyFont="1"/>
    <xf numFmtId="165" fontId="0" fillId="0" borderId="0" xfId="0" applyNumberFormat="1"/>
  </cellXfs>
  <cellStyles count="3">
    <cellStyle name="Currency" xfId="1" builtinId="4"/>
    <cellStyle name="Normal" xfId="0" builtinId="0"/>
    <cellStyle name="Percent" xfId="2" builtinId="5"/>
  </cellStyles>
  <dxfs count="3">
    <dxf>
      <numFmt numFmtId="165" formatCode="_ [$₹-439]* #,##0_ ;_ [$₹-439]* \-#,##0_ ;_ [$₹-439]* &quot;-&quot;_ ;_ @_ "/>
    </dxf>
    <dxf>
      <numFmt numFmtId="165" formatCode="_ [$₹-439]* #,##0_ ;_ [$₹-439]* \-#,##0_ ;_ [$₹-439]* &quot;-&quot;_ ;_ @_ "/>
    </dxf>
    <dxf>
      <numFmt numFmtId="165" formatCode="_ [$₹-439]* #,##0_ ;_ [$₹-439]* \-#,##0_ ;_ [$₹-439]* &quot;-&quot;_ ;_ @_ "/>
    </dxf>
  </dxfs>
  <tableStyles count="0" defaultTableStyle="TableStyleMedium2" defaultPivotStyle="PivotStyleLight16"/>
  <colors>
    <mruColors>
      <color rgb="FF33CC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Analyst Dashboard.xlsx]Revenue by region!PivotTable1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 by Revenue</a:t>
            </a:r>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'Revenue by region'!$B$3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8D2-4B6C-AB72-0A7D9B30939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D2-4B6C-AB72-0A7D9B30939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8D2-4B6C-AB72-0A7D9B30939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8D2-4B6C-AB72-0A7D9B30939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8D2-4B6C-AB72-0A7D9B30939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88D2-4B6C-AB72-0A7D9B30939D}"/>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'Revenue by region'!$A$4:$A$10</c:f>
              <c:strCache>
                <c:ptCount val="6"/>
                <c:pt idx="0">
                  <c:v>Central</c:v>
                </c:pt>
                <c:pt idx="1">
                  <c:v>East</c:v>
                </c:pt>
                <c:pt idx="2">
                  <c:v>North</c:v>
                </c:pt>
                <c:pt idx="3">
                  <c:v>South</c:v>
                </c:pt>
                <c:pt idx="4">
                  <c:v>West</c:v>
                </c:pt>
                <c:pt idx="5">
                  <c:v>(blank)</c:v>
                </c:pt>
              </c:strCache>
            </c:strRef>
          </c:cat>
          <c:val>
            <c:numRef>
              <c:f>'Revenue by region'!$B$4:$B$10</c:f>
              <c:numCache>
                <c:formatCode>General</c:formatCode>
                <c:ptCount val="6"/>
                <c:pt idx="0">
                  <c:v>31003083.380000014</c:v>
                </c:pt>
                <c:pt idx="1">
                  <c:v>29059845.77999999</c:v>
                </c:pt>
                <c:pt idx="2">
                  <c:v>27822294.959999997</c:v>
                </c:pt>
                <c:pt idx="3">
                  <c:v>20281465.5</c:v>
                </c:pt>
                <c:pt idx="4">
                  <c:v>29893994.610000007</c:v>
                </c:pt>
              </c:numCache>
            </c:numRef>
          </c:val>
          <c:extLst>
            <c:ext xmlns:c16="http://schemas.microsoft.com/office/drawing/2014/chart" uri="{C3380CC4-5D6E-409C-BE32-E72D297353CC}">
              <c16:uniqueId val="{0000000C-88D2-4B6C-AB72-0A7D9B30939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Analyst Dashboard.xlsx]Revenue by monthly trend!PivotTable2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Montyly Revenue by trend</a:t>
            </a:r>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monthly trend'!$B$3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 by monthly trend'!$A$4:$A$17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'Revenue by monthly trend'!$B$4:$B$17</c:f>
              <c:numCache>
                <c:formatCode>General</c:formatCode>
                <c:ptCount val="13"/>
                <c:pt idx="0">
                  <c:v>9356360.2700000033</c:v>
                </c:pt>
                <c:pt idx="1">
                  <c:v>7809286.7000000011</c:v>
                </c:pt>
                <c:pt idx="2">
                  <c:v>9261001.0299999993</c:v>
                </c:pt>
                <c:pt idx="3">
                  <c:v>10370820.18</c:v>
                </c:pt>
                <c:pt idx="4">
                  <c:v>9109341.8800000008</c:v>
                </c:pt>
                <c:pt idx="5">
                  <c:v>12809359.590000004</c:v>
                </c:pt>
                <c:pt idx="6">
                  <c:v>12251346.580000006</c:v>
                </c:pt>
                <c:pt idx="7">
                  <c:v>16655769.910000002</c:v>
                </c:pt>
                <c:pt idx="8">
                  <c:v>10392525.690000003</c:v>
                </c:pt>
                <c:pt idx="9">
                  <c:v>13402283.58</c:v>
                </c:pt>
                <c:pt idx="10">
                  <c:v>11064568.610000003</c:v>
                </c:pt>
                <c:pt idx="11">
                  <c:v>15578020.210000008</c:v>
                </c:pt>
              </c:numCache>
            </c:numRef>
          </c:val>
          <c:extLst>
            <c:ext xmlns:c16="http://schemas.microsoft.com/office/drawing/2014/chart" uri="{C3380CC4-5D6E-409C-BE32-E72D297353CC}">
              <c16:uniqueId val="{00000000-986A-40EA-BBD9-3F8369A0AC0E}"/>
            </c:ext>
          </c:extLst>
        </c:ser>
        <c:dLbls>
          <c:dLblPos val="ctr"/>
          <c:showLegendKey val="0"/>
          <c:showVal val="1"/>
          <c:showCatName val="0"/>
          <c:showSerName val="0"/>
          <c:showPercent val="0"/>
          <c:showBubbleSize val="0"/>
        </c:dLbls>
        <c:gapWidth val="115"/>
        <c:overlap val="-20"/>
        <c:axId val="1178740064"/>
        <c:axId val="1178735488"/>
      </c:barChart>
      <c:catAx>
        <c:axId val="11787400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8735488"/>
        <c:crosses val="autoZero"/>
        <c:auto val="1"/>
        <c:lblAlgn val="ctr"/>
        <c:lblOffset val="100"/>
        <c:noMultiLvlLbl val="0"/>
      </c:catAx>
      <c:valAx>
        <c:axId val="117873548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8740064"/>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Analyst Dashboard.xlsx]Sales by category!PivotTable3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product category</a:t>
            </a:r>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'Sales by category'!$B$3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A9D-4CBB-BF3C-D42DB5DBE56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A9D-4CBB-BF3C-D42DB5DBE56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A9D-4CBB-BF3C-D42DB5DBE56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A9D-4CBB-BF3C-D42DB5DBE56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A9D-4CBB-BF3C-D42DB5DBE56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A9D-4CBB-BF3C-D42DB5DBE5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by category'!$A$4:$A$10</c:f>
              <c:strCache>
                <c:ptCount val="6"/>
                <c:pt idx="0">
                  <c:v>Apparel</c:v>
                </c:pt>
                <c:pt idx="1">
                  <c:v>Cosmetics</c:v>
                </c:pt>
                <c:pt idx="2">
                  <c:v>Electronics</c:v>
                </c:pt>
                <c:pt idx="3">
                  <c:v>Food</c:v>
                </c:pt>
                <c:pt idx="4">
                  <c:v>Furniture</c:v>
                </c:pt>
                <c:pt idx="5">
                  <c:v>Sports</c:v>
                </c:pt>
              </c:strCache>
            </c:strRef>
          </c:cat>
          <c:val>
            <c:numRef>
              <c:f>'Sales by category'!$B$4:$B$10</c:f>
              <c:numCache>
                <c:formatCode>General</c:formatCode>
                <c:ptCount val="6"/>
                <c:pt idx="0">
                  <c:v>195</c:v>
                </c:pt>
                <c:pt idx="1">
                  <c:v>152</c:v>
                </c:pt>
                <c:pt idx="2">
                  <c:v>153</c:v>
                </c:pt>
                <c:pt idx="3">
                  <c:v>164</c:v>
                </c:pt>
                <c:pt idx="4">
                  <c:v>160</c:v>
                </c:pt>
                <c:pt idx="5">
                  <c:v>176</c:v>
                </c:pt>
              </c:numCache>
            </c:numRef>
          </c:val>
          <c:extLst>
            <c:ext xmlns:c16="http://schemas.microsoft.com/office/drawing/2014/chart" uri="{C3380CC4-5D6E-409C-BE32-E72D297353CC}">
              <c16:uniqueId val="{0000000C-7A9D-4CBB-BF3C-D42DB5DBE566}"/>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Analyst Dashboard.xlsx]Customer segment Revenue Share!PivotTable4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segment revenue share</a:t>
            </a:r>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12072944006999126"/>
              <c:y val="0.1790686060075824"/>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11031824146981627"/>
              <c:y val="-0.10196886847477407"/>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6.3525809273840772E-2"/>
              <c:y val="-0.11958989501312345"/>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9.1792869641294808E-2"/>
              <c:y val="-2.3782808398950216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0.11374496937882762"/>
              <c:y val="0.1870742198891805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0.12072944006999126"/>
              <c:y val="0.1790686060075824"/>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0.11031824146981627"/>
              <c:y val="-0.10196886847477407"/>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6.3525809273840772E-2"/>
              <c:y val="-0.11958989501312345"/>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9.1792869641294808E-2"/>
              <c:y val="-2.3782808398950216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0.11374496937882762"/>
              <c:y val="0.1870742198891805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336220257088158"/>
              <c:y val="0.1790687757698900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031824146981627"/>
              <c:y val="-0.10196886847477407"/>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3525809273840772E-2"/>
              <c:y val="-0.11958989501312345"/>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792869641294808E-2"/>
              <c:y val="-2.3782808398950216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216678822135106"/>
              <c:y val="0.18168037946189661"/>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'Customer segment Revenue Share'!$B$3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40E-4249-BC30-A9C27DD27DD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40E-4249-BC30-A9C27DD27DD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40E-4249-BC30-A9C27DD27DD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40E-4249-BC30-A9C27DD27DD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40E-4249-BC30-A9C27DD27DD3}"/>
              </c:ext>
            </c:extLst>
          </c:dPt>
          <c:dLbls>
            <c:dLbl>
              <c:idx val="0"/>
              <c:layout>
                <c:manualLayout>
                  <c:x val="-0.10336220257088158"/>
                  <c:y val="0.1790687757698900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40E-4249-BC30-A9C27DD27DD3}"/>
                </c:ext>
              </c:extLst>
            </c:dLbl>
            <c:dLbl>
              <c:idx val="1"/>
              <c:layout>
                <c:manualLayout>
                  <c:x val="-0.11031824146981627"/>
                  <c:y val="-0.101968868474774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40E-4249-BC30-A9C27DD27DD3}"/>
                </c:ext>
              </c:extLst>
            </c:dLbl>
            <c:dLbl>
              <c:idx val="2"/>
              <c:layout>
                <c:manualLayout>
                  <c:x val="6.3525809273840772E-2"/>
                  <c:y val="-0.1195898950131234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40E-4249-BC30-A9C27DD27DD3}"/>
                </c:ext>
              </c:extLst>
            </c:dLbl>
            <c:dLbl>
              <c:idx val="3"/>
              <c:layout>
                <c:manualLayout>
                  <c:x val="9.1792869641294808E-2"/>
                  <c:y val="-2.378280839895021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40E-4249-BC30-A9C27DD27DD3}"/>
                </c:ext>
              </c:extLst>
            </c:dLbl>
            <c:dLbl>
              <c:idx val="4"/>
              <c:layout>
                <c:manualLayout>
                  <c:x val="0.10216678822135106"/>
                  <c:y val="0.1816803794618966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40E-4249-BC30-A9C27DD27DD3}"/>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'Customer segment Revenue Share'!$A$4:$A$9</c:f>
              <c:strCache>
                <c:ptCount val="5"/>
                <c:pt idx="0">
                  <c:v>Enterprise</c:v>
                </c:pt>
                <c:pt idx="1">
                  <c:v>Online</c:v>
                </c:pt>
                <c:pt idx="2">
                  <c:v>Retail</c:v>
                </c:pt>
                <c:pt idx="3">
                  <c:v>SMB</c:v>
                </c:pt>
                <c:pt idx="4">
                  <c:v>Wholesale</c:v>
                </c:pt>
              </c:strCache>
            </c:strRef>
          </c:cat>
          <c:val>
            <c:numRef>
              <c:f>'Customer segment Revenue Share'!$B$4:$B$9</c:f>
              <c:numCache>
                <c:formatCode>General</c:formatCode>
                <c:ptCount val="5"/>
                <c:pt idx="0">
                  <c:v>28217202.100000009</c:v>
                </c:pt>
                <c:pt idx="1">
                  <c:v>32016775.300000008</c:v>
                </c:pt>
                <c:pt idx="2">
                  <c:v>31287940.649999984</c:v>
                </c:pt>
                <c:pt idx="3">
                  <c:v>19735879.280000005</c:v>
                </c:pt>
                <c:pt idx="4">
                  <c:v>26802886.899999995</c:v>
                </c:pt>
              </c:numCache>
            </c:numRef>
          </c:val>
          <c:extLst>
            <c:ext xmlns:c16="http://schemas.microsoft.com/office/drawing/2014/chart" uri="{C3380CC4-5D6E-409C-BE32-E72D297353CC}">
              <c16:uniqueId val="{0000000A-640E-4249-BC30-A9C27DD27DD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Analyst Dashboard.xlsx]Profit Margin by Category!PivotTable5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margin by category</a:t>
            </a:r>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Margin by Category'!$B$1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Margin by Category'!$A$2:$A$8</c:f>
              <c:strCache>
                <c:ptCount val="6"/>
                <c:pt idx="0">
                  <c:v>Apparel</c:v>
                </c:pt>
                <c:pt idx="1">
                  <c:v>Cosmetics</c:v>
                </c:pt>
                <c:pt idx="2">
                  <c:v>Electronics</c:v>
                </c:pt>
                <c:pt idx="3">
                  <c:v>Food</c:v>
                </c:pt>
                <c:pt idx="4">
                  <c:v>Furniture</c:v>
                </c:pt>
                <c:pt idx="5">
                  <c:v>Sports</c:v>
                </c:pt>
              </c:strCache>
            </c:strRef>
          </c:cat>
          <c:val>
            <c:numRef>
              <c:f>'Profit Margin by Category'!$B$2:$B$8</c:f>
              <c:numCache>
                <c:formatCode>General</c:formatCode>
                <c:ptCount val="6"/>
                <c:pt idx="0">
                  <c:v>9680.3999999999978</c:v>
                </c:pt>
                <c:pt idx="1">
                  <c:v>9016.6</c:v>
                </c:pt>
                <c:pt idx="2">
                  <c:v>3476.6999999999994</c:v>
                </c:pt>
                <c:pt idx="3">
                  <c:v>4837.3999999999996</c:v>
                </c:pt>
                <c:pt idx="4">
                  <c:v>6338.1000000000013</c:v>
                </c:pt>
                <c:pt idx="5">
                  <c:v>5936.0999999999995</c:v>
                </c:pt>
              </c:numCache>
            </c:numRef>
          </c:val>
          <c:extLst>
            <c:ext xmlns:c16="http://schemas.microsoft.com/office/drawing/2014/chart" uri="{C3380CC4-5D6E-409C-BE32-E72D297353CC}">
              <c16:uniqueId val="{00000000-B542-4020-A49C-355933A8D831}"/>
            </c:ext>
          </c:extLst>
        </c:ser>
        <c:dLbls>
          <c:dLblPos val="inEnd"/>
          <c:showLegendKey val="0"/>
          <c:showVal val="1"/>
          <c:showCatName val="0"/>
          <c:showSerName val="0"/>
          <c:showPercent val="0"/>
          <c:showBubbleSize val="0"/>
        </c:dLbls>
        <c:gapWidth val="100"/>
        <c:overlap val="-24"/>
        <c:axId val="842844896"/>
        <c:axId val="842854048"/>
      </c:barChart>
      <c:catAx>
        <c:axId val="8428448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2854048"/>
        <c:crosses val="autoZero"/>
        <c:auto val="1"/>
        <c:lblAlgn val="ctr"/>
        <c:lblOffset val="100"/>
        <c:noMultiLvlLbl val="0"/>
      </c:catAx>
      <c:valAx>
        <c:axId val="8428540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2844896"/>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Analyst Dashboard.xlsx]Top 10 Products by revenue!PivotTable6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products by revenue</a:t>
            </a:r>
          </a:p>
        </c:rich>
      </c:tx>
      <c:overlay val="0"/>
      <c:spPr>
        <a:noFill/>
        <a:ln>
          <a:solidFill>
            <a:schemeClr val="bg1"/>
          </a:soli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 by revenue'!$B$3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10 Products by revenue'!$A$4:$A$14</c:f>
              <c:strCache>
                <c:ptCount val="10"/>
                <c:pt idx="0">
                  <c:v>Bed Frame Queen</c:v>
                </c:pt>
                <c:pt idx="1">
                  <c:v>DSLR Camera</c:v>
                </c:pt>
                <c:pt idx="2">
                  <c:v>Gaming Console</c:v>
                </c:pt>
                <c:pt idx="3">
                  <c:v>Laptop Pro X1</c:v>
                </c:pt>
                <c:pt idx="4">
                  <c:v>Smart TV 55"</c:v>
                </c:pt>
                <c:pt idx="5">
                  <c:v>Smart Watch S3</c:v>
                </c:pt>
                <c:pt idx="6">
                  <c:v>Sofa 3-seater</c:v>
                </c:pt>
                <c:pt idx="7">
                  <c:v>Tablet Ultra</c:v>
                </c:pt>
                <c:pt idx="8">
                  <c:v>Wardrobe 3-door</c:v>
                </c:pt>
                <c:pt idx="9">
                  <c:v>Wireless Earbuds</c:v>
                </c:pt>
              </c:strCache>
            </c:strRef>
          </c:cat>
          <c:val>
            <c:numRef>
              <c:f>'Top 10 Products by revenue'!$B$4:$B$14</c:f>
              <c:numCache>
                <c:formatCode>General</c:formatCode>
                <c:ptCount val="10"/>
                <c:pt idx="0">
                  <c:v>6666875.9100000011</c:v>
                </c:pt>
                <c:pt idx="1">
                  <c:v>14947911.590000002</c:v>
                </c:pt>
                <c:pt idx="2">
                  <c:v>11721860.950000003</c:v>
                </c:pt>
                <c:pt idx="3">
                  <c:v>9963335.679999996</c:v>
                </c:pt>
                <c:pt idx="4">
                  <c:v>7947290.4199999999</c:v>
                </c:pt>
                <c:pt idx="5">
                  <c:v>12780171.700000005</c:v>
                </c:pt>
                <c:pt idx="6">
                  <c:v>7973229.0999999996</c:v>
                </c:pt>
                <c:pt idx="7">
                  <c:v>11093188.33</c:v>
                </c:pt>
                <c:pt idx="8">
                  <c:v>8636358.6400000006</c:v>
                </c:pt>
                <c:pt idx="9">
                  <c:v>9519870.2699999996</c:v>
                </c:pt>
              </c:numCache>
            </c:numRef>
          </c:val>
          <c:extLst>
            <c:ext xmlns:c16="http://schemas.microsoft.com/office/drawing/2014/chart" uri="{C3380CC4-5D6E-409C-BE32-E72D297353CC}">
              <c16:uniqueId val="{00000000-16BA-4338-BC0E-6C345D5AFB46}"/>
            </c:ext>
          </c:extLst>
        </c:ser>
        <c:dLbls>
          <c:dLblPos val="inEnd"/>
          <c:showLegendKey val="0"/>
          <c:showVal val="1"/>
          <c:showCatName val="0"/>
          <c:showSerName val="0"/>
          <c:showPercent val="0"/>
          <c:showBubbleSize val="0"/>
        </c:dLbls>
        <c:gapWidth val="115"/>
        <c:overlap val="-20"/>
        <c:axId val="851223696"/>
        <c:axId val="851212464"/>
      </c:barChart>
      <c:catAx>
        <c:axId val="8512236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1212464"/>
        <c:crosses val="autoZero"/>
        <c:auto val="1"/>
        <c:lblAlgn val="ctr"/>
        <c:lblOffset val="100"/>
        <c:noMultiLvlLbl val="0"/>
      </c:catAx>
      <c:valAx>
        <c:axId val="85121246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1223696"/>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Analyst Dashboard.xlsx]Revenue by region!PivotTable1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 by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3"/>
          </a:solidFill>
          <a:ln>
            <a:noFill/>
          </a:ln>
          <a:effectLst>
            <a:outerShdw blurRad="254000" sx="102000" sy="102000" algn="ctr" rotWithShape="0">
              <a:prstClr val="black">
                <a:alpha val="20000"/>
              </a:prstClr>
            </a:outerShdw>
          </a:effectLst>
        </c:spPr>
      </c:pivotFmt>
      <c:pivotFmt>
        <c:idx val="4"/>
        <c:spPr>
          <a:solidFill>
            <a:schemeClr val="accent4"/>
          </a:solidFill>
          <a:ln>
            <a:noFill/>
          </a:ln>
          <a:effectLst>
            <a:outerShdw blurRad="254000" sx="102000" sy="102000" algn="ctr" rotWithShape="0">
              <a:prstClr val="black">
                <a:alpha val="20000"/>
              </a:prstClr>
            </a:outerShdw>
          </a:effectLst>
        </c:spPr>
      </c:pivotFmt>
      <c:pivotFmt>
        <c:idx val="5"/>
        <c:spPr>
          <a:solidFill>
            <a:schemeClr val="accent5"/>
          </a:solidFill>
          <a:ln>
            <a:noFill/>
          </a:ln>
          <a:effectLst>
            <a:outerShdw blurRad="254000" sx="102000" sy="102000" algn="ctr" rotWithShape="0">
              <a:prstClr val="black">
                <a:alpha val="20000"/>
              </a:prstClr>
            </a:outerShdw>
          </a:effectLst>
        </c:spPr>
      </c:pivotFmt>
      <c:pivotFmt>
        <c:idx val="6"/>
        <c:spPr>
          <a:solidFill>
            <a:schemeClr val="accent6"/>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'Revenue by region'!$B$3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C9D-41C7-A373-E19120BA364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C9D-41C7-A373-E19120BA364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C9D-41C7-A373-E19120BA364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C9D-41C7-A373-E19120BA364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C9D-41C7-A373-E19120BA364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C9D-41C7-A373-E19120BA364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'Revenue by region'!$A$4:$A$10</c:f>
              <c:strCache>
                <c:ptCount val="6"/>
                <c:pt idx="0">
                  <c:v>Central</c:v>
                </c:pt>
                <c:pt idx="1">
                  <c:v>East</c:v>
                </c:pt>
                <c:pt idx="2">
                  <c:v>North</c:v>
                </c:pt>
                <c:pt idx="3">
                  <c:v>South</c:v>
                </c:pt>
                <c:pt idx="4">
                  <c:v>West</c:v>
                </c:pt>
                <c:pt idx="5">
                  <c:v>(blank)</c:v>
                </c:pt>
              </c:strCache>
            </c:strRef>
          </c:cat>
          <c:val>
            <c:numRef>
              <c:f>'Revenue by region'!$B$4:$B$10</c:f>
              <c:numCache>
                <c:formatCode>General</c:formatCode>
                <c:ptCount val="6"/>
                <c:pt idx="0">
                  <c:v>31003083.380000014</c:v>
                </c:pt>
                <c:pt idx="1">
                  <c:v>29059845.77999999</c:v>
                </c:pt>
                <c:pt idx="2">
                  <c:v>27822294.959999997</c:v>
                </c:pt>
                <c:pt idx="3">
                  <c:v>20281465.5</c:v>
                </c:pt>
                <c:pt idx="4">
                  <c:v>29893994.610000007</c:v>
                </c:pt>
              </c:numCache>
            </c:numRef>
          </c:val>
          <c:extLst>
            <c:ext xmlns:c16="http://schemas.microsoft.com/office/drawing/2014/chart" uri="{C3380CC4-5D6E-409C-BE32-E72D297353CC}">
              <c16:uniqueId val="{00000000-9AD0-4AB8-813F-C4F1A695F79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Analyst Dashboard.xlsx]Revenue by monthly trend!PivotTable2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a:t>
            </a:r>
            <a:r>
              <a:rPr lang="en-US" baseline="0"/>
              <a:t> Revenue by trend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monthly trend'!$B$3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'Revenue by monthly trend'!$A$4:$A$17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'Revenue by monthly trend'!$B$4:$B$17</c:f>
              <c:numCache>
                <c:formatCode>General</c:formatCode>
                <c:ptCount val="13"/>
                <c:pt idx="0">
                  <c:v>9356360.2700000033</c:v>
                </c:pt>
                <c:pt idx="1">
                  <c:v>7809286.7000000011</c:v>
                </c:pt>
                <c:pt idx="2">
                  <c:v>9261001.0299999993</c:v>
                </c:pt>
                <c:pt idx="3">
                  <c:v>10370820.18</c:v>
                </c:pt>
                <c:pt idx="4">
                  <c:v>9109341.8800000008</c:v>
                </c:pt>
                <c:pt idx="5">
                  <c:v>12809359.590000004</c:v>
                </c:pt>
                <c:pt idx="6">
                  <c:v>12251346.580000006</c:v>
                </c:pt>
                <c:pt idx="7">
                  <c:v>16655769.910000002</c:v>
                </c:pt>
                <c:pt idx="8">
                  <c:v>10392525.690000003</c:v>
                </c:pt>
                <c:pt idx="9">
                  <c:v>13402283.58</c:v>
                </c:pt>
                <c:pt idx="10">
                  <c:v>11064568.610000003</c:v>
                </c:pt>
                <c:pt idx="11">
                  <c:v>15578020.210000008</c:v>
                </c:pt>
              </c:numCache>
            </c:numRef>
          </c:val>
          <c:smooth val="0"/>
          <c:extLst>
            <c:ext xmlns:c16="http://schemas.microsoft.com/office/drawing/2014/chart" uri="{C3380CC4-5D6E-409C-BE32-E72D297353CC}">
              <c16:uniqueId val="{00000000-B0C4-4439-8CE3-4B62C16DE059}"/>
            </c:ext>
          </c:extLst>
        </c:ser>
        <c:dLbls>
          <c:dLblPos val="ctr"/>
          <c:showLegendKey val="0"/>
          <c:showVal val="1"/>
          <c:showCatName val="0"/>
          <c:showSerName val="0"/>
          <c:showPercent val="0"/>
          <c:showBubbleSize val="0"/>
        </c:dLbls>
        <c:marker val="1"/>
        <c:smooth val="0"/>
        <c:axId val="1178740064"/>
        <c:axId val="1178735488"/>
      </c:lineChart>
      <c:catAx>
        <c:axId val="11787400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8735488"/>
        <c:crosses val="autoZero"/>
        <c:auto val="1"/>
        <c:lblAlgn val="ctr"/>
        <c:lblOffset val="100"/>
        <c:noMultiLvlLbl val="0"/>
      </c:catAx>
      <c:valAx>
        <c:axId val="11787354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1787400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Analyst Dashboard.xlsx]Sales by category!PivotTable3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Sales by product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'Sales by category'!$B$3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F50-4376-A85A-499F165845D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F50-4376-A85A-499F165845D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F50-4376-A85A-499F165845D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F50-4376-A85A-499F165845D7}"/>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F50-4376-A85A-499F165845D7}"/>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F50-4376-A85A-499F165845D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by category'!$A$4:$A$10</c:f>
              <c:strCache>
                <c:ptCount val="6"/>
                <c:pt idx="0">
                  <c:v>Apparel</c:v>
                </c:pt>
                <c:pt idx="1">
                  <c:v>Cosmetics</c:v>
                </c:pt>
                <c:pt idx="2">
                  <c:v>Electronics</c:v>
                </c:pt>
                <c:pt idx="3">
                  <c:v>Food</c:v>
                </c:pt>
                <c:pt idx="4">
                  <c:v>Furniture</c:v>
                </c:pt>
                <c:pt idx="5">
                  <c:v>Sports</c:v>
                </c:pt>
              </c:strCache>
            </c:strRef>
          </c:cat>
          <c:val>
            <c:numRef>
              <c:f>'Sales by category'!$B$4:$B$10</c:f>
              <c:numCache>
                <c:formatCode>General</c:formatCode>
                <c:ptCount val="6"/>
                <c:pt idx="0">
                  <c:v>195</c:v>
                </c:pt>
                <c:pt idx="1">
                  <c:v>152</c:v>
                </c:pt>
                <c:pt idx="2">
                  <c:v>153</c:v>
                </c:pt>
                <c:pt idx="3">
                  <c:v>164</c:v>
                </c:pt>
                <c:pt idx="4">
                  <c:v>160</c:v>
                </c:pt>
                <c:pt idx="5">
                  <c:v>176</c:v>
                </c:pt>
              </c:numCache>
            </c:numRef>
          </c:val>
          <c:extLst>
            <c:ext xmlns:c16="http://schemas.microsoft.com/office/drawing/2014/chart" uri="{C3380CC4-5D6E-409C-BE32-E72D297353CC}">
              <c16:uniqueId val="{00000000-84EA-45FB-83F6-5CB398750D9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Analyst Dashboard.xlsx]Customer segment Revenue Share!PivotTable4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Customer segment revenue share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2072944006999126"/>
              <c:y val="0.1790686060075824"/>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11031824146981627"/>
              <c:y val="-0.10196886847477407"/>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6.3525809273840772E-2"/>
              <c:y val="-0.11958989501312345"/>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9.1792869641294808E-2"/>
              <c:y val="-2.3782808398950216E-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0.11374496937882762"/>
              <c:y val="0.18707421988918052"/>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'Customer segment Revenue Share'!$B$3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CF1-4351-9EE6-8DB69EBBB7C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CF1-4351-9EE6-8DB69EBBB7C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CF1-4351-9EE6-8DB69EBBB7C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CF1-4351-9EE6-8DB69EBBB7C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CF1-4351-9EE6-8DB69EBBB7CE}"/>
              </c:ext>
            </c:extLst>
          </c:dPt>
          <c:dLbls>
            <c:dLbl>
              <c:idx val="0"/>
              <c:layout>
                <c:manualLayout>
                  <c:x val="-0.12072944006999126"/>
                  <c:y val="0.179068606007582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CF1-4351-9EE6-8DB69EBBB7CE}"/>
                </c:ext>
              </c:extLst>
            </c:dLbl>
            <c:dLbl>
              <c:idx val="1"/>
              <c:layout>
                <c:manualLayout>
                  <c:x val="-0.11031824146981627"/>
                  <c:y val="-0.101968868474774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CF1-4351-9EE6-8DB69EBBB7CE}"/>
                </c:ext>
              </c:extLst>
            </c:dLbl>
            <c:dLbl>
              <c:idx val="2"/>
              <c:layout>
                <c:manualLayout>
                  <c:x val="6.3525809273840772E-2"/>
                  <c:y val="-0.1195898950131234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CF1-4351-9EE6-8DB69EBBB7CE}"/>
                </c:ext>
              </c:extLst>
            </c:dLbl>
            <c:dLbl>
              <c:idx val="3"/>
              <c:layout>
                <c:manualLayout>
                  <c:x val="9.1792869641294808E-2"/>
                  <c:y val="-2.378280839895021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CF1-4351-9EE6-8DB69EBBB7CE}"/>
                </c:ext>
              </c:extLst>
            </c:dLbl>
            <c:dLbl>
              <c:idx val="4"/>
              <c:layout>
                <c:manualLayout>
                  <c:x val="0.11374496937882762"/>
                  <c:y val="0.1870742198891805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CF1-4351-9EE6-8DB69EBBB7CE}"/>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'Customer segment Revenue Share'!$A$4:$A$9</c:f>
              <c:strCache>
                <c:ptCount val="5"/>
                <c:pt idx="0">
                  <c:v>Enterprise</c:v>
                </c:pt>
                <c:pt idx="1">
                  <c:v>Online</c:v>
                </c:pt>
                <c:pt idx="2">
                  <c:v>Retail</c:v>
                </c:pt>
                <c:pt idx="3">
                  <c:v>SMB</c:v>
                </c:pt>
                <c:pt idx="4">
                  <c:v>Wholesale</c:v>
                </c:pt>
              </c:strCache>
            </c:strRef>
          </c:cat>
          <c:val>
            <c:numRef>
              <c:f>'Customer segment Revenue Share'!$B$4:$B$9</c:f>
              <c:numCache>
                <c:formatCode>General</c:formatCode>
                <c:ptCount val="5"/>
                <c:pt idx="0">
                  <c:v>28217202.100000009</c:v>
                </c:pt>
                <c:pt idx="1">
                  <c:v>32016775.300000008</c:v>
                </c:pt>
                <c:pt idx="2">
                  <c:v>31287940.649999984</c:v>
                </c:pt>
                <c:pt idx="3">
                  <c:v>19735879.280000005</c:v>
                </c:pt>
                <c:pt idx="4">
                  <c:v>26802886.899999995</c:v>
                </c:pt>
              </c:numCache>
            </c:numRef>
          </c:val>
          <c:extLst>
            <c:ext xmlns:c16="http://schemas.microsoft.com/office/drawing/2014/chart" uri="{C3380CC4-5D6E-409C-BE32-E72D297353CC}">
              <c16:uniqueId val="{00000000-FE67-4A80-B464-4DA79EF3446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Analyst Dashboard.xlsx]Profit Margin by Category!PivotTable5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Profit margin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Margin by Category'!$B$1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Margin by Category'!$A$2:$A$8</c:f>
              <c:strCache>
                <c:ptCount val="6"/>
                <c:pt idx="0">
                  <c:v>Apparel</c:v>
                </c:pt>
                <c:pt idx="1">
                  <c:v>Cosmetics</c:v>
                </c:pt>
                <c:pt idx="2">
                  <c:v>Electronics</c:v>
                </c:pt>
                <c:pt idx="3">
                  <c:v>Food</c:v>
                </c:pt>
                <c:pt idx="4">
                  <c:v>Furniture</c:v>
                </c:pt>
                <c:pt idx="5">
                  <c:v>Sports</c:v>
                </c:pt>
              </c:strCache>
            </c:strRef>
          </c:cat>
          <c:val>
            <c:numRef>
              <c:f>'Profit Margin by Category'!$B$2:$B$8</c:f>
              <c:numCache>
                <c:formatCode>General</c:formatCode>
                <c:ptCount val="6"/>
                <c:pt idx="0">
                  <c:v>9680.3999999999978</c:v>
                </c:pt>
                <c:pt idx="1">
                  <c:v>9016.6</c:v>
                </c:pt>
                <c:pt idx="2">
                  <c:v>3476.6999999999994</c:v>
                </c:pt>
                <c:pt idx="3">
                  <c:v>4837.3999999999996</c:v>
                </c:pt>
                <c:pt idx="4">
                  <c:v>6338.1000000000013</c:v>
                </c:pt>
                <c:pt idx="5">
                  <c:v>5936.0999999999995</c:v>
                </c:pt>
              </c:numCache>
            </c:numRef>
          </c:val>
          <c:extLst>
            <c:ext xmlns:c16="http://schemas.microsoft.com/office/drawing/2014/chart" uri="{C3380CC4-5D6E-409C-BE32-E72D297353CC}">
              <c16:uniqueId val="{00000000-2961-40D7-BB96-4350A9461C51}"/>
            </c:ext>
          </c:extLst>
        </c:ser>
        <c:dLbls>
          <c:dLblPos val="inEnd"/>
          <c:showLegendKey val="0"/>
          <c:showVal val="1"/>
          <c:showCatName val="0"/>
          <c:showSerName val="0"/>
          <c:showPercent val="0"/>
          <c:showBubbleSize val="0"/>
        </c:dLbls>
        <c:gapWidth val="65"/>
        <c:axId val="842844896"/>
        <c:axId val="842854048"/>
      </c:barChart>
      <c:catAx>
        <c:axId val="8428448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42854048"/>
        <c:crosses val="autoZero"/>
        <c:auto val="1"/>
        <c:lblAlgn val="ctr"/>
        <c:lblOffset val="100"/>
        <c:noMultiLvlLbl val="0"/>
      </c:catAx>
      <c:valAx>
        <c:axId val="8428540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428448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Analyst Dashboard.xlsx]Top 10 Products by revenue!PivotTable6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Top 10 products by revenue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 by revenue'!$B$3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Products by revenue'!$A$4:$A$14</c:f>
              <c:strCache>
                <c:ptCount val="10"/>
                <c:pt idx="0">
                  <c:v>Bed Frame Queen</c:v>
                </c:pt>
                <c:pt idx="1">
                  <c:v>DSLR Camera</c:v>
                </c:pt>
                <c:pt idx="2">
                  <c:v>Gaming Console</c:v>
                </c:pt>
                <c:pt idx="3">
                  <c:v>Laptop Pro X1</c:v>
                </c:pt>
                <c:pt idx="4">
                  <c:v>Smart TV 55"</c:v>
                </c:pt>
                <c:pt idx="5">
                  <c:v>Smart Watch S3</c:v>
                </c:pt>
                <c:pt idx="6">
                  <c:v>Sofa 3-seater</c:v>
                </c:pt>
                <c:pt idx="7">
                  <c:v>Tablet Ultra</c:v>
                </c:pt>
                <c:pt idx="8">
                  <c:v>Wardrobe 3-door</c:v>
                </c:pt>
                <c:pt idx="9">
                  <c:v>Wireless Earbuds</c:v>
                </c:pt>
              </c:strCache>
            </c:strRef>
          </c:cat>
          <c:val>
            <c:numRef>
              <c:f>'Top 10 Products by revenue'!$B$4:$B$14</c:f>
              <c:numCache>
                <c:formatCode>General</c:formatCode>
                <c:ptCount val="10"/>
                <c:pt idx="0">
                  <c:v>6666875.9100000011</c:v>
                </c:pt>
                <c:pt idx="1">
                  <c:v>14947911.590000002</c:v>
                </c:pt>
                <c:pt idx="2">
                  <c:v>11721860.950000003</c:v>
                </c:pt>
                <c:pt idx="3">
                  <c:v>9963335.679999996</c:v>
                </c:pt>
                <c:pt idx="4">
                  <c:v>7947290.4199999999</c:v>
                </c:pt>
                <c:pt idx="5">
                  <c:v>12780171.700000005</c:v>
                </c:pt>
                <c:pt idx="6">
                  <c:v>7973229.0999999996</c:v>
                </c:pt>
                <c:pt idx="7">
                  <c:v>11093188.33</c:v>
                </c:pt>
                <c:pt idx="8">
                  <c:v>8636358.6400000006</c:v>
                </c:pt>
                <c:pt idx="9">
                  <c:v>9519870.2699999996</c:v>
                </c:pt>
              </c:numCache>
            </c:numRef>
          </c:val>
          <c:extLst>
            <c:ext xmlns:c16="http://schemas.microsoft.com/office/drawing/2014/chart" uri="{C3380CC4-5D6E-409C-BE32-E72D297353CC}">
              <c16:uniqueId val="{00000000-8796-422A-B45F-40EDD85A607F}"/>
            </c:ext>
          </c:extLst>
        </c:ser>
        <c:dLbls>
          <c:dLblPos val="inEnd"/>
          <c:showLegendKey val="0"/>
          <c:showVal val="1"/>
          <c:showCatName val="0"/>
          <c:showSerName val="0"/>
          <c:showPercent val="0"/>
          <c:showBubbleSize val="0"/>
        </c:dLbls>
        <c:gapWidth val="65"/>
        <c:axId val="851223696"/>
        <c:axId val="851212464"/>
      </c:barChart>
      <c:catAx>
        <c:axId val="8512236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51212464"/>
        <c:crosses val="autoZero"/>
        <c:auto val="1"/>
        <c:lblAlgn val="ctr"/>
        <c:lblOffset val="100"/>
        <c:noMultiLvlLbl val="0"/>
      </c:catAx>
      <c:valAx>
        <c:axId val="851212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512236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Analyst Dashboard.xlsx]Top Sales reps by Revenue!PivotTable1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i="0" u="none" strike="noStrike" baseline="0"/>
              <a:t>Top sales reps by revenue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Sales reps by Revenue'!$B$3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Sales reps by Revenue'!$A$4:$A$14</c:f>
              <c:strCache>
                <c:ptCount val="10"/>
                <c:pt idx="0">
                  <c:v>Aisha Khan</c:v>
                </c:pt>
                <c:pt idx="1">
                  <c:v>Amit Joshi</c:v>
                </c:pt>
                <c:pt idx="2">
                  <c:v>Deepak Rao</c:v>
                </c:pt>
                <c:pt idx="3">
                  <c:v>Kavya Bhat</c:v>
                </c:pt>
                <c:pt idx="4">
                  <c:v>Neha Patel</c:v>
                </c:pt>
                <c:pt idx="5">
                  <c:v>Priya Sharma</c:v>
                </c:pt>
                <c:pt idx="6">
                  <c:v>Rahul Mehta</c:v>
                </c:pt>
                <c:pt idx="7">
                  <c:v>Rohit Das</c:v>
                </c:pt>
                <c:pt idx="8">
                  <c:v>Sunita Lal</c:v>
                </c:pt>
                <c:pt idx="9">
                  <c:v>Vikram Tiwari</c:v>
                </c:pt>
              </c:strCache>
            </c:strRef>
          </c:cat>
          <c:val>
            <c:numRef>
              <c:f>'Top Sales reps by Revenue'!$B$4:$B$14</c:f>
              <c:numCache>
                <c:formatCode>General</c:formatCode>
                <c:ptCount val="10"/>
                <c:pt idx="0">
                  <c:v>10430947.809999999</c:v>
                </c:pt>
                <c:pt idx="1">
                  <c:v>16066822.470000003</c:v>
                </c:pt>
                <c:pt idx="2">
                  <c:v>12243548.030000003</c:v>
                </c:pt>
                <c:pt idx="3">
                  <c:v>17445808.830000002</c:v>
                </c:pt>
                <c:pt idx="4">
                  <c:v>13962835.790000007</c:v>
                </c:pt>
                <c:pt idx="5">
                  <c:v>13201854.730000004</c:v>
                </c:pt>
                <c:pt idx="6">
                  <c:v>12524527.000000004</c:v>
                </c:pt>
                <c:pt idx="7">
                  <c:v>14286675.52</c:v>
                </c:pt>
                <c:pt idx="8">
                  <c:v>15604592.59</c:v>
                </c:pt>
                <c:pt idx="9">
                  <c:v>12293071.460000008</c:v>
                </c:pt>
              </c:numCache>
            </c:numRef>
          </c:val>
          <c:extLst>
            <c:ext xmlns:c16="http://schemas.microsoft.com/office/drawing/2014/chart" uri="{C3380CC4-5D6E-409C-BE32-E72D297353CC}">
              <c16:uniqueId val="{00000000-AA0E-4BCF-9555-5CF6B2C67F8F}"/>
            </c:ext>
          </c:extLst>
        </c:ser>
        <c:dLbls>
          <c:dLblPos val="inEnd"/>
          <c:showLegendKey val="0"/>
          <c:showVal val="1"/>
          <c:showCatName val="0"/>
          <c:showSerName val="0"/>
          <c:showPercent val="0"/>
          <c:showBubbleSize val="0"/>
        </c:dLbls>
        <c:gapWidth val="65"/>
        <c:axId val="1139257392"/>
        <c:axId val="1139269040"/>
      </c:barChart>
      <c:catAx>
        <c:axId val="11392573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39269040"/>
        <c:crosses val="autoZero"/>
        <c:auto val="1"/>
        <c:lblAlgn val="ctr"/>
        <c:lblOffset val="100"/>
        <c:noMultiLvlLbl val="0"/>
      </c:catAx>
      <c:valAx>
        <c:axId val="11392690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392573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8421</xdr:colOff>
      <xdr:row>0</xdr:row>
      <xdr:rowOff>19279</xdr:rowOff>
    </xdr:from>
    <xdr:to>
      <xdr:col>24</xdr:col>
      <xdr:colOff>-1</xdr:colOff>
      <xdr:row>1</xdr:row>
      <xdr:rowOff>165234</xdr:rowOff>
    </xdr:to>
    <xdr:sp macro="" textlink="">
      <xdr:nvSpPr>
        <xdr:cNvPr id="2" name="TextBox 1">
          <a:extLst>
            <a:ext uri="{FF2B5EF4-FFF2-40B4-BE49-F238E27FC236}">
              <a16:creationId xmlns:a16="http://schemas.microsoft.com/office/drawing/2014/main" id="{F5FCB186-A9C2-4181-A080-CC10EE7662DA}"/>
            </a:ext>
          </a:extLst>
        </xdr:cNvPr>
        <xdr:cNvSpPr txBox="1"/>
      </xdr:nvSpPr>
      <xdr:spPr>
        <a:xfrm>
          <a:off x="8421" y="19279"/>
          <a:ext cx="14716981" cy="324085"/>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latin typeface="Times New Roman" panose="02020603050405020304" pitchFamily="18" charset="0"/>
              <a:cs typeface="Times New Roman" panose="02020603050405020304" pitchFamily="18" charset="0"/>
            </a:rPr>
            <a:t>Business Analytics Dashboard</a:t>
          </a:r>
        </a:p>
      </xdr:txBody>
    </xdr:sp>
    <xdr:clientData/>
  </xdr:twoCellAnchor>
  <xdr:twoCellAnchor>
    <xdr:from>
      <xdr:col>0</xdr:col>
      <xdr:colOff>0</xdr:colOff>
      <xdr:row>2</xdr:row>
      <xdr:rowOff>1797</xdr:rowOff>
    </xdr:from>
    <xdr:to>
      <xdr:col>23</xdr:col>
      <xdr:colOff>611745</xdr:colOff>
      <xdr:row>27</xdr:row>
      <xdr:rowOff>58615</xdr:rowOff>
    </xdr:to>
    <xdr:sp macro="" textlink="">
      <xdr:nvSpPr>
        <xdr:cNvPr id="3" name="TextBox 2">
          <a:extLst>
            <a:ext uri="{FF2B5EF4-FFF2-40B4-BE49-F238E27FC236}">
              <a16:creationId xmlns:a16="http://schemas.microsoft.com/office/drawing/2014/main" id="{E17F70EA-A4E8-41A6-9373-B878DD62540B}"/>
            </a:ext>
          </a:extLst>
        </xdr:cNvPr>
        <xdr:cNvSpPr txBox="1"/>
      </xdr:nvSpPr>
      <xdr:spPr>
        <a:xfrm>
          <a:off x="0" y="366698"/>
          <a:ext cx="14681914" cy="4618086"/>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16</xdr:col>
      <xdr:colOff>190633</xdr:colOff>
      <xdr:row>2</xdr:row>
      <xdr:rowOff>41028</xdr:rowOff>
    </xdr:from>
    <xdr:to>
      <xdr:col>23</xdr:col>
      <xdr:colOff>576146</xdr:colOff>
      <xdr:row>14</xdr:row>
      <xdr:rowOff>48590</xdr:rowOff>
    </xdr:to>
    <xdr:graphicFrame macro="">
      <xdr:nvGraphicFramePr>
        <xdr:cNvPr id="15" name="Chart 14">
          <a:extLst>
            <a:ext uri="{FF2B5EF4-FFF2-40B4-BE49-F238E27FC236}">
              <a16:creationId xmlns:a16="http://schemas.microsoft.com/office/drawing/2014/main" id="{611C6893-7A42-43C9-AEBC-3C186C746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379041</xdr:colOff>
      <xdr:row>14</xdr:row>
      <xdr:rowOff>84790</xdr:rowOff>
    </xdr:from>
    <xdr:to>
      <xdr:col>9</xdr:col>
      <xdr:colOff>9583</xdr:colOff>
      <xdr:row>27</xdr:row>
      <xdr:rowOff>11881</xdr:rowOff>
    </xdr:to>
    <xdr:graphicFrame macro="">
      <xdr:nvGraphicFramePr>
        <xdr:cNvPr id="18" name="Chart 17">
          <a:extLst>
            <a:ext uri="{FF2B5EF4-FFF2-40B4-BE49-F238E27FC236}">
              <a16:creationId xmlns:a16="http://schemas.microsoft.com/office/drawing/2014/main" id="{D0F59575-8B55-4F64-BDD3-8543B00F4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381287</xdr:colOff>
      <xdr:row>2</xdr:row>
      <xdr:rowOff>45566</xdr:rowOff>
    </xdr:from>
    <xdr:to>
      <xdr:col>8</xdr:col>
      <xdr:colOff>607031</xdr:colOff>
      <xdr:row>14</xdr:row>
      <xdr:rowOff>57597</xdr:rowOff>
    </xdr:to>
    <xdr:graphicFrame macro="">
      <xdr:nvGraphicFramePr>
        <xdr:cNvPr id="19" name="Chart 18">
          <a:extLst>
            <a:ext uri="{FF2B5EF4-FFF2-40B4-BE49-F238E27FC236}">
              <a16:creationId xmlns:a16="http://schemas.microsoft.com/office/drawing/2014/main" id="{845393C2-111B-4112-A481-0F9CAEAFA8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42544</xdr:colOff>
      <xdr:row>14</xdr:row>
      <xdr:rowOff>82215</xdr:rowOff>
    </xdr:from>
    <xdr:to>
      <xdr:col>16</xdr:col>
      <xdr:colOff>162944</xdr:colOff>
      <xdr:row>27</xdr:row>
      <xdr:rowOff>15240</xdr:rowOff>
    </xdr:to>
    <xdr:graphicFrame macro="">
      <xdr:nvGraphicFramePr>
        <xdr:cNvPr id="20" name="Chart 19">
          <a:extLst>
            <a:ext uri="{FF2B5EF4-FFF2-40B4-BE49-F238E27FC236}">
              <a16:creationId xmlns:a16="http://schemas.microsoft.com/office/drawing/2014/main" id="{A8C65476-5E6E-4413-BEA0-4690F95BD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37534</xdr:colOff>
      <xdr:row>2</xdr:row>
      <xdr:rowOff>27878</xdr:rowOff>
    </xdr:from>
    <xdr:to>
      <xdr:col>16</xdr:col>
      <xdr:colOff>163282</xdr:colOff>
      <xdr:row>14</xdr:row>
      <xdr:rowOff>58810</xdr:rowOff>
    </xdr:to>
    <xdr:graphicFrame macro="">
      <xdr:nvGraphicFramePr>
        <xdr:cNvPr id="21" name="Chart 20">
          <a:extLst>
            <a:ext uri="{FF2B5EF4-FFF2-40B4-BE49-F238E27FC236}">
              <a16:creationId xmlns:a16="http://schemas.microsoft.com/office/drawing/2014/main" id="{98EEEA7A-8D41-4A7D-B0E6-304924BA1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191755</xdr:colOff>
      <xdr:row>14</xdr:row>
      <xdr:rowOff>75994</xdr:rowOff>
    </xdr:from>
    <xdr:to>
      <xdr:col>23</xdr:col>
      <xdr:colOff>570302</xdr:colOff>
      <xdr:row>27</xdr:row>
      <xdr:rowOff>7620</xdr:rowOff>
    </xdr:to>
    <xdr:graphicFrame macro="">
      <xdr:nvGraphicFramePr>
        <xdr:cNvPr id="22" name="Chart 21">
          <a:extLst>
            <a:ext uri="{FF2B5EF4-FFF2-40B4-BE49-F238E27FC236}">
              <a16:creationId xmlns:a16="http://schemas.microsoft.com/office/drawing/2014/main" id="{C87AA2B4-5B95-4E5D-84DC-A2CF11613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xdr:colOff>
      <xdr:row>2</xdr:row>
      <xdr:rowOff>23447</xdr:rowOff>
    </xdr:from>
    <xdr:to>
      <xdr:col>2</xdr:col>
      <xdr:colOff>328247</xdr:colOff>
      <xdr:row>27</xdr:row>
      <xdr:rowOff>29307</xdr:rowOff>
    </xdr:to>
    <xdr:sp macro="" textlink="">
      <xdr:nvSpPr>
        <xdr:cNvPr id="14" name="TextBox 13">
          <a:extLst>
            <a:ext uri="{FF2B5EF4-FFF2-40B4-BE49-F238E27FC236}">
              <a16:creationId xmlns:a16="http://schemas.microsoft.com/office/drawing/2014/main" id="{EF8DA1A7-6E02-4B7A-AA1B-A9475AFBC6B4}"/>
            </a:ext>
          </a:extLst>
        </xdr:cNvPr>
        <xdr:cNvSpPr txBox="1"/>
      </xdr:nvSpPr>
      <xdr:spPr>
        <a:xfrm>
          <a:off x="1" y="386862"/>
          <a:ext cx="1547446" cy="4548553"/>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0</xdr:col>
      <xdr:colOff>48638</xdr:colOff>
      <xdr:row>18</xdr:row>
      <xdr:rowOff>147602</xdr:rowOff>
    </xdr:from>
    <xdr:to>
      <xdr:col>2</xdr:col>
      <xdr:colOff>291839</xdr:colOff>
      <xdr:row>26</xdr:row>
      <xdr:rowOff>172515</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15C004B2-D8FC-4EB1-AB28-3384BFCDD35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8638" y="3439442"/>
              <a:ext cx="1462401" cy="14879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53680</xdr:colOff>
      <xdr:row>10</xdr:row>
      <xdr:rowOff>139805</xdr:rowOff>
    </xdr:from>
    <xdr:to>
      <xdr:col>2</xdr:col>
      <xdr:colOff>294155</xdr:colOff>
      <xdr:row>18</xdr:row>
      <xdr:rowOff>118339</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52E0CCF3-EEA1-4866-8E7A-1A1E85865D8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3680" y="1968605"/>
              <a:ext cx="1459675" cy="1441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53834</xdr:colOff>
      <xdr:row>2</xdr:row>
      <xdr:rowOff>54044</xdr:rowOff>
    </xdr:from>
    <xdr:to>
      <xdr:col>2</xdr:col>
      <xdr:colOff>295254</xdr:colOff>
      <xdr:row>4</xdr:row>
      <xdr:rowOff>129702</xdr:rowOff>
    </xdr:to>
    <xdr:sp macro="" textlink="Dataset!X8">
      <xdr:nvSpPr>
        <xdr:cNvPr id="8" name="TextBox 7">
          <a:extLst>
            <a:ext uri="{FF2B5EF4-FFF2-40B4-BE49-F238E27FC236}">
              <a16:creationId xmlns:a16="http://schemas.microsoft.com/office/drawing/2014/main" id="{A5190512-521C-43DA-9881-B8E8C0A86010}"/>
            </a:ext>
          </a:extLst>
        </xdr:cNvPr>
        <xdr:cNvSpPr txBox="1"/>
      </xdr:nvSpPr>
      <xdr:spPr>
        <a:xfrm>
          <a:off x="53834" y="421533"/>
          <a:ext cx="1462782" cy="443148"/>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rgbClr val="000000"/>
              </a:solidFill>
              <a:effectLst/>
              <a:latin typeface="Calibri"/>
              <a:ea typeface="Calibri"/>
              <a:cs typeface="Calibri"/>
            </a:rPr>
            <a:t>Net</a:t>
          </a:r>
          <a:r>
            <a:rPr lang="en-US" sz="1000" b="0" i="0" u="none" strike="noStrike" baseline="0">
              <a:solidFill>
                <a:srgbClr val="000000"/>
              </a:solidFill>
              <a:effectLst/>
              <a:latin typeface="Calibri"/>
              <a:ea typeface="Calibri"/>
              <a:cs typeface="Calibri"/>
            </a:rPr>
            <a:t> Revenue =</a:t>
          </a:r>
          <a:fld id="{6D17F698-344A-4BF9-806C-E80659807445}" type="TxLink">
            <a:rPr lang="en-US" sz="1000" b="0" i="0" u="none" strike="noStrike">
              <a:solidFill>
                <a:srgbClr val="000000"/>
              </a:solidFill>
              <a:effectLst/>
              <a:latin typeface="Calibri"/>
              <a:ea typeface="Calibri"/>
              <a:cs typeface="Calibri"/>
            </a:rPr>
            <a:pPr/>
            <a:t> $138,060,684.23 </a:t>
          </a:fld>
          <a:endParaRPr lang="en-US" sz="1000"/>
        </a:p>
      </xdr:txBody>
    </xdr:sp>
    <xdr:clientData/>
  </xdr:twoCellAnchor>
  <xdr:twoCellAnchor>
    <xdr:from>
      <xdr:col>0</xdr:col>
      <xdr:colOff>53662</xdr:colOff>
      <xdr:row>4</xdr:row>
      <xdr:rowOff>156035</xdr:rowOff>
    </xdr:from>
    <xdr:to>
      <xdr:col>2</xdr:col>
      <xdr:colOff>289775</xdr:colOff>
      <xdr:row>7</xdr:row>
      <xdr:rowOff>124296</xdr:rowOff>
    </xdr:to>
    <xdr:sp macro="" textlink="Dataset!X10">
      <xdr:nvSpPr>
        <xdr:cNvPr id="16" name="TextBox 15">
          <a:extLst>
            <a:ext uri="{FF2B5EF4-FFF2-40B4-BE49-F238E27FC236}">
              <a16:creationId xmlns:a16="http://schemas.microsoft.com/office/drawing/2014/main" id="{B18C00D1-6AE8-4506-B957-8E69227F58DD}"/>
            </a:ext>
          </a:extLst>
        </xdr:cNvPr>
        <xdr:cNvSpPr txBox="1"/>
      </xdr:nvSpPr>
      <xdr:spPr>
        <a:xfrm>
          <a:off x="53662" y="891014"/>
          <a:ext cx="1457475" cy="519495"/>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0" i="0" u="none" strike="noStrike">
              <a:solidFill>
                <a:schemeClr val="dk1"/>
              </a:solidFill>
              <a:effectLst/>
              <a:latin typeface="+mn-lt"/>
              <a:ea typeface="+mn-ea"/>
              <a:cs typeface="+mn-cs"/>
            </a:rPr>
            <a:t>Total_Profit =</a:t>
          </a:r>
          <a:r>
            <a:rPr lang="en-US" sz="1000" b="0"/>
            <a:t> </a:t>
          </a:r>
          <a:r>
            <a:rPr lang="en-US" sz="1000" b="0" i="0" u="none" strike="noStrike">
              <a:solidFill>
                <a:schemeClr val="dk1"/>
              </a:solidFill>
              <a:effectLst/>
              <a:latin typeface="+mn-lt"/>
              <a:ea typeface="+mn-ea"/>
              <a:cs typeface="+mn-cs"/>
            </a:rPr>
            <a:t>41532136</a:t>
          </a:r>
          <a:r>
            <a:rPr lang="en-US" sz="1000" b="0"/>
            <a:t> </a:t>
          </a:r>
        </a:p>
      </xdr:txBody>
    </xdr:sp>
    <xdr:clientData/>
  </xdr:twoCellAnchor>
  <xdr:twoCellAnchor>
    <xdr:from>
      <xdr:col>0</xdr:col>
      <xdr:colOff>64394</xdr:colOff>
      <xdr:row>7</xdr:row>
      <xdr:rowOff>156723</xdr:rowOff>
    </xdr:from>
    <xdr:to>
      <xdr:col>2</xdr:col>
      <xdr:colOff>268310</xdr:colOff>
      <xdr:row>10</xdr:row>
      <xdr:rowOff>106867</xdr:rowOff>
    </xdr:to>
    <xdr:sp macro="" textlink="Dataset!X12">
      <xdr:nvSpPr>
        <xdr:cNvPr id="17" name="TextBox 16">
          <a:extLst>
            <a:ext uri="{FF2B5EF4-FFF2-40B4-BE49-F238E27FC236}">
              <a16:creationId xmlns:a16="http://schemas.microsoft.com/office/drawing/2014/main" id="{1A3B416B-3DA6-483C-8007-C0711CBFE7BF}"/>
            </a:ext>
          </a:extLst>
        </xdr:cNvPr>
        <xdr:cNvSpPr txBox="1"/>
      </xdr:nvSpPr>
      <xdr:spPr>
        <a:xfrm>
          <a:off x="64394" y="1442936"/>
          <a:ext cx="1425278" cy="501378"/>
        </a:xfrm>
        <a:prstGeom prst="round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Avg Margin = </a:t>
          </a:r>
          <a:fld id="{A7363972-C6E9-46F5-9A99-C0E01DCFCE9E}" type="TxLink">
            <a:rPr lang="en-US" sz="1100" b="0" i="0" u="none" strike="noStrike">
              <a:solidFill>
                <a:srgbClr val="000000"/>
              </a:solidFill>
              <a:latin typeface="Calibri"/>
              <a:ea typeface="Calibri"/>
              <a:cs typeface="Calibri"/>
            </a:rPr>
            <a:pPr/>
            <a:t> $39.29 </a:t>
          </a:fld>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299084</xdr:colOff>
      <xdr:row>2</xdr:row>
      <xdr:rowOff>26670</xdr:rowOff>
    </xdr:from>
    <xdr:to>
      <xdr:col>16</xdr:col>
      <xdr:colOff>38100</xdr:colOff>
      <xdr:row>26</xdr:row>
      <xdr:rowOff>76200</xdr:rowOff>
    </xdr:to>
    <xdr:graphicFrame macro="">
      <xdr:nvGraphicFramePr>
        <xdr:cNvPr id="2" name="Chart 1">
          <a:extLst>
            <a:ext uri="{FF2B5EF4-FFF2-40B4-BE49-F238E27FC236}">
              <a16:creationId xmlns:a16="http://schemas.microsoft.com/office/drawing/2014/main" id="{A8F845C2-680D-4DF9-9251-400121640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104774</xdr:rowOff>
    </xdr:from>
    <xdr:to>
      <xdr:col>2</xdr:col>
      <xdr:colOff>190500</xdr:colOff>
      <xdr:row>16</xdr:row>
      <xdr:rowOff>9524</xdr:rowOff>
    </xdr:to>
    <xdr:sp macro="" textlink="">
      <xdr:nvSpPr>
        <xdr:cNvPr id="3" name="TextBox 2">
          <a:extLst>
            <a:ext uri="{FF2B5EF4-FFF2-40B4-BE49-F238E27FC236}">
              <a16:creationId xmlns:a16="http://schemas.microsoft.com/office/drawing/2014/main" id="{34D9E57A-0BE5-4174-8401-7F12C97ECD37}"/>
            </a:ext>
          </a:extLst>
        </xdr:cNvPr>
        <xdr:cNvSpPr txBox="1"/>
      </xdr:nvSpPr>
      <xdr:spPr>
        <a:xfrm>
          <a:off x="0" y="2095499"/>
          <a:ext cx="2647950" cy="80962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p>
        <a:p>
          <a:r>
            <a:rPr lang="en-US"/>
            <a:t>Revenue distribution is balanced, with Central and West regions contributing the highest percentage.</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xdr:colOff>
      <xdr:row>2</xdr:row>
      <xdr:rowOff>3810</xdr:rowOff>
    </xdr:from>
    <xdr:to>
      <xdr:col>15</xdr:col>
      <xdr:colOff>22860</xdr:colOff>
      <xdr:row>20</xdr:row>
      <xdr:rowOff>15240</xdr:rowOff>
    </xdr:to>
    <xdr:graphicFrame macro="">
      <xdr:nvGraphicFramePr>
        <xdr:cNvPr id="2" name="Chart 1">
          <a:extLst>
            <a:ext uri="{FF2B5EF4-FFF2-40B4-BE49-F238E27FC236}">
              <a16:creationId xmlns:a16="http://schemas.microsoft.com/office/drawing/2014/main" id="{F9D6E30C-5EE8-45AF-A055-1C481B07C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190500</xdr:colOff>
      <xdr:row>18</xdr:row>
      <xdr:rowOff>68580</xdr:rowOff>
    </xdr:from>
    <xdr:to>
      <xdr:col>2</xdr:col>
      <xdr:colOff>449580</xdr:colOff>
      <xdr:row>22</xdr:row>
      <xdr:rowOff>160020</xdr:rowOff>
    </xdr:to>
    <xdr:sp macro="" textlink="">
      <xdr:nvSpPr>
        <xdr:cNvPr id="3" name="TextBox 2">
          <a:extLst>
            <a:ext uri="{FF2B5EF4-FFF2-40B4-BE49-F238E27FC236}">
              <a16:creationId xmlns:a16="http://schemas.microsoft.com/office/drawing/2014/main" id="{A23A8B44-B459-47A2-9778-DF00F76E4610}"/>
            </a:ext>
          </a:extLst>
        </xdr:cNvPr>
        <xdr:cNvSpPr txBox="1"/>
      </xdr:nvSpPr>
      <xdr:spPr>
        <a:xfrm>
          <a:off x="190500" y="3360420"/>
          <a:ext cx="2720340" cy="82296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p>
        <a:p>
          <a:r>
            <a:rPr lang="en-US"/>
            <a:t>Revenue increases during festive and promotional periods.</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2</xdr:row>
      <xdr:rowOff>0</xdr:rowOff>
    </xdr:from>
    <xdr:to>
      <xdr:col>16</xdr:col>
      <xdr:colOff>121920</xdr:colOff>
      <xdr:row>22</xdr:row>
      <xdr:rowOff>121920</xdr:rowOff>
    </xdr:to>
    <xdr:graphicFrame macro="">
      <xdr:nvGraphicFramePr>
        <xdr:cNvPr id="2" name="Chart 1">
          <a:extLst>
            <a:ext uri="{FF2B5EF4-FFF2-40B4-BE49-F238E27FC236}">
              <a16:creationId xmlns:a16="http://schemas.microsoft.com/office/drawing/2014/main" id="{5A7C1A99-BAB5-4100-A0D6-60D092A5B5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175260</xdr:rowOff>
    </xdr:from>
    <xdr:to>
      <xdr:col>3</xdr:col>
      <xdr:colOff>182880</xdr:colOff>
      <xdr:row>16</xdr:row>
      <xdr:rowOff>167640</xdr:rowOff>
    </xdr:to>
    <xdr:sp macro="" textlink="">
      <xdr:nvSpPr>
        <xdr:cNvPr id="3" name="TextBox 2">
          <a:extLst>
            <a:ext uri="{FF2B5EF4-FFF2-40B4-BE49-F238E27FC236}">
              <a16:creationId xmlns:a16="http://schemas.microsoft.com/office/drawing/2014/main" id="{5F79D85E-AE66-4ACF-B269-58FC43C73743}"/>
            </a:ext>
          </a:extLst>
        </xdr:cNvPr>
        <xdr:cNvSpPr txBox="1"/>
      </xdr:nvSpPr>
      <xdr:spPr>
        <a:xfrm>
          <a:off x="0" y="2186940"/>
          <a:ext cx="2720340" cy="90678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p>
        <a:p>
          <a:r>
            <a:rPr lang="en-US"/>
            <a:t>Apparel contributes the largest share of sales, while Electronics and Food contribute comparatively less.</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7620</xdr:colOff>
      <xdr:row>2</xdr:row>
      <xdr:rowOff>15240</xdr:rowOff>
    </xdr:from>
    <xdr:to>
      <xdr:col>14</xdr:col>
      <xdr:colOff>274320</xdr:colOff>
      <xdr:row>22</xdr:row>
      <xdr:rowOff>68580</xdr:rowOff>
    </xdr:to>
    <xdr:graphicFrame macro="">
      <xdr:nvGraphicFramePr>
        <xdr:cNvPr id="2" name="Chart 1">
          <a:extLst>
            <a:ext uri="{FF2B5EF4-FFF2-40B4-BE49-F238E27FC236}">
              <a16:creationId xmlns:a16="http://schemas.microsoft.com/office/drawing/2014/main" id="{87DD957A-140A-4292-AF76-393B940919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83820</xdr:colOff>
      <xdr:row>10</xdr:row>
      <xdr:rowOff>99060</xdr:rowOff>
    </xdr:from>
    <xdr:to>
      <xdr:col>2</xdr:col>
      <xdr:colOff>259080</xdr:colOff>
      <xdr:row>14</xdr:row>
      <xdr:rowOff>99060</xdr:rowOff>
    </xdr:to>
    <xdr:sp macro="" textlink="">
      <xdr:nvSpPr>
        <xdr:cNvPr id="3" name="TextBox 2">
          <a:extLst>
            <a:ext uri="{FF2B5EF4-FFF2-40B4-BE49-F238E27FC236}">
              <a16:creationId xmlns:a16="http://schemas.microsoft.com/office/drawing/2014/main" id="{D3A39385-9483-470A-9FD5-C43BBBA55168}"/>
            </a:ext>
          </a:extLst>
        </xdr:cNvPr>
        <xdr:cNvSpPr txBox="1"/>
      </xdr:nvSpPr>
      <xdr:spPr>
        <a:xfrm>
          <a:off x="83820" y="1927860"/>
          <a:ext cx="2636520" cy="73152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p>
        <a:p>
          <a:r>
            <a:rPr lang="en-US"/>
            <a:t>Online and Retail customers contribute the largest share of total revenue.</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38100</xdr:colOff>
      <xdr:row>0</xdr:row>
      <xdr:rowOff>41910</xdr:rowOff>
    </xdr:from>
    <xdr:to>
      <xdr:col>17</xdr:col>
      <xdr:colOff>30480</xdr:colOff>
      <xdr:row>25</xdr:row>
      <xdr:rowOff>152400</xdr:rowOff>
    </xdr:to>
    <xdr:graphicFrame macro="">
      <xdr:nvGraphicFramePr>
        <xdr:cNvPr id="2" name="Chart 1">
          <a:extLst>
            <a:ext uri="{FF2B5EF4-FFF2-40B4-BE49-F238E27FC236}">
              <a16:creationId xmlns:a16="http://schemas.microsoft.com/office/drawing/2014/main" id="{12A7AB48-E29D-4C73-8792-59B1F16764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9</xdr:row>
      <xdr:rowOff>22860</xdr:rowOff>
    </xdr:from>
    <xdr:to>
      <xdr:col>1</xdr:col>
      <xdr:colOff>1112520</xdr:colOff>
      <xdr:row>20</xdr:row>
      <xdr:rowOff>137160</xdr:rowOff>
    </xdr:to>
    <xdr:sp macro="" textlink="">
      <xdr:nvSpPr>
        <xdr:cNvPr id="3" name="Rectangle 2">
          <a:extLst>
            <a:ext uri="{FF2B5EF4-FFF2-40B4-BE49-F238E27FC236}">
              <a16:creationId xmlns:a16="http://schemas.microsoft.com/office/drawing/2014/main" id="{56FA812B-F98F-4D12-A4A7-8E8DB11403AB}"/>
            </a:ext>
          </a:extLst>
        </xdr:cNvPr>
        <xdr:cNvSpPr/>
      </xdr:nvSpPr>
      <xdr:spPr>
        <a:xfrm>
          <a:off x="22860" y="1668780"/>
          <a:ext cx="1950720" cy="212598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129540</xdr:colOff>
      <xdr:row>10</xdr:row>
      <xdr:rowOff>30480</xdr:rowOff>
    </xdr:from>
    <xdr:to>
      <xdr:col>1</xdr:col>
      <xdr:colOff>1005840</xdr:colOff>
      <xdr:row>20</xdr:row>
      <xdr:rowOff>38100</xdr:rowOff>
    </xdr:to>
    <xdr:sp macro="" textlink="">
      <xdr:nvSpPr>
        <xdr:cNvPr id="4" name="TextBox 3">
          <a:extLst>
            <a:ext uri="{FF2B5EF4-FFF2-40B4-BE49-F238E27FC236}">
              <a16:creationId xmlns:a16="http://schemas.microsoft.com/office/drawing/2014/main" id="{8AC089AB-A548-4594-8CA1-A4276B6F6EA9}"/>
            </a:ext>
          </a:extLst>
        </xdr:cNvPr>
        <xdr:cNvSpPr txBox="1"/>
      </xdr:nvSpPr>
      <xdr:spPr>
        <a:xfrm>
          <a:off x="129540" y="1859280"/>
          <a:ext cx="1737360" cy="1836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chart shows that profit margin by category in this chart</a:t>
          </a:r>
          <a:r>
            <a:rPr lang="en-US" sz="1100" baseline="0"/>
            <a:t> apparel shows more profit and electrionics shows less profit </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137160</xdr:colOff>
      <xdr:row>2</xdr:row>
      <xdr:rowOff>3810</xdr:rowOff>
    </xdr:from>
    <xdr:to>
      <xdr:col>14</xdr:col>
      <xdr:colOff>373380</xdr:colOff>
      <xdr:row>22</xdr:row>
      <xdr:rowOff>76200</xdr:rowOff>
    </xdr:to>
    <xdr:graphicFrame macro="">
      <xdr:nvGraphicFramePr>
        <xdr:cNvPr id="2" name="Chart 1">
          <a:extLst>
            <a:ext uri="{FF2B5EF4-FFF2-40B4-BE49-F238E27FC236}">
              <a16:creationId xmlns:a16="http://schemas.microsoft.com/office/drawing/2014/main" id="{ED40547D-B52A-4160-B9CA-3F4231C832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15</xdr:row>
      <xdr:rowOff>106680</xdr:rowOff>
    </xdr:from>
    <xdr:to>
      <xdr:col>2</xdr:col>
      <xdr:colOff>91440</xdr:colOff>
      <xdr:row>20</xdr:row>
      <xdr:rowOff>30480</xdr:rowOff>
    </xdr:to>
    <xdr:sp macro="" textlink="">
      <xdr:nvSpPr>
        <xdr:cNvPr id="3" name="TextBox 2">
          <a:extLst>
            <a:ext uri="{FF2B5EF4-FFF2-40B4-BE49-F238E27FC236}">
              <a16:creationId xmlns:a16="http://schemas.microsoft.com/office/drawing/2014/main" id="{937AA011-73AA-4C9D-B797-38B37E5CF621}"/>
            </a:ext>
          </a:extLst>
        </xdr:cNvPr>
        <xdr:cNvSpPr txBox="1"/>
      </xdr:nvSpPr>
      <xdr:spPr>
        <a:xfrm>
          <a:off x="38100" y="2849880"/>
          <a:ext cx="2720340" cy="8382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Business Insight</a:t>
          </a:r>
        </a:p>
        <a:p>
          <a:r>
            <a:rPr lang="en-US"/>
            <a:t>A small group of products contributes a significant percentage of overall revenue.</a:t>
          </a:r>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7620</xdr:colOff>
      <xdr:row>1</xdr:row>
      <xdr:rowOff>171450</xdr:rowOff>
    </xdr:from>
    <xdr:to>
      <xdr:col>14</xdr:col>
      <xdr:colOff>373380</xdr:colOff>
      <xdr:row>20</xdr:row>
      <xdr:rowOff>30480</xdr:rowOff>
    </xdr:to>
    <xdr:graphicFrame macro="">
      <xdr:nvGraphicFramePr>
        <xdr:cNvPr id="2" name="Chart 1">
          <a:extLst>
            <a:ext uri="{FF2B5EF4-FFF2-40B4-BE49-F238E27FC236}">
              <a16:creationId xmlns:a16="http://schemas.microsoft.com/office/drawing/2014/main" id="{9784B5FF-AE03-4A29-A107-E71B13B5C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14</xdr:row>
      <xdr:rowOff>76200</xdr:rowOff>
    </xdr:from>
    <xdr:to>
      <xdr:col>2</xdr:col>
      <xdr:colOff>281940</xdr:colOff>
      <xdr:row>18</xdr:row>
      <xdr:rowOff>160020</xdr:rowOff>
    </xdr:to>
    <xdr:sp macro="" textlink="">
      <xdr:nvSpPr>
        <xdr:cNvPr id="3" name="TextBox 2">
          <a:extLst>
            <a:ext uri="{FF2B5EF4-FFF2-40B4-BE49-F238E27FC236}">
              <a16:creationId xmlns:a16="http://schemas.microsoft.com/office/drawing/2014/main" id="{B2305F84-CDCD-4D84-8BA9-E57D9A4A663D}"/>
            </a:ext>
          </a:extLst>
        </xdr:cNvPr>
        <xdr:cNvSpPr txBox="1"/>
      </xdr:nvSpPr>
      <xdr:spPr>
        <a:xfrm>
          <a:off x="22860" y="2636520"/>
          <a:ext cx="2720340" cy="81534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Business Insight</a:t>
          </a:r>
          <a:r>
            <a:rPr lang="en-US" sz="1100"/>
            <a:t>: </a:t>
          </a:r>
          <a:r>
            <a:rPr lang="en-US"/>
            <a:t>A small group of sales representatives contributes a significant share of total revenue.</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l" refreshedDate="46191.46530462963" createdVersion="7" refreshedVersion="7" minRefreshableVersion="3" recordCount="1001" xr:uid="{2A16BFE5-526B-4377-BA2D-2DA2512C4847}">
  <cacheSource type="worksheet">
    <worksheetSource ref="A1:S1048576" sheet="Dataset"/>
  </cacheSource>
  <cacheFields count="19">
    <cacheField name="Order ID" numFmtId="0">
      <sharedItems containsBlank="1"/>
    </cacheField>
    <cacheField name="Date" numFmtId="0">
      <sharedItems containsBlank="1"/>
    </cacheField>
    <cacheField name="Month" numFmtId="0">
      <sharedItems containsBlank="1" count="13">
        <s v="Nov"/>
        <s v="Dec"/>
        <s v="Oct"/>
        <s v="Sep"/>
        <s v="Apr"/>
        <s v="Jul"/>
        <s v="Feb"/>
        <s v="Jan"/>
        <s v="Aug"/>
        <s v="Mar"/>
        <s v="Jun"/>
        <s v="May"/>
        <m/>
      </sharedItems>
    </cacheField>
    <cacheField name="Quarter" numFmtId="0">
      <sharedItems containsBlank="1"/>
    </cacheField>
    <cacheField name="Product" numFmtId="0">
      <sharedItems containsBlank="1"/>
    </cacheField>
    <cacheField name="Category" numFmtId="0">
      <sharedItems containsBlank="1"/>
    </cacheField>
    <cacheField name="Region" numFmtId="0">
      <sharedItems containsBlank="1" count="6">
        <s v="East"/>
        <s v="South"/>
        <s v="Central"/>
        <s v="West"/>
        <s v="North"/>
        <m/>
      </sharedItems>
    </cacheField>
    <cacheField name="City" numFmtId="0">
      <sharedItems containsBlank="1"/>
    </cacheField>
    <cacheField name="Customer Segment" numFmtId="0">
      <sharedItems containsBlank="1"/>
    </cacheField>
    <cacheField name="Sales Channel" numFmtId="0">
      <sharedItems containsBlank="1"/>
    </cacheField>
    <cacheField name="Sales Rep" numFmtId="0">
      <sharedItems containsBlank="1"/>
    </cacheField>
    <cacheField name="Unit Price (INR)" numFmtId="0">
      <sharedItems containsString="0" containsBlank="1" containsNumber="1" minValue="106" maxValue="94524.95"/>
    </cacheField>
    <cacheField name="Quantity" numFmtId="0">
      <sharedItems containsString="0" containsBlank="1" containsNumber="1" containsInteger="1" minValue="1" maxValue="25"/>
    </cacheField>
    <cacheField name="Gross Revenue (INR)" numFmtId="0">
      <sharedItems containsString="0" containsBlank="1" containsNumber="1" minValue="275.10000000000002" maxValue="2124546.25"/>
    </cacheField>
    <cacheField name="Discount (%)" numFmtId="0">
      <sharedItems containsString="0" containsBlank="1" containsNumber="1" minValue="0" maxValue="25"/>
    </cacheField>
    <cacheField name="Net Revenue (INR)" numFmtId="0">
      <sharedItems containsString="0" containsBlank="1" containsNumber="1" minValue="242.64" maxValue="2043813.49"/>
    </cacheField>
    <cacheField name="Margin (%)" numFmtId="0">
      <sharedItems containsString="0" containsBlank="1" containsNumber="1" minValue="12.2" maxValue="71.5"/>
    </cacheField>
    <cacheField name="Profit (INR)" numFmtId="0">
      <sharedItems containsString="0" containsBlank="1" containsNumber="1" minValue="65.02" maxValue="530113.67000000004"/>
    </cacheField>
    <cacheField name="Order Statu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l" refreshedDate="46191.468136689815" createdVersion="7" refreshedVersion="7" minRefreshableVersion="3" recordCount="1000" xr:uid="{3A48C684-0C42-4A66-9DD7-AB2DFE15B19F}">
  <cacheSource type="worksheet">
    <worksheetSource ref="A1:S1001" sheet="Dataset"/>
  </cacheSource>
  <cacheFields count="19">
    <cacheField name="Order ID" numFmtId="0">
      <sharedItems/>
    </cacheField>
    <cacheField name="Date" numFmtId="0">
      <sharedItems/>
    </cacheField>
    <cacheField name="Month" numFmtId="0">
      <sharedItems count="12">
        <s v="Nov"/>
        <s v="Dec"/>
        <s v="Oct"/>
        <s v="Sep"/>
        <s v="Apr"/>
        <s v="Jul"/>
        <s v="Feb"/>
        <s v="Jan"/>
        <s v="Aug"/>
        <s v="Mar"/>
        <s v="Jun"/>
        <s v="May"/>
      </sharedItems>
    </cacheField>
    <cacheField name="Quarter" numFmtId="0">
      <sharedItems/>
    </cacheField>
    <cacheField name="Product" numFmtId="0">
      <sharedItems count="42">
        <s v="Tablet Ultra"/>
        <s v="Sofa 3-seater"/>
        <s v="Olive Oil 1L"/>
        <s v="Football Pro"/>
        <s v="Eye Shadow Palette"/>
        <s v="Smart Watch S3"/>
        <s v="Muesli Box"/>
        <s v="Wireless Earbuds"/>
        <s v="Dumbbells 5kg"/>
        <s v="Coffee Table"/>
        <s v="Bed Frame Queen"/>
        <s v="Protein Powder"/>
        <s v="Face Serum"/>
        <s v="Body Lotion"/>
        <s v="Quinoa 1kg"/>
        <s v="Green Tea Pack"/>
        <s v="Laptop Pro X1"/>
        <s v="Lip Gloss Set"/>
        <s v="Yoga Mat"/>
        <s v="Gaming Console"/>
        <s v="Wardrobe 3-door"/>
        <s v="Sports Shorts"/>
        <s v="Badminton Set"/>
        <s v="Nut Mix 500g"/>
        <s v="Denim Jeans"/>
        <s v="Winter Jacket"/>
        <s v="Organic Honey"/>
        <s v="Skipping Rope"/>
        <s v="DSLR Camera"/>
        <s v="Resistance Bands"/>
        <s v="Foundation Kit"/>
        <s v="Sunscreen SPF50"/>
        <s v="Cotton T-Shirt"/>
        <s v="Cycling Helmet"/>
        <s v="Kurti Set"/>
        <s v="Running Shoes"/>
        <s v="Hair Oil 200ml"/>
        <s v="Book Shelf 5-tier"/>
        <s v="Smart TV 55&quot;"/>
        <s v="Study Table"/>
        <s v="Office Chair"/>
        <s v="Formal Shirt"/>
      </sharedItems>
    </cacheField>
    <cacheField name="Category" numFmtId="0">
      <sharedItems count="6">
        <s v="Electronics"/>
        <s v="Furniture"/>
        <s v="Food"/>
        <s v="Sports"/>
        <s v="Cosmetics"/>
        <s v="Apparel"/>
      </sharedItems>
    </cacheField>
    <cacheField name="Region" numFmtId="0">
      <sharedItems count="5">
        <s v="East"/>
        <s v="South"/>
        <s v="Central"/>
        <s v="West"/>
        <s v="North"/>
      </sharedItems>
    </cacheField>
    <cacheField name="City" numFmtId="0">
      <sharedItems/>
    </cacheField>
    <cacheField name="Customer Segment" numFmtId="0">
      <sharedItems count="5">
        <s v="SMB"/>
        <s v="Wholesale"/>
        <s v="Online"/>
        <s v="Retail"/>
        <s v="Enterprise"/>
      </sharedItems>
    </cacheField>
    <cacheField name="Sales Channel" numFmtId="0">
      <sharedItems count="4">
        <s v="B2B"/>
        <s v="Partner"/>
        <s v="Online"/>
        <s v="Direct"/>
      </sharedItems>
    </cacheField>
    <cacheField name="Sales Rep" numFmtId="0">
      <sharedItems count="10">
        <s v="Rohit Das"/>
        <s v="Neha Patel"/>
        <s v="Priya Sharma"/>
        <s v="Kavya Bhat"/>
        <s v="Aisha Khan"/>
        <s v="Sunita Lal"/>
        <s v="Rahul Mehta"/>
        <s v="Amit Joshi"/>
        <s v="Deepak Rao"/>
        <s v="Vikram Tiwari"/>
      </sharedItems>
    </cacheField>
    <cacheField name="Unit Price (INR)" numFmtId="4">
      <sharedItems containsSemiMixedTypes="0" containsString="0" containsNumber="1" minValue="106" maxValue="94524.95"/>
    </cacheField>
    <cacheField name="Quantity" numFmtId="0">
      <sharedItems containsSemiMixedTypes="0" containsString="0" containsNumber="1" containsInteger="1" minValue="1" maxValue="25"/>
    </cacheField>
    <cacheField name="Gross Revenue (INR)" numFmtId="4">
      <sharedItems containsSemiMixedTypes="0" containsString="0" containsNumber="1" minValue="275.10000000000002" maxValue="2124546.25" count="1000">
        <n v="841163.23"/>
        <n v="7823.19"/>
        <n v="29428.560000000001"/>
        <n v="68707.67"/>
        <n v="29103.32"/>
        <n v="338577.84"/>
        <n v="6619.1"/>
        <n v="1269826.2"/>
        <n v="52416.24"/>
        <n v="178042.2"/>
        <n v="77190.3"/>
        <n v="14448"/>
        <n v="802557.72"/>
        <n v="56201.4"/>
        <n v="11934"/>
        <n v="8331.8700000000008"/>
        <n v="24182.84"/>
        <n v="45468.41"/>
        <n v="3095.48"/>
        <n v="436482.2"/>
        <n v="44923.03"/>
        <n v="4013.28"/>
        <n v="2069604"/>
        <n v="20938.5"/>
        <n v="106610.91"/>
        <n v="7206.08"/>
        <n v="117549.22"/>
        <n v="781120.34"/>
        <n v="461281.44"/>
        <n v="24630.25"/>
        <n v="43478.04"/>
        <n v="81176.320000000007"/>
        <n v="2164.58"/>
        <n v="2099.5"/>
        <n v="16802.73"/>
        <n v="28461.119999999999"/>
        <n v="301.64"/>
        <n v="16879.599999999999"/>
        <n v="9374.7199999999993"/>
        <n v="1936758.5"/>
        <n v="5611.2"/>
        <n v="30067.599999999999"/>
        <n v="11686.75"/>
        <n v="67802.02"/>
        <n v="69785.899999999994"/>
        <n v="1528594.41"/>
        <n v="22682.6"/>
        <n v="19310.97"/>
        <n v="915386.42"/>
        <n v="12862.63"/>
        <n v="19589.04"/>
        <n v="58490.03"/>
        <n v="73469.55"/>
        <n v="90739.37"/>
        <n v="14386.55"/>
        <n v="28017.54"/>
        <n v="431913.3"/>
        <n v="649.38"/>
        <n v="10504.62"/>
        <n v="69450.64"/>
        <n v="2530.5300000000002"/>
        <n v="1939264.53"/>
        <n v="5910.36"/>
        <n v="51715.199999999997"/>
        <n v="6989.25"/>
        <n v="1770.86"/>
        <n v="47522.879999999997"/>
        <n v="157822.5"/>
        <n v="63429.04"/>
        <n v="14129.89"/>
        <n v="40183.89"/>
        <n v="27850.2"/>
        <n v="60372.55"/>
        <n v="16062.24"/>
        <n v="12756.9"/>
        <n v="49761.04"/>
        <n v="1771914.16"/>
        <n v="9438.1299999999992"/>
        <n v="4336.29"/>
        <n v="20884.990000000002"/>
        <n v="258811.75"/>
        <n v="267402.08"/>
        <n v="38698.400000000001"/>
        <n v="4314.4799999999996"/>
        <n v="34016.519999999997"/>
        <n v="18028.53"/>
        <n v="75540.52"/>
        <n v="414873.2"/>
        <n v="22413.200000000001"/>
        <n v="598129.5"/>
        <n v="2124546.25"/>
        <n v="8070.36"/>
        <n v="11938.44"/>
        <n v="11655.98"/>
        <n v="86839.75"/>
        <n v="82545.88"/>
        <n v="49708.800000000003"/>
        <n v="68358.240000000005"/>
        <n v="615533.80000000005"/>
        <n v="1582.42"/>
        <n v="11938.15"/>
        <n v="104308.26"/>
        <n v="5082.3"/>
        <n v="288127.98"/>
        <n v="446173.56"/>
        <n v="24283.05"/>
        <n v="117805.71"/>
        <n v="211295.48"/>
        <n v="36333.31"/>
        <n v="14761"/>
        <n v="6169.02"/>
        <n v="72839"/>
        <n v="3445.2"/>
        <n v="24265.34"/>
        <n v="42839.03"/>
        <n v="50488.68"/>
        <n v="16350.84"/>
        <n v="29225.200000000001"/>
        <n v="22802.400000000001"/>
        <n v="427086.6"/>
        <n v="22484.49"/>
        <n v="166887.6"/>
        <n v="1041.75"/>
        <n v="34850.050000000003"/>
        <n v="8507.09"/>
        <n v="3770.02"/>
        <n v="29994.46"/>
        <n v="52823.01"/>
        <n v="131246.71"/>
        <n v="3415.3"/>
        <n v="630713.55000000005"/>
        <n v="14060.36"/>
        <n v="48344.78"/>
        <n v="610618.06999999995"/>
        <n v="16197.72"/>
        <n v="9148.0400000000009"/>
        <n v="95683.5"/>
        <n v="85308.72"/>
        <n v="19113.05"/>
        <n v="149128.95000000001"/>
        <n v="43980.959999999999"/>
        <n v="2760.5"/>
        <n v="98184.24"/>
        <n v="7047.92"/>
        <n v="4234.96"/>
        <n v="46644.92"/>
        <n v="86878.84"/>
        <n v="13345.92"/>
        <n v="14787.36"/>
        <n v="6966.42"/>
        <n v="341430.96"/>
        <n v="23761.65"/>
        <n v="172517.04"/>
        <n v="6528.6"/>
        <n v="57882.11"/>
        <n v="19003.16"/>
        <n v="18519.080000000002"/>
        <n v="69173.119999999995"/>
        <n v="5452.86"/>
        <n v="267318.34999999998"/>
        <n v="37850.410000000003"/>
        <n v="13049.64"/>
        <n v="90002.81"/>
        <n v="4974.6400000000003"/>
        <n v="127029.5"/>
        <n v="1401.68"/>
        <n v="33440.949999999997"/>
        <n v="31130.3"/>
        <n v="35845.25"/>
        <n v="617772.87"/>
        <n v="272416"/>
        <n v="154511"/>
        <n v="317943.36"/>
        <n v="163749.6"/>
        <n v="35799"/>
        <n v="626548.57999999996"/>
        <n v="570878.5"/>
        <n v="178506.87"/>
        <n v="62609.43"/>
        <n v="7205.24"/>
        <n v="35571.360000000001"/>
        <n v="46493.07"/>
        <n v="7449.41"/>
        <n v="413191.46"/>
        <n v="33577.17"/>
        <n v="50123.14"/>
        <n v="94964.03"/>
        <n v="22394.68"/>
        <n v="11261.3"/>
        <n v="38318.080000000002"/>
        <n v="35613.64"/>
        <n v="8110.92"/>
        <n v="2653.16"/>
        <n v="33562.97"/>
        <n v="139141.44"/>
        <n v="183780.6"/>
        <n v="91030.399999999994"/>
        <n v="39274.25"/>
        <n v="449601.2"/>
        <n v="17478.32"/>
        <n v="28512.19"/>
        <n v="49269.84"/>
        <n v="4002.54"/>
        <n v="49050.25"/>
        <n v="120183.14"/>
        <n v="69427.28"/>
        <n v="534600"/>
        <n v="14272.29"/>
        <n v="267861.32"/>
        <n v="45375.12"/>
        <n v="37289.5"/>
        <n v="224963.84"/>
        <n v="614548.35"/>
        <n v="19448.099999999999"/>
        <n v="195252.3"/>
        <n v="107215.75"/>
        <n v="78743.37"/>
        <n v="2629.68"/>
        <n v="325671.7"/>
        <n v="37900.019999999997"/>
        <n v="172421"/>
        <n v="21731.85"/>
        <n v="20829.84"/>
        <n v="16885.7"/>
        <n v="766416.96"/>
        <n v="63268.639999999999"/>
        <n v="762639.12"/>
        <n v="11700.09"/>
        <n v="111066.08"/>
        <n v="4506"/>
        <n v="177533.79"/>
        <n v="13116"/>
        <n v="41291.82"/>
        <n v="908.44"/>
        <n v="6118.17"/>
        <n v="9834"/>
        <n v="76327.86"/>
        <n v="487137.87"/>
        <n v="180880.92"/>
        <n v="115935.66"/>
        <n v="3414"/>
        <n v="25533.25"/>
        <n v="212001.43"/>
        <n v="13378.68"/>
        <n v="39618.370000000003"/>
        <n v="984988.92"/>
        <n v="4800.6000000000004"/>
        <n v="206835.84"/>
        <n v="34939.760000000002"/>
        <n v="922048"/>
        <n v="3176.11"/>
        <n v="10418.52"/>
        <n v="287021.78999999998"/>
        <n v="94524.95"/>
        <n v="18495.919999999998"/>
        <n v="142673.85"/>
        <n v="4853.66"/>
        <n v="8458.9699999999993"/>
        <n v="140039.18"/>
        <n v="59158.080000000002"/>
        <n v="8035"/>
        <n v="64708.95"/>
        <n v="507480.3"/>
        <n v="79809.119999999995"/>
        <n v="2530.1"/>
        <n v="277793.25"/>
        <n v="67992.320000000007"/>
        <n v="12957.56"/>
        <n v="246541.89"/>
        <n v="80075.16"/>
        <n v="4496.16"/>
        <n v="41084.410000000003"/>
        <n v="15385.95"/>
        <n v="14118.66"/>
        <n v="623.16"/>
        <n v="29731.8"/>
        <n v="89639.679999999993"/>
        <n v="15594.02"/>
        <n v="130420.43"/>
        <n v="107382.39999999999"/>
        <n v="5834.71"/>
        <n v="23879.39"/>
        <n v="24780.06"/>
        <n v="10883.67"/>
        <n v="789.55"/>
        <n v="11671.55"/>
        <n v="1234672"/>
        <n v="33976.699999999997"/>
        <n v="3741.84"/>
        <n v="245720.37"/>
        <n v="32724.45"/>
        <n v="265513.02"/>
        <n v="11144.4"/>
        <n v="9628.56"/>
        <n v="824406.18"/>
        <n v="78162.600000000006"/>
        <n v="1917.45"/>
        <n v="589013.74"/>
        <n v="7938.43"/>
        <n v="11895.63"/>
        <n v="180744"/>
        <n v="25968.799999999999"/>
        <n v="10622.09"/>
        <n v="24865.54"/>
        <n v="19241.8"/>
        <n v="12115.74"/>
        <n v="615068.32999999996"/>
        <n v="42616.639999999999"/>
        <n v="2100.06"/>
        <n v="64757.2"/>
        <n v="28655.279999999999"/>
        <n v="10886.85"/>
        <n v="20170.919999999998"/>
        <n v="13943.72"/>
        <n v="73514.16"/>
        <n v="52987.61"/>
        <n v="8557.56"/>
        <n v="397301.35"/>
        <n v="43772.7"/>
        <n v="16740"/>
        <n v="216644.49"/>
        <n v="3966.36"/>
        <n v="4483.08"/>
        <n v="572905.19999999995"/>
        <n v="441839.51"/>
        <n v="80025"/>
        <n v="3714.16"/>
        <n v="39020"/>
        <n v="62269.02"/>
        <n v="31827.84"/>
        <n v="33696.81"/>
        <n v="1472.25"/>
        <n v="77471.839999999997"/>
        <n v="4967.5200000000004"/>
        <n v="322016.8"/>
        <n v="14695.34"/>
        <n v="52578.400000000001"/>
        <n v="48038.55"/>
        <n v="6959.91"/>
        <n v="451517.52"/>
        <n v="847155.8"/>
        <n v="547924.92000000004"/>
        <n v="18007.009999999998"/>
        <n v="33046.5"/>
        <n v="15000.24"/>
        <n v="1445.61"/>
        <n v="23404.45"/>
        <n v="1224.48"/>
        <n v="5172.58"/>
        <n v="334448.64000000001"/>
        <n v="5396.34"/>
        <n v="13627.2"/>
        <n v="51521.9"/>
        <n v="32048.1"/>
        <n v="22906.35"/>
        <n v="24212.16"/>
        <n v="7180.92"/>
        <n v="6264.28"/>
        <n v="69565.210000000006"/>
        <n v="139034.16"/>
        <n v="22274.400000000001"/>
        <n v="11769.03"/>
        <n v="7791.72"/>
        <n v="30895.05"/>
        <n v="14653.7"/>
        <n v="23491.25"/>
        <n v="864325.76"/>
        <n v="62558.45"/>
        <n v="354989.07"/>
        <n v="301967.09999999998"/>
        <n v="513566.16"/>
        <n v="17540.46"/>
        <n v="9167.7000000000007"/>
        <n v="5224.8"/>
        <n v="5067.3"/>
        <n v="23873.3"/>
        <n v="139375.72"/>
        <n v="5687.86"/>
        <n v="22111.02"/>
        <n v="170440.48"/>
        <n v="7940.88"/>
        <n v="7054.79"/>
        <n v="275.10000000000002"/>
        <n v="16929.54"/>
        <n v="7684.07"/>
        <n v="19137.599999999999"/>
        <n v="518219.02"/>
        <n v="2802.08"/>
        <n v="579.94000000000005"/>
        <n v="181360.65"/>
        <n v="148209.70000000001"/>
        <n v="30406.720000000001"/>
        <n v="16342.34"/>
        <n v="3215.41"/>
        <n v="11010.9"/>
        <n v="805619.04"/>
        <n v="8535.3799999999992"/>
        <n v="147992.57"/>
        <n v="1464.69"/>
        <n v="50365.2"/>
        <n v="26327.040000000001"/>
        <n v="809514.55"/>
        <n v="99543.31"/>
        <n v="17996.439999999999"/>
        <n v="3168.81"/>
        <n v="11230.52"/>
        <n v="46070.01"/>
        <n v="881397.16"/>
        <n v="112853.37"/>
        <n v="22774.39"/>
        <n v="48600.9"/>
        <n v="43920.24"/>
        <n v="54556.46"/>
        <n v="24510.78"/>
        <n v="69007.399999999994"/>
        <n v="48088.11"/>
        <n v="1166230.45"/>
        <n v="29581.439999999999"/>
        <n v="35279.46"/>
        <n v="234958.32"/>
        <n v="9219.18"/>
        <n v="52752.639999999999"/>
        <n v="8894.86"/>
        <n v="6860"/>
        <n v="65389"/>
        <n v="16462.32"/>
        <n v="21709.599999999999"/>
        <n v="6338.25"/>
        <n v="69589.38"/>
        <n v="1264975.04"/>
        <n v="34026"/>
        <n v="7439.85"/>
        <n v="17258"/>
        <n v="31327.39"/>
        <n v="8243.4"/>
        <n v="43605.2"/>
        <n v="55749.84"/>
        <n v="1188247.6499999999"/>
        <n v="171675.25"/>
        <n v="48357"/>
        <n v="641731.68000000005"/>
        <n v="22539.72"/>
        <n v="948085.74"/>
        <n v="36994.86"/>
        <n v="779.58"/>
        <n v="19120"/>
        <n v="13538.91"/>
        <n v="459047.3"/>
        <n v="506207.44"/>
        <n v="144388.48000000001"/>
        <n v="61626.78"/>
        <n v="4257.63"/>
        <n v="5820.6"/>
        <n v="106044.38"/>
        <n v="17673.28"/>
        <n v="109909.71"/>
        <n v="35485.040000000001"/>
        <n v="69123.58"/>
        <n v="17110.53"/>
        <n v="32601.9"/>
        <n v="699425.84"/>
        <n v="4158.33"/>
        <n v="61409.18"/>
        <n v="44384.480000000003"/>
        <n v="1379690.89"/>
        <n v="8784.7800000000007"/>
        <n v="10485.6"/>
        <n v="41880.5"/>
        <n v="551629.14"/>
        <n v="436520.5"/>
        <n v="3799.05"/>
        <n v="10238"/>
        <n v="94624.53"/>
        <n v="525431.5"/>
        <n v="122503.29"/>
        <n v="1984261.86"/>
        <n v="16324.08"/>
        <n v="239585.36"/>
        <n v="6456.78"/>
        <n v="18262.48"/>
        <n v="16511.3"/>
        <n v="441665.01"/>
        <n v="198532.35"/>
        <n v="20272.330000000002"/>
        <n v="29938.86"/>
        <n v="521006.88"/>
        <n v="9781.59"/>
        <n v="25806.240000000002"/>
        <n v="26713.26"/>
        <n v="38108.14"/>
        <n v="52695.41"/>
        <n v="149460.21"/>
        <n v="7978.86"/>
        <n v="451939.41"/>
        <n v="5145.2"/>
        <n v="20886.599999999999"/>
        <n v="184525.44"/>
        <n v="12602.8"/>
        <n v="61900.5"/>
        <n v="14562.08"/>
        <n v="12596.2"/>
        <n v="12922.68"/>
        <n v="4218.3599999999997"/>
        <n v="171333.61"/>
        <n v="63324"/>
        <n v="1022.67"/>
        <n v="2790.54"/>
        <n v="27473.040000000001"/>
        <n v="940703.28"/>
        <n v="5510.8"/>
        <n v="1145.92"/>
        <n v="554103.12"/>
        <n v="1505.14"/>
        <n v="7930.46"/>
        <n v="35185.919999999998"/>
        <n v="453941.04"/>
        <n v="15587.64"/>
        <n v="12118.5"/>
        <n v="180206.94"/>
        <n v="20162.099999999999"/>
        <n v="1945410.94"/>
        <n v="13206.75"/>
        <n v="6137.8"/>
        <n v="184301.52"/>
        <n v="38038.1"/>
        <n v="51178.82"/>
        <n v="14755.08"/>
        <n v="10767.72"/>
        <n v="137275.56"/>
        <n v="5547.46"/>
        <n v="76615.66"/>
        <n v="202949.56"/>
        <n v="16900.8"/>
        <n v="18759.2"/>
        <n v="11150.26"/>
        <n v="73218.78"/>
        <n v="582214.40000000002"/>
        <n v="718584.12"/>
        <n v="50216.04"/>
        <n v="5643.54"/>
        <n v="305391"/>
        <n v="17261.64"/>
        <n v="143556.9"/>
        <n v="39924.720000000001"/>
        <n v="77953.039999999994"/>
        <n v="267513"/>
        <n v="53792.31"/>
        <n v="25590.84"/>
        <n v="271555.06"/>
        <n v="149441.22"/>
        <n v="318"/>
        <n v="77650.48"/>
        <n v="341.66"/>
        <n v="82344.36"/>
        <n v="401887.7"/>
        <n v="48719.28"/>
        <n v="19158.32"/>
        <n v="15855.3"/>
        <n v="534453.44999999995"/>
        <n v="52384.5"/>
        <n v="11871.44"/>
        <n v="28008.27"/>
        <n v="2145.36"/>
        <n v="28666.44"/>
        <n v="159173.45000000001"/>
        <n v="856.65"/>
        <n v="30063.439999999999"/>
        <n v="29844.3"/>
        <n v="55446.239999999998"/>
        <n v="26075.85"/>
        <n v="1104260.3999999999"/>
        <n v="11112.12"/>
        <n v="12165.8"/>
        <n v="110884.75"/>
        <n v="1039.3599999999999"/>
        <n v="378.63"/>
        <n v="1446.26"/>
        <n v="4047.12"/>
        <n v="234777.06"/>
        <n v="53848.44"/>
        <n v="430904.34"/>
        <n v="148936.6"/>
        <n v="27129.9"/>
        <n v="61837.9"/>
        <n v="9549.5"/>
        <n v="38701.5"/>
        <n v="92704.06"/>
        <n v="24837.66"/>
        <n v="36640.050000000003"/>
        <n v="53913"/>
        <n v="60294.15"/>
        <n v="471707.28"/>
        <n v="8031.33"/>
        <n v="114876.16"/>
        <n v="65288.52"/>
        <n v="608048.48"/>
        <n v="459224.26"/>
        <n v="1791.52"/>
        <n v="24968.400000000001"/>
        <n v="20300.259999999998"/>
        <n v="1574347.98"/>
        <n v="204577.47"/>
        <n v="63930.879999999997"/>
        <n v="42861.91"/>
        <n v="148115.79999999999"/>
        <n v="24324.93"/>
        <n v="655348.64"/>
        <n v="182007.54"/>
        <n v="39533.300000000003"/>
        <n v="116820.24"/>
        <n v="78258.09"/>
        <n v="275456.08"/>
        <n v="27604.2"/>
        <n v="127935.06"/>
        <n v="150397.6"/>
        <n v="20649.39"/>
        <n v="14543.1"/>
        <n v="34457.040000000001"/>
        <n v="13652.86"/>
        <n v="1522398.29"/>
        <n v="17253.810000000001"/>
        <n v="19803.7"/>
        <n v="115136.63"/>
        <n v="9929.2000000000007"/>
        <n v="171405.56"/>
        <n v="9305.25"/>
        <n v="2884.92"/>
        <n v="9042.2800000000007"/>
        <n v="49316.47"/>
        <n v="856816.68"/>
        <n v="1059879.5"/>
        <n v="187056.09"/>
        <n v="17529.45"/>
        <n v="43210.44"/>
        <n v="11352.55"/>
        <n v="21603.7"/>
        <n v="422307.6"/>
        <n v="621095.51"/>
        <n v="58097.2"/>
        <n v="9748.44"/>
        <n v="3327.75"/>
        <n v="17112.95"/>
        <n v="63555.21"/>
        <n v="24158.22"/>
        <n v="115094.2"/>
        <n v="7708.35"/>
        <n v="6162.12"/>
        <n v="60810.36"/>
        <n v="16100.76"/>
        <n v="74931.12"/>
        <n v="27589.33"/>
        <n v="20219.5"/>
        <n v="21471.66"/>
        <n v="165999.9"/>
        <n v="11829.81"/>
        <n v="5787.18"/>
        <n v="1080.56"/>
        <n v="36148.92"/>
        <n v="3411.6"/>
        <n v="30594.2"/>
        <n v="293558.3"/>
        <n v="1595375.03"/>
        <n v="911127.84"/>
        <n v="2315.52"/>
        <n v="37965.9"/>
        <n v="361628.26"/>
        <n v="360427.2"/>
        <n v="51228.82"/>
        <n v="67650.45"/>
        <n v="4928.3"/>
        <n v="82697.789999999994"/>
        <n v="26024.1"/>
        <n v="14048.1"/>
        <n v="294154.59999999998"/>
        <n v="69265.990000000005"/>
        <n v="139919.75"/>
        <n v="52108.56"/>
        <n v="25234.74"/>
        <n v="23735.25"/>
        <n v="20025.900000000001"/>
        <n v="41672.800000000003"/>
        <n v="54483.66"/>
        <n v="1330.92"/>
        <n v="601319.6"/>
        <n v="14399.4"/>
        <n v="80021.820000000007"/>
        <n v="3458.22"/>
        <n v="73528.639999999999"/>
        <n v="133479.57999999999"/>
        <n v="41091.120000000003"/>
        <n v="86891.28"/>
        <n v="13475.52"/>
        <n v="17740.8"/>
        <n v="16843.09"/>
        <n v="72658.52"/>
        <n v="1041066.74"/>
        <n v="477684.22"/>
        <n v="84992.46"/>
        <n v="1113670"/>
        <n v="205322.34"/>
        <n v="8141.7"/>
        <n v="30623.67"/>
        <n v="4199.28"/>
        <n v="666926.5"/>
        <n v="4220"/>
        <n v="9981.02"/>
        <n v="49640.58"/>
        <n v="548918.36"/>
        <n v="665935.19999999995"/>
        <n v="111848.52"/>
        <n v="191632.86"/>
        <n v="327430.08"/>
        <n v="262575.69"/>
        <n v="572526.4"/>
        <n v="53740.32"/>
        <n v="91437.24"/>
        <n v="615163"/>
        <n v="17307.939999999999"/>
        <n v="439.8"/>
        <n v="20163.78"/>
        <n v="129660.2"/>
        <n v="45625.35"/>
        <n v="121484.66"/>
        <n v="185732.25"/>
        <n v="250672.52"/>
        <n v="5014.5600000000004"/>
        <n v="53177.75"/>
        <n v="35272.699999999997"/>
        <n v="22429.14"/>
        <n v="40535.4"/>
        <n v="974666.63"/>
        <n v="23327.58"/>
        <n v="116709.78"/>
        <n v="1778.94"/>
        <n v="988065.6"/>
        <n v="104408.16"/>
        <n v="5957.42"/>
        <n v="1649.41"/>
        <n v="280853.67"/>
        <n v="3980.9"/>
        <n v="231419.8"/>
        <n v="34878.76"/>
        <n v="12235.29"/>
        <n v="822.2"/>
        <n v="372685.38"/>
        <n v="36594.03"/>
        <n v="337650.72"/>
        <n v="15600.06"/>
        <n v="1101492.72"/>
        <n v="47149.19"/>
        <n v="2714.13"/>
        <n v="543080.69999999995"/>
        <n v="202178.55"/>
        <n v="123829"/>
        <n v="17433.54"/>
        <n v="660347.31999999995"/>
        <n v="61546.2"/>
        <n v="38799.94"/>
        <n v="21540.06"/>
        <n v="75095.039999999994"/>
        <n v="655875.74"/>
        <n v="3985.36"/>
        <n v="43734.9"/>
        <n v="225212.04"/>
        <n v="49088.34"/>
        <n v="655597.98"/>
        <n v="11233.74"/>
        <n v="78793.11"/>
        <n v="9690.8700000000008"/>
        <n v="1713806.59"/>
        <n v="134493.12"/>
        <n v="35340.76"/>
        <n v="551920.19999999995"/>
        <n v="266175.77"/>
        <n v="19215.2"/>
        <n v="50142.18"/>
        <n v="20262.5"/>
        <n v="1062381.58"/>
        <n v="12403.65"/>
        <n v="122986.48"/>
        <n v="12862.08"/>
        <n v="850008.4"/>
        <n v="163518.73000000001"/>
        <n v="120907.38"/>
        <n v="13690.72"/>
        <n v="126113.58"/>
        <n v="77403.48"/>
        <n v="16737.5"/>
        <n v="49688.639999999999"/>
        <n v="401393.79"/>
        <n v="38002.44"/>
        <n v="15907.9"/>
        <n v="10390.77"/>
        <n v="1236882.8999999999"/>
        <n v="53065.88"/>
        <n v="303454.76"/>
        <n v="15794.4"/>
        <n v="7745.5"/>
        <n v="26512.07"/>
        <n v="200505.41"/>
        <n v="3915.48"/>
        <n v="8533.66"/>
        <n v="230868.12"/>
        <n v="16246.48"/>
        <n v="9901.68"/>
        <n v="58493.13"/>
        <n v="21503"/>
        <n v="57307.38"/>
        <n v="1422337.76"/>
        <n v="32152.799999999999"/>
        <n v="125525.02"/>
        <n v="101067.54"/>
        <n v="10860.32"/>
        <n v="2521.2600000000002"/>
        <n v="7206"/>
        <n v="32080.959999999999"/>
        <n v="378677.79"/>
        <n v="8334.7199999999993"/>
        <n v="51729.26"/>
        <n v="23330.560000000001"/>
        <n v="6314.1"/>
        <n v="60731.8"/>
        <n v="829063.4"/>
        <n v="54689.36"/>
        <n v="345241.27"/>
        <n v="10032.23"/>
        <n v="18490.5"/>
        <n v="79667.199999999997"/>
        <n v="859352.5"/>
        <n v="16266.38"/>
        <n v="82383.14"/>
        <n v="2493.6799999999998"/>
        <n v="59026"/>
        <n v="55461.75"/>
        <n v="43705.41"/>
        <n v="128716.51"/>
        <n v="79044.05"/>
        <n v="96880.320000000007"/>
        <n v="23490.48"/>
        <n v="125674.95"/>
        <n v="353755.87"/>
        <n v="26714.880000000001"/>
        <n v="1908477.48"/>
        <n v="134004.16"/>
        <n v="6548.91"/>
        <n v="19709.740000000002"/>
        <n v="33786.9"/>
        <n v="24235.33"/>
        <n v="5345.82"/>
        <n v="2305.48"/>
        <n v="607848.78"/>
        <n v="569916.48"/>
        <n v="52352.7"/>
        <n v="24293.439999999999"/>
        <n v="97680.78"/>
        <n v="28688.86"/>
        <n v="138587.4"/>
        <n v="22481.759999999998"/>
        <n v="7696.8"/>
        <n v="1373020"/>
        <n v="117849.68"/>
        <n v="141455.35"/>
        <n v="6743.3"/>
        <n v="5101.92"/>
        <n v="38204.06"/>
        <n v="4056.06"/>
        <n v="68787.25"/>
        <n v="45338.559999999998"/>
        <n v="32849.25"/>
        <n v="3326.31"/>
        <n v="3636.46"/>
        <n v="436666.49"/>
        <n v="149602.39000000001"/>
        <n v="67347.210000000006"/>
        <n v="3810.24"/>
        <n v="13008.24"/>
        <n v="1888.74"/>
        <n v="61915.1"/>
        <n v="71434.2"/>
        <n v="100324.47"/>
        <n v="27676.98"/>
        <n v="509552.55"/>
        <n v="41976.13"/>
        <n v="21521.52"/>
        <n v="105572.4"/>
        <n v="23445.84"/>
        <n v="164573.4"/>
        <n v="8455.32"/>
        <n v="3559.78"/>
        <n v="18168.64"/>
        <n v="35140.879999999997"/>
        <n v="10912.55"/>
        <n v="4949.74"/>
        <n v="3294.6"/>
        <n v="157707.75"/>
        <n v="933100.96"/>
        <n v="21688.2"/>
        <n v="27657.5"/>
        <n v="2602.92"/>
        <n v="16135.68"/>
        <n v="183631.84"/>
        <n v="20732.599999999999"/>
        <n v="54907.519999999997"/>
        <n v="10848.6"/>
        <n v="152931.9"/>
        <n v="504767.28"/>
        <n v="15908.06"/>
        <n v="14343.9"/>
        <n v="12670.68"/>
        <n v="5928.34"/>
        <n v="111659.25"/>
        <n v="5247.6"/>
        <n v="8347.43"/>
        <n v="18271.919999999998"/>
        <n v="2027870.25"/>
        <n v="7110.78"/>
        <n v="24105.119999999999"/>
        <n v="678049.2"/>
        <n v="4482"/>
        <n v="338.16"/>
        <n v="5371.52"/>
        <n v="24674.400000000001"/>
        <n v="156482.96"/>
        <n v="2620.09"/>
        <n v="89308.1"/>
        <n v="625704.48"/>
        <n v="30693.279999999999"/>
        <n v="39873.440000000002"/>
        <n v="70098.600000000006"/>
        <n v="23124.06"/>
        <n v="1519129.08"/>
        <n v="19886.849999999999"/>
        <n v="828505.98"/>
        <n v="8964.48"/>
        <n v="236216.12"/>
        <n v="1391.62"/>
        <n v="4107.63"/>
        <n v="39083.879999999997"/>
        <n v="96194.75"/>
        <n v="7483.75"/>
        <n v="216561.1"/>
        <n v="8236.4500000000007"/>
        <n v="143484.16"/>
        <n v="77265.399999999994"/>
        <n v="18637.650000000001"/>
        <n v="7037.58"/>
        <n v="174919"/>
        <n v="51476.32"/>
        <n v="96583.05"/>
        <n v="21307.75"/>
        <n v="25150.68"/>
        <n v="726483.61"/>
        <n v="25826.5"/>
        <n v="18102.72"/>
        <n v="4581.54"/>
        <n v="26767.18"/>
        <n v="17827.32"/>
        <n v="82853.64"/>
        <n v="5596.8"/>
        <n v="2970.72"/>
        <n v="46168.98"/>
        <n v="118737.76"/>
        <n v="311855.84000000003"/>
        <n v="45182.879999999997"/>
        <n v="3673.28"/>
        <n v="62062.92"/>
        <n v="470335.25"/>
        <n v="34770.720000000001"/>
        <n v="12041.85"/>
        <n v="13639.84"/>
        <n v="40894.199999999997"/>
        <n v="49106.7"/>
        <n v="33496.35"/>
        <n v="3859.59"/>
        <n v="20893.25"/>
        <n v="159756.28"/>
        <n v="30168.6"/>
        <n v="51548.22"/>
        <n v="81768.960000000006"/>
        <n v="526415.93999999994"/>
        <n v="732264.16"/>
        <n v="459961.04"/>
        <n v="44910.81"/>
        <n v="775967.58"/>
        <n v="23890.3"/>
        <n v="4429.59"/>
        <n v="22272.799999999999"/>
        <n v="16393.91"/>
        <n v="14447.22"/>
        <n v="22954.36"/>
        <n v="44771.199999999997"/>
        <n v="28084.7"/>
        <n v="1548.75"/>
        <n v="49317.75"/>
        <n v="3851.68"/>
        <n v="201130.16"/>
        <n v="1713.36"/>
        <n v="73384"/>
        <n v="512289.8"/>
        <n v="540776.23"/>
      </sharedItems>
    </cacheField>
    <cacheField name="Discount (%)" numFmtId="164">
      <sharedItems containsSemiMixedTypes="0" containsString="0" containsNumber="1" minValue="0" maxValue="25"/>
    </cacheField>
    <cacheField name="Net Revenue (INR)" numFmtId="4">
      <sharedItems containsSemiMixedTypes="0" containsString="0" containsNumber="1" minValue="242.64" maxValue="2043813.49" count="1000">
        <n v="640966.38"/>
        <n v="6227.26"/>
        <n v="28869.42"/>
        <n v="60806.29"/>
        <n v="26047.47"/>
        <n v="302350.01"/>
        <n v="5546.81"/>
        <n v="1014591.13"/>
        <n v="48275.360000000001"/>
        <n v="155786.93"/>
        <n v="73330.789999999994"/>
        <n v="11067.17"/>
        <n v="719894.27"/>
        <n v="43050.27"/>
        <n v="9535.27"/>
        <n v="8256.8799999999992"/>
        <n v="18838.43"/>
        <n v="41558.129999999997"/>
        <n v="2689.97"/>
        <n v="433426.82"/>
        <n v="38678.730000000003"/>
        <n v="3736.36"/>
        <n v="1570829.44"/>
        <n v="17504.59"/>
        <n v="81983.789999999994"/>
        <n v="5577.51"/>
        <n v="98506.25"/>
        <n v="756905.61"/>
        <n v="350573.89"/>
        <n v="24285.43"/>
        <n v="40956.31"/>
        <n v="67538.7"/>
        <n v="2119.12"/>
        <n v="1593.52"/>
        <n v="13711.03"/>
        <n v="22427.360000000001"/>
        <n v="262.73"/>
        <n v="16339.45"/>
        <n v="8156.01"/>
        <n v="1572647.9"/>
        <n v="4646.07"/>
        <n v="27602.06"/>
        <n v="11324.46"/>
        <n v="54784.03"/>
        <n v="57573.37"/>
        <n v="1203003.8"/>
        <n v="18327.54"/>
        <n v="15873.62"/>
        <n v="689285.97"/>
        <n v="12746.87"/>
        <n v="18511.64"/>
        <n v="51354.25"/>
        <n v="62302.18"/>
        <n v="78035.86"/>
        <n v="13911.79"/>
        <n v="27120.98"/>
        <n v="392609.19"/>
        <n v="592.23"/>
        <n v="9370.1200000000008"/>
        <n v="61463.82"/>
        <n v="2100.34"/>
        <n v="1630921.47"/>
        <n v="5082.91"/>
        <n v="41423.879999999997"/>
        <n v="6311.29"/>
        <n v="1533.56"/>
        <n v="39016.28"/>
        <n v="127520.58"/>
        <n v="61209.02"/>
        <n v="12829.94"/>
        <n v="39661.5"/>
        <n v="23923.32"/>
        <n v="45702.02"/>
        <n v="15773.12"/>
        <n v="12654.84"/>
        <n v="44784.94"/>
        <n v="1426390.9"/>
        <n v="7795.9"/>
        <n v="3928.68"/>
        <n v="17418.080000000002"/>
        <n v="242506.61"/>
        <n v="262856.24"/>
        <n v="30765.23"/>
        <n v="4176.42"/>
        <n v="30172.65"/>
        <n v="14963.68"/>
        <n v="63000.79"/>
        <n v="377119.74"/>
        <n v="16832.310000000001"/>
        <n v="503026.91"/>
        <n v="2043813.49"/>
        <n v="7174.55"/>
        <n v="11759.36"/>
        <n v="8881.86"/>
        <n v="67821.84"/>
        <n v="81802.97"/>
        <n v="45881.22"/>
        <n v="57489.279999999999"/>
        <n v="545978.48"/>
        <n v="1343.47"/>
        <n v="11317.37"/>
        <n v="96798.07"/>
        <n v="4370.78"/>
        <n v="217248.5"/>
        <n v="446173.56"/>
        <n v="23311.73"/>
        <n v="117452.29"/>
        <n v="207492.16"/>
        <n v="30447.31"/>
        <n v="11808.8"/>
        <n v="4706.96"/>
        <n v="60019.34"/>
        <n v="2904.3"/>
        <n v="21668.95"/>
        <n v="34656.78"/>
        <n v="39583.129999999997"/>
        <n v="16187.33"/>
        <n v="27120.99"/>
        <n v="18424.34"/>
        <n v="408294.79"/>
        <n v="17807.72"/>
        <n v="137515.38"/>
        <n v="804.23"/>
        <n v="32515.1"/>
        <n v="8413.51"/>
        <n v="3012.25"/>
        <n v="24805.42"/>
        <n v="52453.25"/>
        <n v="99616.25"/>
        <n v="3377.73"/>
        <n v="604223.57999999996"/>
        <n v="13624.49"/>
        <n v="41769.89"/>
        <n v="472618.39"/>
        <n v="13330.72"/>
        <n v="7336.73"/>
        <n v="73102.19"/>
        <n v="73450.81"/>
        <n v="18252.96"/>
        <n v="117215.35"/>
        <n v="37999.550000000003"/>
        <n v="2158.71"/>
        <n v="96416.92"/>
        <n v="6984.49"/>
        <n v="3570.07"/>
        <n v="43473.07"/>
        <n v="82187.38"/>
        <n v="10663.39"/>
        <n v="11430.63"/>
        <n v="6694.73"/>
        <n v="322310.83"/>
        <n v="21314.2"/>
        <n v="152505.06"/>
        <n v="5777.81"/>
        <n v="44221.93"/>
        <n v="17824.96"/>
        <n v="14907.86"/>
        <n v="67651.31"/>
        <n v="4449.53"/>
        <n v="256358.3"/>
        <n v="28804.16"/>
        <n v="11118.29"/>
        <n v="70202.19"/>
        <n v="3775.75"/>
        <n v="111277.84"/>
        <n v="1087.7"/>
        <n v="30431.26"/>
        <n v="23565.64"/>
        <n v="31257.06"/>
        <n v="471978.47"/>
        <n v="229101.86"/>
        <n v="148176.04999999999"/>
        <n v="300774.42"/>
        <n v="144918.39999999999"/>
        <n v="28173.81"/>
        <n v="585822.92000000004"/>
        <n v="478396.18"/>
        <n v="168688.99"/>
        <n v="61482.46"/>
        <n v="6636.03"/>
        <n v="29097.37"/>
        <n v="44493.87"/>
        <n v="6190.46"/>
        <n v="353691.89"/>
        <n v="33476.44"/>
        <n v="49271.05"/>
        <n v="88316.55"/>
        <n v="19841.689999999999"/>
        <n v="10945.98"/>
        <n v="35635.81"/>
        <n v="32016.66"/>
        <n v="7559.38"/>
        <n v="2106.61"/>
        <n v="28729.9"/>
        <n v="112982.85"/>
        <n v="150700.09"/>
        <n v="83292.820000000007"/>
        <n v="32008.51"/>
        <n v="412733.9"/>
        <n v="14174.92"/>
        <n v="21441.17"/>
        <n v="38529.01"/>
        <n v="3065.95"/>
        <n v="40319.31"/>
        <n v="110688.67"/>
        <n v="59776.89"/>
        <n v="467775"/>
        <n v="12516.8"/>
        <n v="240807.33"/>
        <n v="40837.61"/>
        <n v="32255.42"/>
        <n v="199767.89"/>
        <n v="470129.49"/>
        <n v="18514.59"/>
        <n v="158935.37"/>
        <n v="100997.24"/>
        <n v="68742.960000000006"/>
        <n v="2427.19"/>
        <n v="248161.84"/>
        <n v="28917.72"/>
        <n v="136385.01"/>
        <n v="18167.830000000002"/>
        <n v="17976.150000000001"/>
        <n v="16311.59"/>
        <n v="760285.62"/>
        <n v="49602.61"/>
        <n v="703153.27"/>
        <n v="10296.08"/>
        <n v="95294.7"/>
        <n v="3667.88"/>
        <n v="167236.82999999999"/>
        <n v="12840.56"/>
        <n v="40713.730000000003"/>
        <n v="749.46"/>
        <n v="6008.04"/>
        <n v="7414.84"/>
        <n v="73045.759999999995"/>
        <n v="449141.12"/>
        <n v="163516.35"/>
        <n v="87415.49"/>
        <n v="3052.12"/>
        <n v="24205.52"/>
        <n v="194617.31"/>
        <n v="10729.7"/>
        <n v="32170.12"/>
        <n v="955439.25"/>
        <n v="3725.27"/>
        <n v="159263.6"/>
        <n v="32528.92"/>
        <n v="733028.16"/>
        <n v="2639.35"/>
        <n v="9043.2800000000007"/>
        <n v="254301.31"/>
        <n v="84032.68"/>
        <n v="16405.88"/>
        <n v="111570.95"/>
        <n v="3980"/>
        <n v="6834.85"/>
        <n v="119593.46"/>
        <n v="44841.82"/>
        <n v="7962.68"/>
        <n v="49372.93"/>
        <n v="413596.44"/>
        <n v="69274.320000000007"/>
        <n v="2213.84"/>
        <n v="249458.34"/>
        <n v="60717.14"/>
        <n v="10301.26"/>
        <n v="231009.75"/>
        <n v="77993.210000000006"/>
        <n v="3902.67"/>
        <n v="39071.269999999997"/>
        <n v="11570.23"/>
        <n v="13779.81"/>
        <n v="484.2"/>
        <n v="28364.14"/>
        <n v="82737.42"/>
        <n v="15141.79"/>
        <n v="127681.60000000001"/>
        <n v="85583.77"/>
        <n v="5420.45"/>
        <n v="20989.98"/>
        <n v="20220.53"/>
        <n v="8717.82"/>
        <n v="654.54"/>
        <n v="9162.17"/>
        <n v="1002553.66"/>
        <n v="25856.27"/>
        <n v="3356.43"/>
        <n v="213531"/>
        <n v="27390.36"/>
        <n v="210817.34"/>
        <n v="10408.870000000001"/>
        <n v="7587.31"/>
        <n v="675188.66"/>
        <n v="71518.78"/>
        <n v="1898.28"/>
        <n v="571343.32999999996"/>
        <n v="6191.98"/>
        <n v="9540.2999999999993"/>
        <n v="143691.48000000001"/>
        <n v="22566.89"/>
        <n v="10558.36"/>
        <n v="24840.67"/>
        <n v="14604.53"/>
        <n v="9983.3700000000008"/>
        <n v="486519.05"/>
        <n v="39889.18"/>
        <n v="1743.05"/>
        <n v="64303.9"/>
        <n v="25875.72"/>
        <n v="9210.2800000000007"/>
        <n v="19626.310000000001"/>
        <n v="13650.9"/>
        <n v="62487.040000000001"/>
        <n v="49649.39"/>
        <n v="6794.7"/>
        <n v="313073.46000000002"/>
        <n v="39482.980000000003"/>
        <n v="12873.06"/>
        <n v="168332.77"/>
        <n v="3399.17"/>
        <n v="3384.73"/>
        <n v="453168.01"/>
        <n v="341100.1"/>
        <n v="73783.05"/>
        <n v="2859.9"/>
        <n v="32425.62"/>
        <n v="54049.51"/>
        <n v="29918.17"/>
        <n v="27125.93"/>
        <n v="1280.8599999999999"/>
        <n v="68485.11"/>
        <n v="4535.3500000000004"/>
        <n v="287883.02"/>
        <n v="11432.97"/>
        <n v="40748.26"/>
        <n v="47894.43"/>
        <n v="6124.72"/>
        <n v="423523.43"/>
        <n v="675183.17"/>
        <n v="543541.52"/>
        <n v="17952.990000000002"/>
        <n v="28023.43"/>
        <n v="13245.21"/>
        <n v="1170.94"/>
        <n v="21391.67"/>
        <n v="1076.32"/>
        <n v="4350.1400000000003"/>
        <n v="328094.12"/>
        <n v="5202.07"/>
        <n v="11637.63"/>
        <n v="39980.99"/>
        <n v="29131.72"/>
        <n v="18989.36"/>
        <n v="18861.27"/>
        <n v="6276.12"/>
        <n v="5744.34"/>
        <n v="54539.12"/>
        <n v="116649.66"/>
        <n v="16705.8"/>
        <n v="11616.03"/>
        <n v="6887.88"/>
        <n v="26786.01"/>
        <n v="14360.63"/>
        <n v="20460.88"/>
        <n v="836667.34"/>
        <n v="56365.16"/>
        <n v="331204.8"/>
        <n v="298645.46000000002"/>
        <n v="393905.24"/>
        <n v="15768.87"/>
        <n v="7985.07"/>
        <n v="4916.54"/>
        <n v="3800.48"/>
        <n v="22679.63"/>
        <n v="106064.92"/>
        <n v="5494.47"/>
        <n v="18882.810000000001"/>
        <n v="141465.60000000001"/>
        <n v="7289.73"/>
        <n v="5446.3"/>
        <n v="242.64"/>
        <n v="15795.26"/>
        <n v="6154.94"/>
        <n v="16152.13"/>
        <n v="515627.92"/>
        <n v="2292.1"/>
        <n v="570.08000000000004"/>
        <n v="161773.70000000001"/>
        <n v="140354.59"/>
        <n v="23443.58"/>
        <n v="13319.01"/>
        <n v="3141.46"/>
        <n v="9986.89"/>
        <n v="641272.76"/>
        <n v="8159.82"/>
        <n v="120169.97"/>
        <n v="1233.27"/>
        <n v="44069.55"/>
        <n v="20456.11"/>
        <n v="745562.9"/>
        <n v="98746.96"/>
        <n v="16610.71"/>
        <n v="3019.88"/>
        <n v="9422.41"/>
        <n v="34828.93"/>
        <n v="801190.02"/>
        <n v="97279.6"/>
        <n v="18925.52"/>
        <n v="47774.68"/>
        <n v="40757.980000000003"/>
        <n v="50573.84"/>
        <n v="19682.16"/>
        <n v="59277.36"/>
        <n v="47607.23"/>
        <n v="1096256.6200000001"/>
        <n v="27569.9"/>
        <n v="29176.11"/>
        <n v="222505.53"/>
        <n v="8149.76"/>
        <n v="41358.07"/>
        <n v="8583.5400000000009"/>
        <n v="6297.48"/>
        <n v="49761.03"/>
        <n v="12396.13"/>
        <n v="20255.060000000001"/>
        <n v="6192.47"/>
        <n v="64300.59"/>
        <n v="1129622.71"/>
        <n v="26914.57"/>
        <n v="6777.7"/>
        <n v="16429.62"/>
        <n v="24685.98"/>
        <n v="8053.8"/>
        <n v="37718.5"/>
        <n v="46328.12"/>
        <n v="1020704.73"/>
        <n v="143863.85999999999"/>
        <n v="45503.94"/>
        <n v="517235.73"/>
        <n v="21953.69"/>
        <n v="778378.39"/>
        <n v="35885.01"/>
        <n v="723.45"/>
        <n v="14779.76"/>
        <n v="10546.81"/>
        <n v="451702.54"/>
        <n v="501145.37"/>
        <n v="130960.35"/>
        <n v="59901.23"/>
        <n v="3857.41"/>
        <n v="4563.3500000000004"/>
        <n v="88228.92"/>
        <n v="17054.72"/>
        <n v="87158.399999999994"/>
        <n v="29913.89"/>
        <n v="66635.13"/>
        <n v="15382.37"/>
        <n v="32308.48"/>
        <n v="677743.64"/>
        <n v="3655.17"/>
        <n v="57908.86"/>
        <n v="35551.97"/>
        <n v="1214127.98"/>
        <n v="6896.05"/>
        <n v="9552.3799999999992"/>
        <n v="37734.33"/>
        <n v="517428.13"/>
        <n v="336557.31"/>
        <n v="3054.44"/>
        <n v="8292.7800000000007"/>
        <n v="89230.93"/>
        <n v="422446.93"/>
        <n v="118338.18"/>
        <n v="1670748.49"/>
        <n v="15736.41"/>
        <n v="182084.87"/>
        <n v="5978.98"/>
        <n v="16235.34"/>
        <n v="13770.42"/>
        <n v="338315.4"/>
        <n v="177884.99"/>
        <n v="16258.41"/>
        <n v="22633.78"/>
        <n v="410553.42"/>
        <n v="7531.82"/>
        <n v="19457.900000000001"/>
        <n v="25217.32"/>
        <n v="34602.19"/>
        <n v="46793.52"/>
        <n v="122706.83"/>
        <n v="7141.08"/>
        <n v="347089.47"/>
        <n v="4862.21"/>
        <n v="20113.8"/>
        <n v="179174.2"/>
        <n v="11443.34"/>
        <n v="49396.6"/>
        <n v="14460.15"/>
        <n v="11525.52"/>
        <n v="11359.04"/>
        <n v="3813.4"/>
        <n v="142720.9"/>
        <n v="57624.84"/>
        <n v="953.13"/>
        <n v="2706.82"/>
        <n v="23407.03"/>
        <n v="761969.66"/>
        <n v="4270.87"/>
        <n v="952.26"/>
        <n v="420564.27"/>
        <n v="1405.8"/>
        <n v="6851.92"/>
        <n v="31033.98"/>
        <n v="406277.23"/>
        <n v="14543.27"/>
        <n v="10700.64"/>
        <n v="167232.04"/>
        <n v="17803.13"/>
        <n v="1476566.9"/>
        <n v="11635.15"/>
        <n v="5873.87"/>
        <n v="175823.65"/>
        <n v="30164.21"/>
        <n v="44781.47"/>
        <n v="12394.27"/>
        <n v="9389.4500000000007"/>
        <n v="123410.73"/>
        <n v="5381.04"/>
        <n v="62978.07"/>
        <n v="169462.88"/>
        <n v="15599.44"/>
        <n v="16207.95"/>
        <n v="10726.55"/>
        <n v="72559.81"/>
        <n v="546699.31999999995"/>
        <n v="708523.94"/>
        <n v="41076.720000000001"/>
        <n v="5197.7"/>
        <n v="238815.76"/>
        <n v="14499.78"/>
        <n v="132646.57999999999"/>
        <n v="30023.39"/>
        <n v="61738.81"/>
        <n v="222303.3"/>
        <n v="41635.25"/>
        <n v="23722.71"/>
        <n v="216157.83"/>
        <n v="140773.63"/>
        <n v="245.5"/>
        <n v="70661.94"/>
        <n v="295.54000000000002"/>
        <n v="63322.81"/>
        <n v="335978.12"/>
        <n v="42872.97"/>
        <n v="19158.32"/>
        <n v="14697.86"/>
        <n v="411529.16"/>
        <n v="49136.66"/>
        <n v="11835.83"/>
        <n v="23106.82"/>
        <n v="2072.42"/>
        <n v="26975.119999999999"/>
        <n v="131477.26999999999"/>
        <n v="818.1"/>
        <n v="28590.33"/>
        <n v="28173.02"/>
        <n v="54614.55"/>
        <n v="20782.45"/>
        <n v="840342.16"/>
        <n v="8711.9"/>
        <n v="10097.61"/>
        <n v="96137.08"/>
        <n v="959.33"/>
        <n v="358.56"/>
        <n v="1268.3699999999999"/>
        <n v="3852.86"/>
        <n v="179369.67"/>
        <n v="53579.199999999997"/>
        <n v="384366.67"/>
        <n v="131511.01999999999"/>
        <n v="25990.44"/>
        <n v="51449.13"/>
        <n v="8336.7099999999991"/>
        <n v="29490.54"/>
        <n v="77593.3"/>
        <n v="19745.939999999999"/>
        <n v="32866.120000000003"/>
        <n v="50085.18"/>
        <n v="52033.85"/>
        <n v="406139.97"/>
        <n v="6866.79"/>
        <n v="101205.9"/>
        <n v="62546.400000000001"/>
        <n v="573997.77"/>
        <n v="415138.73"/>
        <n v="1701.94"/>
        <n v="21248.11"/>
        <n v="16341.71"/>
        <n v="1261052.73"/>
        <n v="175527.47"/>
        <n v="57921.38"/>
        <n v="38189.96"/>
        <n v="111827.43"/>
        <n v="19241.02"/>
        <n v="498064.97"/>
        <n v="169995.04"/>
        <n v="34473.040000000001"/>
        <n v="114717.48"/>
        <n v="74110.41"/>
        <n v="226424.9"/>
        <n v="21476.07"/>
        <n v="103243.59"/>
        <n v="115505.36"/>
        <n v="16230.42"/>
        <n v="14397.67"/>
        <n v="30666.77"/>
        <n v="10676.54"/>
        <n v="1405173.62"/>
        <n v="17219.3"/>
        <n v="16298.45"/>
        <n v="106501.38"/>
        <n v="9025.64"/>
        <n v="148265.81"/>
        <n v="8374.73"/>
        <n v="2688.75"/>
        <n v="8101.88"/>
        <n v="47491.76"/>
        <n v="734291.89"/>
        <n v="953891.55"/>
        <n v="157501.23000000001"/>
        <n v="17301.57"/>
        <n v="38370.870000000003"/>
        <n v="10444.35"/>
        <n v="18968.05"/>
        <n v="321798.39"/>
        <n v="522962.42"/>
        <n v="54088.49"/>
        <n v="8715.11"/>
        <n v="2958.37"/>
        <n v="13433.67"/>
        <n v="57326.8"/>
        <n v="18891.73"/>
        <n v="112447.03"/>
        <n v="5920.01"/>
        <n v="5194.67"/>
        <n v="57830.65"/>
        <n v="13460.24"/>
        <n v="61368.59"/>
        <n v="24526.91"/>
        <n v="18824.349999999999"/>
        <n v="17885.89"/>
        <n v="158529.9"/>
        <n v="9144.44"/>
        <n v="5098.51"/>
        <n v="854.72"/>
        <n v="35895.879999999997"/>
        <n v="3213.73"/>
        <n v="28422.01"/>
        <n v="234846.64"/>
        <n v="1346496.53"/>
        <n v="717968.74"/>
        <n v="1801.47"/>
        <n v="31435.77"/>
        <n v="327635.20000000001"/>
        <n v="272482.96000000002"/>
        <n v="42622.38"/>
        <n v="65959.19"/>
        <n v="4085.56"/>
        <n v="72608.66"/>
        <n v="23447.71"/>
        <n v="13317.6"/>
        <n v="241206.77"/>
        <n v="55828.39"/>
        <n v="120890.66"/>
        <n v="46585.05"/>
        <n v="20768.189999999999"/>
        <n v="22050.05"/>
        <n v="15439.97"/>
        <n v="34963.480000000003"/>
        <n v="47564.24"/>
        <n v="1128.6199999999999"/>
        <n v="505108.46"/>
        <n v="12671.47"/>
        <n v="65217.78"/>
        <n v="2680.12"/>
        <n v="72425.710000000006"/>
        <n v="131744.35"/>
        <n v="32996.17"/>
        <n v="71077.070000000007"/>
        <n v="12518.76"/>
        <n v="15044.2"/>
        <n v="16371.48"/>
        <n v="63648.86"/>
        <n v="953617.13"/>
        <n v="427049.69"/>
        <n v="82527.679999999993"/>
        <n v="899845.36"/>
        <n v="164463.19"/>
        <n v="7034.43"/>
        <n v="27346.94"/>
        <n v="3741.56"/>
        <n v="593564.57999999996"/>
        <n v="4207.34"/>
        <n v="9601.74"/>
        <n v="46215.38"/>
        <n v="452857.65"/>
        <n v="615990.06000000006"/>
        <n v="85675.97"/>
        <n v="173811"/>
        <n v="317279.75"/>
        <n v="255486.15"/>
        <n v="521571.55"/>
        <n v="43744.62"/>
        <n v="69583.740000000005"/>
        <n v="509970.13"/>
        <n v="16702.16"/>
        <n v="368.99"/>
        <n v="18510.349999999999"/>
        <n v="103857.82"/>
        <n v="38370.92"/>
        <n v="93664.67"/>
        <n v="143199.56"/>
        <n v="214826.35"/>
        <n v="4593.34"/>
        <n v="41531.82"/>
        <n v="32591.97"/>
        <n v="18122.75"/>
        <n v="36360.25"/>
        <n v="742695.97"/>
        <n v="21927.93"/>
        <n v="114492.29"/>
        <n v="1601.05"/>
        <n v="883330.65"/>
        <n v="85405.87"/>
        <n v="5617.85"/>
        <n v="1246.95"/>
        <n v="229738.3"/>
        <n v="3972.94"/>
        <n v="189995.66"/>
        <n v="33971.910000000003"/>
        <n v="10253.17"/>
        <n v="776.16"/>
        <n v="368958.53"/>
        <n v="31763.62"/>
        <n v="315028.12"/>
        <n v="11715.65"/>
        <n v="984734.49"/>
        <n v="36587.769999999997"/>
        <n v="2689.7"/>
        <n v="481712.58"/>
        <n v="155677.48000000001"/>
        <n v="112932.05"/>
        <n v="14365.24"/>
        <n v="642517.93999999994"/>
        <n v="48990.78"/>
        <n v="32553.15"/>
        <n v="18869.09"/>
        <n v="57898.28"/>
        <n v="527979.97"/>
        <n v="3128.51"/>
        <n v="38049.360000000001"/>
        <n v="201339.56"/>
        <n v="38632.519999999997"/>
        <n v="589382.57999999996"/>
        <n v="8863.42"/>
        <n v="76035.350000000006"/>
        <n v="8838.07"/>
        <n v="1395038.56"/>
        <n v="125078.6"/>
        <n v="27000.34"/>
        <n v="434361.2"/>
        <n v="202027.41"/>
        <n v="18427.38"/>
        <n v="49791.18"/>
        <n v="17223.12"/>
        <n v="1060256.82"/>
        <n v="10121.379999999999"/>
        <n v="109211.99"/>
        <n v="11228.6"/>
        <n v="795607.86"/>
        <n v="133758.32"/>
        <n v="112564.77"/>
        <n v="10555.55"/>
        <n v="97107.46"/>
        <n v="59136.26"/>
        <n v="15816.94"/>
        <n v="43080.05"/>
        <n v="328340.12"/>
        <n v="37508.410000000003"/>
        <n v="14142.12"/>
        <n v="9008.7999999999993"/>
        <n v="1145353.57"/>
        <n v="40383.129999999997"/>
        <n v="287068.2"/>
        <n v="14957.3"/>
        <n v="5964.03"/>
        <n v="26140.9"/>
        <n v="184264.47"/>
        <n v="3198.95"/>
        <n v="6673.32"/>
        <n v="177306.72"/>
        <n v="13062.17"/>
        <n v="8871.91"/>
        <n v="47554.91"/>
        <n v="18836.63"/>
        <n v="49227.040000000001"/>
        <n v="1086666.05"/>
        <n v="29419.81"/>
        <n v="112470.42"/>
        <n v="89950.11"/>
        <n v="8145.24"/>
        <n v="2468.31"/>
        <n v="5635.09"/>
        <n v="30861.88"/>
        <n v="316953.31"/>
        <n v="7892.98"/>
        <n v="47539.19"/>
        <n v="18174.509999999998"/>
        <n v="6048.91"/>
        <n v="46642.02"/>
        <n v="762738.33"/>
        <n v="44899.96"/>
        <n v="324181.55"/>
        <n v="7694.72"/>
        <n v="15328.62"/>
        <n v="61582.75"/>
        <n v="828415.81"/>
        <n v="14281.88"/>
        <n v="77769.679999999993"/>
        <n v="2154.54"/>
        <n v="56074.7"/>
        <n v="45478.64"/>
        <n v="34702.1"/>
        <n v="102587.06"/>
        <n v="63156.2"/>
        <n v="93489.51"/>
        <n v="21423.32"/>
        <n v="114615.55"/>
        <n v="295386.15000000002"/>
        <n v="26501.16"/>
        <n v="1431358.11"/>
        <n v="116047.6"/>
        <n v="5645.16"/>
        <n v="18428.61"/>
        <n v="26522.720000000001"/>
        <n v="22902.39"/>
        <n v="4126.97"/>
        <n v="2121.04"/>
        <n v="466220.01"/>
        <n v="484429.01"/>
        <n v="44080.97"/>
        <n v="21791.22"/>
        <n v="97583.1"/>
        <n v="27914.26"/>
        <n v="116829.18"/>
        <n v="21312.71"/>
        <n v="6549.98"/>
        <n v="1223360.82"/>
        <n v="106300.41"/>
        <n v="111325.36"/>
        <n v="5617.17"/>
        <n v="4418.26"/>
        <n v="29035.09"/>
        <n v="3297.58"/>
        <n v="57712.5"/>
        <n v="43026.29"/>
        <n v="26804.99"/>
        <n v="3159.99"/>
        <n v="2952.81"/>
        <n v="381209.85"/>
        <n v="140775.85"/>
        <n v="57312.480000000003"/>
        <n v="2968.18"/>
        <n v="11174.08"/>
        <n v="1854.74"/>
        <n v="52256.34"/>
        <n v="70291.25"/>
        <n v="84774.18"/>
        <n v="23082.6"/>
        <n v="492227.76"/>
        <n v="41976.13"/>
        <n v="20875.87"/>
        <n v="89208.68"/>
        <n v="23047.26"/>
        <n v="148445.21"/>
        <n v="8311.58"/>
        <n v="2862.06"/>
        <n v="17005.849999999999"/>
        <n v="30783.41"/>
        <n v="9733.99"/>
        <n v="4261.7299999999996"/>
        <n v="2596.14"/>
        <n v="132159.09"/>
        <n v="873382.5"/>
        <n v="17242.12"/>
        <n v="23896.080000000002"/>
        <n v="2290.5700000000002"/>
        <n v="15522.52"/>
        <n v="171512.14"/>
        <n v="18223.96"/>
        <n v="52821.03"/>
        <n v="8700.58"/>
        <n v="143755.99"/>
        <n v="468928.8"/>
        <n v="13171.87"/>
        <n v="11489.46"/>
        <n v="9984.5"/>
        <n v="4635.96"/>
        <n v="106076.29"/>
        <n v="4785.8100000000004"/>
        <n v="6602.82"/>
        <n v="15640.76"/>
        <n v="1715578.23"/>
        <n v="5980.17"/>
        <n v="19332.310000000001"/>
        <n v="562102.79"/>
        <n v="4334.09"/>
        <n v="282.02999999999997"/>
        <n v="4442.25"/>
        <n v="21935.54"/>
        <n v="152414.39999999999"/>
        <n v="2565.0700000000002"/>
        <n v="75108.11"/>
        <n v="509949.15"/>
        <n v="24830.86"/>
        <n v="30383.56"/>
        <n v="69958.399999999994"/>
        <n v="22337.84"/>
        <n v="1218341.52"/>
        <n v="14935.02"/>
        <n v="671918.35"/>
        <n v="7897.71"/>
        <n v="177634.52"/>
        <n v="1159.22"/>
        <n v="3585.96"/>
        <n v="35566.33"/>
        <n v="86671.47"/>
        <n v="6832.66"/>
        <n v="194255.31"/>
        <n v="6860.96"/>
        <n v="108760.99"/>
        <n v="66834.570000000007"/>
        <n v="15842"/>
        <n v="5714.51"/>
        <n v="135912.06"/>
        <n v="46894.93"/>
        <n v="77749.36"/>
        <n v="18196.82"/>
        <n v="24572.21"/>
        <n v="602981.4"/>
        <n v="19886.400000000001"/>
        <n v="14699.41"/>
        <n v="4022.59"/>
        <n v="20503.66"/>
        <n v="14279.68"/>
        <n v="80616.59"/>
        <n v="4264.76"/>
        <n v="2608.29"/>
        <n v="39012.79"/>
        <n v="102826.9"/>
        <n v="234827.45"/>
        <n v="43240.02"/>
        <n v="3181.06"/>
        <n v="54429.18"/>
        <n v="465161.56"/>
        <n v="27364.560000000001"/>
        <n v="10873.79"/>
        <n v="12507.73"/>
        <n v="33492.35"/>
        <n v="38745.19"/>
        <n v="27500.5"/>
        <n v="3319.25"/>
        <n v="17257.82"/>
        <n v="138987.96"/>
        <n v="28931.69"/>
        <n v="41599.410000000003"/>
        <n v="78498.2"/>
        <n v="436925.23"/>
        <n v="724941.52"/>
        <n v="359689.53"/>
        <n v="40240.089999999997"/>
        <n v="698370.82"/>
        <n v="18084.96"/>
        <n v="3844.88"/>
        <n v="17528.689999999999"/>
        <n v="14426.64"/>
        <n v="13984.91"/>
        <n v="19258.71"/>
        <n v="33623.17"/>
        <n v="22299.25"/>
        <n v="1513.13"/>
        <n v="44879.15"/>
        <n v="3454.96"/>
        <n v="167340.29"/>
        <n v="1699.65"/>
        <n v="69641.42"/>
        <n v="496408.82"/>
        <n v="458578.24"/>
      </sharedItems>
    </cacheField>
    <cacheField name="Margin (%)" numFmtId="164">
      <sharedItems containsSemiMixedTypes="0" containsString="0" containsNumber="1" minValue="12.2" maxValue="71.5"/>
    </cacheField>
    <cacheField name="Profit (INR)" numFmtId="4">
      <sharedItems containsSemiMixedTypes="0" containsString="0" containsNumber="1" minValue="65.02" maxValue="530113.67000000004"/>
    </cacheField>
    <cacheField name="Order Status" numFmtId="0">
      <sharedItems count="4">
        <s v="Cancelled"/>
        <s v="Fulfilled"/>
        <s v="Pending"/>
        <s v="Returned"/>
      </sharedItems>
    </cacheField>
  </cacheFields>
  <extLst>
    <ext xmlns:x14="http://schemas.microsoft.com/office/spreadsheetml/2009/9/main" uri="{725AE2AE-9491-48be-B2B4-4EB974FC3084}">
      <x14:pivotCacheDefinition pivotCacheId="10718696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ORD-2026-0001"/>
    <s v="2026-11-04"/>
    <x v="0"/>
    <s v="Q4"/>
    <s v="Tablet Ultra"/>
    <s v="Electronics"/>
    <x v="0"/>
    <s v="Guwahati"/>
    <s v="SMB"/>
    <s v="B2B"/>
    <s v="Rohit Das"/>
    <n v="49480.19"/>
    <n v="17"/>
    <n v="841163.23"/>
    <n v="23.8"/>
    <n v="640966.38"/>
    <n v="24.9"/>
    <n v="159600.63"/>
    <s v="Cancelled"/>
  </r>
  <r>
    <s v="ORD-2026-0002"/>
    <s v="2026-12-17"/>
    <x v="1"/>
    <s v="Q4"/>
    <s v="Sofa 3-seater"/>
    <s v="Furniture"/>
    <x v="1"/>
    <s v="Hyderabad"/>
    <s v="Wholesale"/>
    <s v="B2B"/>
    <s v="Neha Patel"/>
    <n v="2607.73"/>
    <n v="3"/>
    <n v="7823.19"/>
    <n v="20.399999999999999"/>
    <n v="6227.26"/>
    <n v="30.7"/>
    <n v="1911.77"/>
    <s v="Fulfilled"/>
  </r>
  <r>
    <s v="ORD-2026-0003"/>
    <s v="2026-10-13"/>
    <x v="2"/>
    <s v="Q4"/>
    <s v="Olive Oil 1L"/>
    <s v="Food"/>
    <x v="0"/>
    <s v="Patna"/>
    <s v="Online"/>
    <s v="B2B"/>
    <s v="Priya Sharma"/>
    <n v="1226.19"/>
    <n v="24"/>
    <n v="29428.560000000001"/>
    <n v="1.9"/>
    <n v="28869.42"/>
    <n v="30.3"/>
    <n v="8747.43"/>
    <s v="Fulfilled"/>
  </r>
  <r>
    <s v="ORD-2026-0004"/>
    <s v="2026-10-27"/>
    <x v="2"/>
    <s v="Q4"/>
    <s v="Football Pro"/>
    <s v="Sports"/>
    <x v="2"/>
    <s v="Raipur"/>
    <s v="Retail"/>
    <s v="B2B"/>
    <s v="Kavya Bhat"/>
    <n v="2987.29"/>
    <n v="23"/>
    <n v="68707.67"/>
    <n v="11.5"/>
    <n v="60806.29"/>
    <n v="31.6"/>
    <n v="19214.79"/>
    <s v="Fulfilled"/>
  </r>
  <r>
    <s v="ORD-2026-0005"/>
    <s v="2026-09-03"/>
    <x v="3"/>
    <s v="Q3"/>
    <s v="Eye Shadow Palette"/>
    <s v="Cosmetics"/>
    <x v="3"/>
    <s v="Mumbai"/>
    <s v="SMB"/>
    <s v="Partner"/>
    <s v="Priya Sharma"/>
    <n v="1711.96"/>
    <n v="17"/>
    <n v="29103.32"/>
    <n v="10.5"/>
    <n v="26047.47"/>
    <n v="54.2"/>
    <n v="14117.73"/>
    <s v="Cancelled"/>
  </r>
  <r>
    <s v="ORD-2026-0006"/>
    <s v="2026-04-28"/>
    <x v="4"/>
    <s v="Q2"/>
    <s v="Smart Watch S3"/>
    <s v="Electronics"/>
    <x v="2"/>
    <s v="Nagpur"/>
    <s v="Enterprise"/>
    <s v="B2B"/>
    <s v="Kavya Bhat"/>
    <n v="84644.46"/>
    <n v="4"/>
    <n v="338577.84"/>
    <n v="10.7"/>
    <n v="302350.01"/>
    <n v="26.3"/>
    <n v="79518.05"/>
    <s v="Fulfilled"/>
  </r>
  <r>
    <s v="ORD-2026-0007"/>
    <s v="2026-07-25"/>
    <x v="5"/>
    <s v="Q3"/>
    <s v="Muesli Box"/>
    <s v="Food"/>
    <x v="2"/>
    <s v="Bhopal"/>
    <s v="Online"/>
    <s v="Online"/>
    <s v="Aisha Khan"/>
    <n v="661.91"/>
    <n v="10"/>
    <n v="6619.1"/>
    <n v="16.2"/>
    <n v="5546.81"/>
    <n v="31.2"/>
    <n v="1730.6"/>
    <s v="Pending"/>
  </r>
  <r>
    <s v="ORD-2026-0008"/>
    <s v="2026-07-04"/>
    <x v="5"/>
    <s v="Q3"/>
    <s v="Wireless Earbuds"/>
    <s v="Electronics"/>
    <x v="1"/>
    <s v="Hyderabad"/>
    <s v="Enterprise"/>
    <s v="B2B"/>
    <s v="Kavya Bhat"/>
    <n v="63491.31"/>
    <n v="20"/>
    <n v="1269826.2"/>
    <n v="20.100000000000001"/>
    <n v="1014591.13"/>
    <n v="31.2"/>
    <n v="316552.43"/>
    <s v="Cancelled"/>
  </r>
  <r>
    <s v="ORD-2026-0009"/>
    <s v="2026-02-20"/>
    <x v="6"/>
    <s v="Q1"/>
    <s v="Sofa 3-seater"/>
    <s v="Furniture"/>
    <x v="3"/>
    <s v="Ahmedabad"/>
    <s v="Enterprise"/>
    <s v="Partner"/>
    <s v="Sunita Lal"/>
    <n v="26208.12"/>
    <n v="2"/>
    <n v="52416.24"/>
    <n v="7.9"/>
    <n v="48275.360000000001"/>
    <n v="48"/>
    <n v="23172.17"/>
    <s v="Cancelled"/>
  </r>
  <r>
    <s v="ORD-2026-0010"/>
    <s v="2026-07-30"/>
    <x v="5"/>
    <s v="Q3"/>
    <s v="Dumbbells 5kg"/>
    <s v="Sports"/>
    <x v="3"/>
    <s v="Surat"/>
    <s v="Retail"/>
    <s v="Direct"/>
    <s v="Aisha Khan"/>
    <n v="8478.2000000000007"/>
    <n v="21"/>
    <n v="178042.2"/>
    <n v="12.5"/>
    <n v="155786.93"/>
    <n v="28.9"/>
    <n v="45022.42"/>
    <s v="Fulfilled"/>
  </r>
  <r>
    <s v="ORD-2026-0011"/>
    <s v="2026-01-23"/>
    <x v="7"/>
    <s v="Q1"/>
    <s v="Coffee Table"/>
    <s v="Furniture"/>
    <x v="2"/>
    <s v="Indore"/>
    <s v="Online"/>
    <s v="Partner"/>
    <s v="Aisha Khan"/>
    <n v="25730.1"/>
    <n v="3"/>
    <n v="77190.3"/>
    <n v="5"/>
    <n v="73330.789999999994"/>
    <n v="42.6"/>
    <n v="31238.92"/>
    <s v="Fulfilled"/>
  </r>
  <r>
    <s v="ORD-2026-0012"/>
    <s v="2026-08-31"/>
    <x v="8"/>
    <s v="Q3"/>
    <s v="Olive Oil 1L"/>
    <s v="Food"/>
    <x v="2"/>
    <s v="Bhopal"/>
    <s v="SMB"/>
    <s v="Online"/>
    <s v="Rahul Mehta"/>
    <n v="903"/>
    <n v="16"/>
    <n v="14448"/>
    <n v="23.4"/>
    <n v="11067.17"/>
    <n v="34.6"/>
    <n v="3829.24"/>
    <s v="Fulfilled"/>
  </r>
  <r>
    <s v="ORD-2026-0013"/>
    <s v="2026-09-24"/>
    <x v="3"/>
    <s v="Q3"/>
    <s v="Coffee Table"/>
    <s v="Furniture"/>
    <x v="1"/>
    <s v="Chennai"/>
    <s v="Enterprise"/>
    <s v="Direct"/>
    <s v="Rahul Mehta"/>
    <n v="42239.88"/>
    <n v="19"/>
    <n v="802557.72"/>
    <n v="10.3"/>
    <n v="719894.27"/>
    <n v="35.299999999999997"/>
    <n v="254122.68"/>
    <s v="Pending"/>
  </r>
  <r>
    <s v="ORD-2026-0014"/>
    <s v="2026-01-14"/>
    <x v="7"/>
    <s v="Q1"/>
    <s v="Bed Frame Queen"/>
    <s v="Furniture"/>
    <x v="4"/>
    <s v="Jaipur"/>
    <s v="Online"/>
    <s v="Online"/>
    <s v="Amit Joshi"/>
    <n v="4683.45"/>
    <n v="12"/>
    <n v="56201.4"/>
    <n v="23.4"/>
    <n v="43050.27"/>
    <n v="43.5"/>
    <n v="18726.87"/>
    <s v="Returned"/>
  </r>
  <r>
    <s v="ORD-2026-0015"/>
    <s v="2026-09-24"/>
    <x v="3"/>
    <s v="Q3"/>
    <s v="Protein Powder"/>
    <s v="Food"/>
    <x v="4"/>
    <s v="Jaipur"/>
    <s v="SMB"/>
    <s v="Online"/>
    <s v="Amit Joshi"/>
    <n v="795.6"/>
    <n v="15"/>
    <n v="11934"/>
    <n v="20.100000000000001"/>
    <n v="9535.27"/>
    <n v="31.7"/>
    <n v="3022.68"/>
    <s v="Fulfilled"/>
  </r>
  <r>
    <s v="ORD-2026-0016"/>
    <s v="2026-03-30"/>
    <x v="9"/>
    <s v="Q1"/>
    <s v="Face Serum"/>
    <s v="Cosmetics"/>
    <x v="1"/>
    <s v="Bengaluru"/>
    <s v="Enterprise"/>
    <s v="Partner"/>
    <s v="Amit Joshi"/>
    <n v="2777.29"/>
    <n v="3"/>
    <n v="8331.8700000000008"/>
    <n v="0.9"/>
    <n v="8256.8799999999992"/>
    <n v="61.1"/>
    <n v="5044.95"/>
    <s v="Fulfilled"/>
  </r>
  <r>
    <s v="ORD-2026-0017"/>
    <s v="2026-03-12"/>
    <x v="9"/>
    <s v="Q1"/>
    <s v="Dumbbells 5kg"/>
    <s v="Sports"/>
    <x v="4"/>
    <s v="Chandigarh"/>
    <s v="Enterprise"/>
    <s v="Online"/>
    <s v="Sunita Lal"/>
    <n v="1422.52"/>
    <n v="17"/>
    <n v="24182.84"/>
    <n v="22.1"/>
    <n v="18838.43"/>
    <n v="27.7"/>
    <n v="5218.25"/>
    <s v="Cancelled"/>
  </r>
  <r>
    <s v="ORD-2026-0018"/>
    <s v="2026-09-12"/>
    <x v="3"/>
    <s v="Q3"/>
    <s v="Body Lotion"/>
    <s v="Cosmetics"/>
    <x v="3"/>
    <s v="Surat"/>
    <s v="Online"/>
    <s v="B2B"/>
    <s v="Priya Sharma"/>
    <n v="3497.57"/>
    <n v="13"/>
    <n v="45468.41"/>
    <n v="8.6"/>
    <n v="41558.129999999997"/>
    <n v="55.3"/>
    <n v="22981.65"/>
    <s v="Fulfilled"/>
  </r>
  <r>
    <s v="ORD-2026-0019"/>
    <s v="2026-02-18"/>
    <x v="6"/>
    <s v="Q1"/>
    <s v="Quinoa 1kg"/>
    <s v="Food"/>
    <x v="2"/>
    <s v="Bhopal"/>
    <s v="Wholesale"/>
    <s v="Direct"/>
    <s v="Rahul Mehta"/>
    <n v="773.87"/>
    <n v="4"/>
    <n v="3095.48"/>
    <n v="13.1"/>
    <n v="2689.97"/>
    <n v="30.7"/>
    <n v="825.82"/>
    <s v="Fulfilled"/>
  </r>
  <r>
    <s v="ORD-2026-0020"/>
    <s v="2026-06-30"/>
    <x v="10"/>
    <s v="Q2"/>
    <s v="Bed Frame Queen"/>
    <s v="Furniture"/>
    <x v="0"/>
    <s v="Bhubaneswar"/>
    <s v="Retail"/>
    <s v="Online"/>
    <s v="Kavya Bhat"/>
    <n v="19840.099999999999"/>
    <n v="22"/>
    <n v="436482.2"/>
    <n v="0.7"/>
    <n v="433426.82"/>
    <n v="32.4"/>
    <n v="140430.29"/>
    <s v="Cancelled"/>
  </r>
  <r>
    <s v="ORD-2026-0021"/>
    <s v="2026-05-16"/>
    <x v="11"/>
    <s v="Q2"/>
    <s v="Face Serum"/>
    <s v="Cosmetics"/>
    <x v="1"/>
    <s v="Kochi"/>
    <s v="Wholesale"/>
    <s v="Direct"/>
    <s v="Aisha Khan"/>
    <n v="2364.37"/>
    <n v="19"/>
    <n v="44923.03"/>
    <n v="13.9"/>
    <n v="38678.730000000003"/>
    <n v="54.4"/>
    <n v="21041.23"/>
    <s v="Fulfilled"/>
  </r>
  <r>
    <s v="ORD-2026-0022"/>
    <s v="2026-05-30"/>
    <x v="11"/>
    <s v="Q2"/>
    <s v="Green Tea Pack"/>
    <s v="Food"/>
    <x v="1"/>
    <s v="Chennai"/>
    <s v="Online"/>
    <s v="Online"/>
    <s v="Rahul Mehta"/>
    <n v="1003.32"/>
    <n v="4"/>
    <n v="4013.28"/>
    <n v="6.9"/>
    <n v="3736.36"/>
    <n v="30.2"/>
    <n v="1128.3800000000001"/>
    <s v="Cancelled"/>
  </r>
  <r>
    <s v="ORD-2026-0023"/>
    <s v="2026-05-01"/>
    <x v="11"/>
    <s v="Q2"/>
    <s v="Laptop Pro X1"/>
    <s v="Electronics"/>
    <x v="3"/>
    <s v="Ahmedabad"/>
    <s v="Retail"/>
    <s v="Direct"/>
    <s v="Kavya Bhat"/>
    <n v="82784.160000000003"/>
    <n v="25"/>
    <n v="2069604"/>
    <n v="24.1"/>
    <n v="1570829.44"/>
    <n v="17.100000000000001"/>
    <n v="268611.83"/>
    <s v="Fulfilled"/>
  </r>
  <r>
    <s v="ORD-2026-0024"/>
    <s v="2026-07-26"/>
    <x v="5"/>
    <s v="Q3"/>
    <s v="Lip Gloss Set"/>
    <s v="Cosmetics"/>
    <x v="0"/>
    <s v="Bhubaneswar"/>
    <s v="SMB"/>
    <s v="B2B"/>
    <s v="Sunita Lal"/>
    <n v="1395.9"/>
    <n v="15"/>
    <n v="20938.5"/>
    <n v="16.399999999999999"/>
    <n v="17504.59"/>
    <n v="62.6"/>
    <n v="10957.87"/>
    <s v="Fulfilled"/>
  </r>
  <r>
    <s v="ORD-2026-0025"/>
    <s v="2026-07-02"/>
    <x v="5"/>
    <s v="Q3"/>
    <s v="Yoga Mat"/>
    <s v="Sports"/>
    <x v="4"/>
    <s v="Jaipur"/>
    <s v="Retail"/>
    <s v="Online"/>
    <s v="Deepak Rao"/>
    <n v="6271.23"/>
    <n v="17"/>
    <n v="106610.91"/>
    <n v="23.1"/>
    <n v="81983.789999999994"/>
    <n v="39.700000000000003"/>
    <n v="32547.56"/>
    <s v="Fulfilled"/>
  </r>
  <r>
    <s v="ORD-2026-0026"/>
    <s v="2026-06-25"/>
    <x v="10"/>
    <s v="Q2"/>
    <s v="Protein Powder"/>
    <s v="Food"/>
    <x v="4"/>
    <s v="Delhi"/>
    <s v="Retail"/>
    <s v="Partner"/>
    <s v="Rohit Das"/>
    <n v="514.72"/>
    <n v="14"/>
    <n v="7206.08"/>
    <n v="22.6"/>
    <n v="5577.51"/>
    <n v="25.7"/>
    <n v="1433.42"/>
    <s v="Fulfilled"/>
  </r>
  <r>
    <s v="ORD-2026-0027"/>
    <s v="2026-01-15"/>
    <x v="7"/>
    <s v="Q1"/>
    <s v="Gaming Console"/>
    <s v="Electronics"/>
    <x v="4"/>
    <s v="Chandigarh"/>
    <s v="Online"/>
    <s v="B2B"/>
    <s v="Sunita Lal"/>
    <n v="6914.66"/>
    <n v="17"/>
    <n v="117549.22"/>
    <n v="16.2"/>
    <n v="98506.25"/>
    <n v="19.100000000000001"/>
    <n v="18814.689999999999"/>
    <s v="Pending"/>
  </r>
  <r>
    <s v="ORD-2026-0028"/>
    <s v="2026-12-05"/>
    <x v="1"/>
    <s v="Q4"/>
    <s v="Wardrobe 3-door"/>
    <s v="Furniture"/>
    <x v="1"/>
    <s v="Kochi"/>
    <s v="Online"/>
    <s v="Partner"/>
    <s v="Vikram Tiwari"/>
    <n v="35505.47"/>
    <n v="22"/>
    <n v="781120.34"/>
    <n v="3.1"/>
    <n v="756905.61"/>
    <n v="33.299999999999997"/>
    <n v="252049.57"/>
    <s v="Fulfilled"/>
  </r>
  <r>
    <s v="ORD-2026-0029"/>
    <s v="2026-11-17"/>
    <x v="0"/>
    <s v="Q4"/>
    <s v="Tablet Ultra"/>
    <s v="Electronics"/>
    <x v="4"/>
    <s v="Delhi"/>
    <s v="Wholesale"/>
    <s v="Direct"/>
    <s v="Kavya Bhat"/>
    <n v="28830.09"/>
    <n v="16"/>
    <n v="461281.44"/>
    <n v="24"/>
    <n v="350573.89"/>
    <n v="20.399999999999999"/>
    <n v="71517.070000000007"/>
    <s v="Fulfilled"/>
  </r>
  <r>
    <s v="ORD-2026-0030"/>
    <s v="2026-11-18"/>
    <x v="0"/>
    <s v="Q4"/>
    <s v="Protein Powder"/>
    <s v="Food"/>
    <x v="0"/>
    <s v="Guwahati"/>
    <s v="Retail"/>
    <s v="Partner"/>
    <s v="Kavya Bhat"/>
    <n v="985.21"/>
    <n v="25"/>
    <n v="24630.25"/>
    <n v="1.4"/>
    <n v="24285.43"/>
    <n v="35.799999999999997"/>
    <n v="8694.18"/>
    <s v="Cancelled"/>
  </r>
  <r>
    <s v="ORD-2026-0031"/>
    <s v="2026-06-25"/>
    <x v="10"/>
    <s v="Q2"/>
    <s v="Sports Shorts"/>
    <s v="Apparel"/>
    <x v="3"/>
    <s v="Pune"/>
    <s v="Online"/>
    <s v="Online"/>
    <s v="Amit Joshi"/>
    <n v="3623.17"/>
    <n v="12"/>
    <n v="43478.04"/>
    <n v="5.8"/>
    <n v="40956.31"/>
    <n v="60.8"/>
    <n v="24901.439999999999"/>
    <s v="Pending"/>
  </r>
  <r>
    <s v="ORD-2026-0032"/>
    <s v="2026-03-23"/>
    <x v="9"/>
    <s v="Q1"/>
    <s v="Badminton Set"/>
    <s v="Sports"/>
    <x v="3"/>
    <s v="Surat"/>
    <s v="Wholesale"/>
    <s v="B2B"/>
    <s v="Aisha Khan"/>
    <n v="5073.5200000000004"/>
    <n v="16"/>
    <n v="81176.320000000007"/>
    <n v="16.8"/>
    <n v="67538.7"/>
    <n v="45.3"/>
    <n v="30595.03"/>
    <s v="Fulfilled"/>
  </r>
  <r>
    <s v="ORD-2026-0033"/>
    <s v="2026-05-16"/>
    <x v="11"/>
    <s v="Q2"/>
    <s v="Protein Powder"/>
    <s v="Food"/>
    <x v="2"/>
    <s v="Nagpur"/>
    <s v="Retail"/>
    <s v="Partner"/>
    <s v="Rohit Das"/>
    <n v="1082.29"/>
    <n v="2"/>
    <n v="2164.58"/>
    <n v="2.1"/>
    <n v="2119.12"/>
    <n v="33.299999999999997"/>
    <n v="705.67"/>
    <s v="Fulfilled"/>
  </r>
  <r>
    <s v="ORD-2026-0034"/>
    <s v="2026-11-26"/>
    <x v="0"/>
    <s v="Q4"/>
    <s v="Nut Mix 500g"/>
    <s v="Food"/>
    <x v="2"/>
    <s v="Bhopal"/>
    <s v="SMB"/>
    <s v="Direct"/>
    <s v="Rahul Mehta"/>
    <n v="161.5"/>
    <n v="13"/>
    <n v="2099.5"/>
    <n v="24.1"/>
    <n v="1593.52"/>
    <n v="27.1"/>
    <n v="431.84"/>
    <s v="Fulfilled"/>
  </r>
  <r>
    <s v="ORD-2026-0035"/>
    <s v="2026-04-08"/>
    <x v="4"/>
    <s v="Q2"/>
    <s v="Denim Jeans"/>
    <s v="Apparel"/>
    <x v="3"/>
    <s v="Ahmedabad"/>
    <s v="Online"/>
    <s v="Online"/>
    <s v="Deepak Rao"/>
    <n v="1866.97"/>
    <n v="9"/>
    <n v="16802.73"/>
    <n v="18.399999999999999"/>
    <n v="13711.03"/>
    <n v="45.5"/>
    <n v="6238.52"/>
    <s v="Pending"/>
  </r>
  <r>
    <s v="ORD-2026-0036"/>
    <s v="2026-08-05"/>
    <x v="8"/>
    <s v="Q3"/>
    <s v="Winter Jacket"/>
    <s v="Apparel"/>
    <x v="3"/>
    <s v="Pune"/>
    <s v="SMB"/>
    <s v="Direct"/>
    <s v="Priya Sharma"/>
    <n v="1185.8800000000001"/>
    <n v="24"/>
    <n v="28461.119999999999"/>
    <n v="21.2"/>
    <n v="22427.360000000001"/>
    <n v="53.1"/>
    <n v="11908.93"/>
    <s v="Fulfilled"/>
  </r>
  <r>
    <s v="ORD-2026-0037"/>
    <s v="2026-11-26"/>
    <x v="0"/>
    <s v="Q4"/>
    <s v="Quinoa 1kg"/>
    <s v="Food"/>
    <x v="2"/>
    <s v="Nagpur"/>
    <s v="Online"/>
    <s v="Direct"/>
    <s v="Deepak Rao"/>
    <n v="301.64"/>
    <n v="1"/>
    <n v="301.64"/>
    <n v="12.9"/>
    <n v="262.73"/>
    <n v="39.299999999999997"/>
    <n v="103.25"/>
    <s v="Cancelled"/>
  </r>
  <r>
    <s v="ORD-2026-0038"/>
    <s v="2026-09-06"/>
    <x v="3"/>
    <s v="Q3"/>
    <s v="Organic Honey"/>
    <s v="Food"/>
    <x v="1"/>
    <s v="Bengaluru"/>
    <s v="Enterprise"/>
    <s v="Online"/>
    <s v="Rohit Das"/>
    <n v="843.98"/>
    <n v="20"/>
    <n v="16879.599999999999"/>
    <n v="3.2"/>
    <n v="16339.45"/>
    <n v="32.6"/>
    <n v="5326.66"/>
    <s v="Returned"/>
  </r>
  <r>
    <s v="ORD-2026-0039"/>
    <s v="2026-12-16"/>
    <x v="1"/>
    <s v="Q4"/>
    <s v="Quinoa 1kg"/>
    <s v="Food"/>
    <x v="4"/>
    <s v="Jaipur"/>
    <s v="SMB"/>
    <s v="Online"/>
    <s v="Rahul Mehta"/>
    <n v="585.91999999999996"/>
    <n v="16"/>
    <n v="9374.7199999999993"/>
    <n v="13"/>
    <n v="8156.01"/>
    <n v="20.9"/>
    <n v="1704.61"/>
    <s v="Pending"/>
  </r>
  <r>
    <s v="ORD-2026-0040"/>
    <s v="2026-06-16"/>
    <x v="10"/>
    <s v="Q2"/>
    <s v="Gaming Console"/>
    <s v="Electronics"/>
    <x v="4"/>
    <s v="Lucknow"/>
    <s v="Online"/>
    <s v="B2B"/>
    <s v="Sunita Lal"/>
    <n v="77470.34"/>
    <n v="25"/>
    <n v="1936758.5"/>
    <n v="18.8"/>
    <n v="1572647.9"/>
    <n v="18.2"/>
    <n v="286221.92"/>
    <s v="Fulfilled"/>
  </r>
  <r>
    <s v="ORD-2026-0041"/>
    <s v="2026-06-29"/>
    <x v="10"/>
    <s v="Q2"/>
    <s v="Muesli Box"/>
    <s v="Food"/>
    <x v="1"/>
    <s v="Kochi"/>
    <s v="Wholesale"/>
    <s v="Partner"/>
    <s v="Amit Joshi"/>
    <n v="374.08"/>
    <n v="15"/>
    <n v="5611.2"/>
    <n v="17.2"/>
    <n v="4646.07"/>
    <n v="23.3"/>
    <n v="1082.53"/>
    <s v="Fulfilled"/>
  </r>
  <r>
    <s v="ORD-2026-0042"/>
    <s v="2026-05-17"/>
    <x v="11"/>
    <s v="Q2"/>
    <s v="Skipping Rope"/>
    <s v="Sports"/>
    <x v="2"/>
    <s v="Raipur"/>
    <s v="Online"/>
    <s v="Partner"/>
    <s v="Kavya Bhat"/>
    <n v="6013.52"/>
    <n v="5"/>
    <n v="30067.599999999999"/>
    <n v="8.1999999999999993"/>
    <n v="27602.06"/>
    <n v="33.200000000000003"/>
    <n v="9163.8799999999992"/>
    <s v="Fulfilled"/>
  </r>
  <r>
    <s v="ORD-2026-0043"/>
    <s v="2026-08-23"/>
    <x v="8"/>
    <s v="Q3"/>
    <s v="Badminton Set"/>
    <s v="Sports"/>
    <x v="0"/>
    <s v="Guwahati"/>
    <s v="Enterprise"/>
    <s v="Direct"/>
    <s v="Kavya Bhat"/>
    <n v="2337.35"/>
    <n v="5"/>
    <n v="11686.75"/>
    <n v="3.1"/>
    <n v="11324.46"/>
    <n v="36.6"/>
    <n v="4144.75"/>
    <s v="Fulfilled"/>
  </r>
  <r>
    <s v="ORD-2026-0044"/>
    <s v="2026-12-14"/>
    <x v="1"/>
    <s v="Q4"/>
    <s v="Skipping Rope"/>
    <s v="Sports"/>
    <x v="0"/>
    <s v="Bhubaneswar"/>
    <s v="Enterprise"/>
    <s v="Online"/>
    <s v="Deepak Rao"/>
    <n v="6163.82"/>
    <n v="11"/>
    <n v="67802.02"/>
    <n v="19.2"/>
    <n v="54784.03"/>
    <n v="24.5"/>
    <n v="13422.09"/>
    <s v="Fulfilled"/>
  </r>
  <r>
    <s v="ORD-2026-0045"/>
    <s v="2026-10-24"/>
    <x v="2"/>
    <s v="Q4"/>
    <s v="DSLR Camera"/>
    <s v="Electronics"/>
    <x v="3"/>
    <s v="Surat"/>
    <s v="Enterprise"/>
    <s v="B2B"/>
    <s v="Deepak Rao"/>
    <n v="69785.899999999994"/>
    <n v="1"/>
    <n v="69785.899999999994"/>
    <n v="17.5"/>
    <n v="57573.37"/>
    <n v="17.3"/>
    <n v="9960.19"/>
    <s v="Fulfilled"/>
  </r>
  <r>
    <s v="ORD-2026-0046"/>
    <s v="2026-01-10"/>
    <x v="7"/>
    <s v="Q1"/>
    <s v="Smart Watch S3"/>
    <s v="Electronics"/>
    <x v="4"/>
    <s v="Chandigarh"/>
    <s v="Enterprise"/>
    <s v="Online"/>
    <s v="Rohit Das"/>
    <n v="72790.210000000006"/>
    <n v="21"/>
    <n v="1528594.41"/>
    <n v="21.3"/>
    <n v="1203003.8"/>
    <n v="14.4"/>
    <n v="173232.55"/>
    <s v="Fulfilled"/>
  </r>
  <r>
    <s v="ORD-2026-0047"/>
    <s v="2026-03-21"/>
    <x v="9"/>
    <s v="Q1"/>
    <s v="Resistance Bands"/>
    <s v="Sports"/>
    <x v="0"/>
    <s v="Bhubaneswar"/>
    <s v="Enterprise"/>
    <s v="Partner"/>
    <s v="Rohit Das"/>
    <n v="986.2"/>
    <n v="23"/>
    <n v="22682.6"/>
    <n v="19.2"/>
    <n v="18327.54"/>
    <n v="26.9"/>
    <n v="4930.1099999999997"/>
    <s v="Returned"/>
  </r>
  <r>
    <s v="ORD-2026-0048"/>
    <s v="2026-10-14"/>
    <x v="2"/>
    <s v="Q4"/>
    <s v="Dumbbells 5kg"/>
    <s v="Sports"/>
    <x v="1"/>
    <s v="Bengaluru"/>
    <s v="Retail"/>
    <s v="Online"/>
    <s v="Sunita Lal"/>
    <n v="6436.99"/>
    <n v="3"/>
    <n v="19310.97"/>
    <n v="17.8"/>
    <n v="15873.62"/>
    <n v="36.799999999999997"/>
    <n v="5841.49"/>
    <s v="Pending"/>
  </r>
  <r>
    <s v="ORD-2026-0049"/>
    <s v="2026-12-03"/>
    <x v="1"/>
    <s v="Q4"/>
    <s v="DSLR Camera"/>
    <s v="Electronics"/>
    <x v="1"/>
    <s v="Hyderabad"/>
    <s v="Online"/>
    <s v="Online"/>
    <s v="Deepak Rao"/>
    <n v="53846.26"/>
    <n v="17"/>
    <n v="915386.42"/>
    <n v="24.7"/>
    <n v="689285.97"/>
    <n v="31.8"/>
    <n v="219192.94"/>
    <s v="Cancelled"/>
  </r>
  <r>
    <s v="ORD-2026-0050"/>
    <s v="2026-01-12"/>
    <x v="7"/>
    <s v="Q1"/>
    <s v="Foundation Kit"/>
    <s v="Cosmetics"/>
    <x v="3"/>
    <s v="Ahmedabad"/>
    <s v="Online"/>
    <s v="B2B"/>
    <s v="Vikram Tiwari"/>
    <n v="1169.33"/>
    <n v="11"/>
    <n v="12862.63"/>
    <n v="0.9"/>
    <n v="12746.87"/>
    <n v="68.099999999999994"/>
    <n v="8680.6200000000008"/>
    <s v="Fulfilled"/>
  </r>
  <r>
    <s v="ORD-2026-0051"/>
    <s v="2026-07-30"/>
    <x v="5"/>
    <s v="Q3"/>
    <s v="Quinoa 1kg"/>
    <s v="Food"/>
    <x v="0"/>
    <s v="Kolkata"/>
    <s v="SMB"/>
    <s v="Online"/>
    <s v="Amit Joshi"/>
    <n v="816.21"/>
    <n v="24"/>
    <n v="19589.04"/>
    <n v="5.5"/>
    <n v="18511.64"/>
    <n v="27.6"/>
    <n v="5109.21"/>
    <s v="Fulfilled"/>
  </r>
  <r>
    <s v="ORD-2026-0052"/>
    <s v="2026-07-04"/>
    <x v="5"/>
    <s v="Q3"/>
    <s v="Sunscreen SPF50"/>
    <s v="Cosmetics"/>
    <x v="4"/>
    <s v="Delhi"/>
    <s v="SMB"/>
    <s v="Partner"/>
    <s v="Neha Patel"/>
    <n v="3440.59"/>
    <n v="17"/>
    <n v="58490.03"/>
    <n v="12.2"/>
    <n v="51354.25"/>
    <n v="62.3"/>
    <n v="31993.7"/>
    <s v="Pending"/>
  </r>
  <r>
    <s v="ORD-2026-0053"/>
    <s v="2026-08-26"/>
    <x v="8"/>
    <s v="Q3"/>
    <s v="Sunscreen SPF50"/>
    <s v="Cosmetics"/>
    <x v="2"/>
    <s v="Bhopal"/>
    <s v="Enterprise"/>
    <s v="Partner"/>
    <s v="Kavya Bhat"/>
    <n v="3498.55"/>
    <n v="21"/>
    <n v="73469.55"/>
    <n v="15.2"/>
    <n v="62302.18"/>
    <n v="50.6"/>
    <n v="31524.9"/>
    <s v="Fulfilled"/>
  </r>
  <r>
    <s v="ORD-2026-0054"/>
    <s v="2026-06-16"/>
    <x v="10"/>
    <s v="Q2"/>
    <s v="Winter Jacket"/>
    <s v="Apparel"/>
    <x v="0"/>
    <s v="Guwahati"/>
    <s v="SMB"/>
    <s v="Partner"/>
    <s v="Priya Sharma"/>
    <n v="3945.19"/>
    <n v="23"/>
    <n v="90739.37"/>
    <n v="14"/>
    <n v="78035.86"/>
    <n v="49.7"/>
    <n v="38783.82"/>
    <s v="Cancelled"/>
  </r>
  <r>
    <s v="ORD-2026-0055"/>
    <s v="2026-12-03"/>
    <x v="1"/>
    <s v="Q4"/>
    <s v="Eye Shadow Palette"/>
    <s v="Cosmetics"/>
    <x v="2"/>
    <s v="Nagpur"/>
    <s v="Retail"/>
    <s v="Online"/>
    <s v="Neha Patel"/>
    <n v="2877.31"/>
    <n v="5"/>
    <n v="14386.55"/>
    <n v="3.3"/>
    <n v="13911.79"/>
    <n v="65.5"/>
    <n v="9112.2199999999993"/>
    <s v="Pending"/>
  </r>
  <r>
    <s v="ORD-2026-0056"/>
    <s v="2026-12-21"/>
    <x v="1"/>
    <s v="Q4"/>
    <s v="Cotton T-Shirt"/>
    <s v="Apparel"/>
    <x v="1"/>
    <s v="Chennai"/>
    <s v="Wholesale"/>
    <s v="B2B"/>
    <s v="Rohit Das"/>
    <n v="1556.53"/>
    <n v="18"/>
    <n v="28017.54"/>
    <n v="3.2"/>
    <n v="27120.98"/>
    <n v="54.6"/>
    <n v="14808.06"/>
    <s v="Fulfilled"/>
  </r>
  <r>
    <s v="ORD-2026-0057"/>
    <s v="2026-08-27"/>
    <x v="8"/>
    <s v="Q3"/>
    <s v="Wardrobe 3-door"/>
    <s v="Furniture"/>
    <x v="2"/>
    <s v="Raipur"/>
    <s v="Wholesale"/>
    <s v="Online"/>
    <s v="Priya Sharma"/>
    <n v="43191.33"/>
    <n v="10"/>
    <n v="431913.3"/>
    <n v="9.1"/>
    <n v="392609.19"/>
    <n v="33.299999999999997"/>
    <n v="130738.86"/>
    <s v="Fulfilled"/>
  </r>
  <r>
    <s v="ORD-2026-0058"/>
    <s v="2026-12-24"/>
    <x v="1"/>
    <s v="Q4"/>
    <s v="Skipping Rope"/>
    <s v="Sports"/>
    <x v="2"/>
    <s v="Indore"/>
    <s v="Online"/>
    <s v="Direct"/>
    <s v="Priya Sharma"/>
    <n v="649.38"/>
    <n v="1"/>
    <n v="649.38"/>
    <n v="8.8000000000000007"/>
    <n v="592.23"/>
    <n v="23.5"/>
    <n v="139.16999999999999"/>
    <s v="Cancelled"/>
  </r>
  <r>
    <s v="ORD-2026-0059"/>
    <s v="2026-03-29"/>
    <x v="9"/>
    <s v="Q1"/>
    <s v="Sunscreen SPF50"/>
    <s v="Cosmetics"/>
    <x v="1"/>
    <s v="Chennai"/>
    <s v="Enterprise"/>
    <s v="Partner"/>
    <s v="Deepak Rao"/>
    <n v="3501.54"/>
    <n v="3"/>
    <n v="10504.62"/>
    <n v="10.8"/>
    <n v="9370.1200000000008"/>
    <n v="58.1"/>
    <n v="5444.04"/>
    <s v="Cancelled"/>
  </r>
  <r>
    <s v="ORD-2026-0060"/>
    <s v="2026-04-18"/>
    <x v="4"/>
    <s v="Q2"/>
    <s v="Winter Jacket"/>
    <s v="Apparel"/>
    <x v="2"/>
    <s v="Raipur"/>
    <s v="SMB"/>
    <s v="B2B"/>
    <s v="Rahul Mehta"/>
    <n v="4960.76"/>
    <n v="14"/>
    <n v="69450.64"/>
    <n v="11.5"/>
    <n v="61463.82"/>
    <n v="55.3"/>
    <n v="33989.49"/>
    <s v="Fulfilled"/>
  </r>
  <r>
    <s v="ORD-2026-0061"/>
    <s v="2026-02-28"/>
    <x v="6"/>
    <s v="Q1"/>
    <s v="Denim Jeans"/>
    <s v="Apparel"/>
    <x v="1"/>
    <s v="Chennai"/>
    <s v="Enterprise"/>
    <s v="Partner"/>
    <s v="Sunita Lal"/>
    <n v="843.51"/>
    <n v="3"/>
    <n v="2530.5300000000002"/>
    <n v="17"/>
    <n v="2100.34"/>
    <n v="46.5"/>
    <n v="976.66"/>
    <s v="Pending"/>
  </r>
  <r>
    <s v="ORD-2026-0062"/>
    <s v="2026-07-06"/>
    <x v="5"/>
    <s v="Q3"/>
    <s v="Gaming Console"/>
    <s v="Electronics"/>
    <x v="2"/>
    <s v="Nagpur"/>
    <s v="Enterprise"/>
    <s v="B2B"/>
    <s v="Neha Patel"/>
    <n v="92345.93"/>
    <n v="21"/>
    <n v="1939264.53"/>
    <n v="15.9"/>
    <n v="1630921.47"/>
    <n v="29.9"/>
    <n v="487645.52"/>
    <s v="Fulfilled"/>
  </r>
  <r>
    <s v="ORD-2026-0063"/>
    <s v="2026-08-22"/>
    <x v="8"/>
    <s v="Q3"/>
    <s v="Muesli Box"/>
    <s v="Food"/>
    <x v="3"/>
    <s v="Mumbai"/>
    <s v="SMB"/>
    <s v="Online"/>
    <s v="Neha Patel"/>
    <n v="1477.59"/>
    <n v="4"/>
    <n v="5910.36"/>
    <n v="14"/>
    <n v="5082.91"/>
    <n v="37"/>
    <n v="1880.68"/>
    <s v="Returned"/>
  </r>
  <r>
    <s v="ORD-2026-0064"/>
    <s v="2026-02-20"/>
    <x v="6"/>
    <s v="Q1"/>
    <s v="Skipping Rope"/>
    <s v="Sports"/>
    <x v="4"/>
    <s v="Lucknow"/>
    <s v="Online"/>
    <s v="Direct"/>
    <s v="Rahul Mehta"/>
    <n v="4309.6000000000004"/>
    <n v="12"/>
    <n v="51715.199999999997"/>
    <n v="19.899999999999999"/>
    <n v="41423.879999999997"/>
    <n v="36.200000000000003"/>
    <n v="14995.44"/>
    <s v="Pending"/>
  </r>
  <r>
    <s v="ORD-2026-0065"/>
    <s v="2026-10-22"/>
    <x v="2"/>
    <s v="Q4"/>
    <s v="Foundation Kit"/>
    <s v="Cosmetics"/>
    <x v="4"/>
    <s v="Jaipur"/>
    <s v="SMB"/>
    <s v="Direct"/>
    <s v="Priya Sharma"/>
    <n v="465.95"/>
    <n v="15"/>
    <n v="6989.25"/>
    <n v="9.6999999999999993"/>
    <n v="6311.29"/>
    <n v="61.5"/>
    <n v="3881.44"/>
    <s v="Fulfilled"/>
  </r>
  <r>
    <s v="ORD-2026-0066"/>
    <s v="2026-01-24"/>
    <x v="7"/>
    <s v="Q1"/>
    <s v="Nut Mix 500g"/>
    <s v="Food"/>
    <x v="1"/>
    <s v="Bengaluru"/>
    <s v="SMB"/>
    <s v="Direct"/>
    <s v="Deepak Rao"/>
    <n v="136.22"/>
    <n v="13"/>
    <n v="1770.86"/>
    <n v="13.4"/>
    <n v="1533.56"/>
    <n v="20.2"/>
    <n v="309.77999999999997"/>
    <s v="Fulfilled"/>
  </r>
  <r>
    <s v="ORD-2026-0067"/>
    <s v="2026-05-05"/>
    <x v="11"/>
    <s v="Q2"/>
    <s v="Cycling Helmet"/>
    <s v="Sports"/>
    <x v="1"/>
    <s v="Chennai"/>
    <s v="SMB"/>
    <s v="Online"/>
    <s v="Sunita Lal"/>
    <n v="2970.18"/>
    <n v="16"/>
    <n v="47522.879999999997"/>
    <n v="17.899999999999999"/>
    <n v="39016.28"/>
    <n v="28.3"/>
    <n v="11041.61"/>
    <s v="Fulfilled"/>
  </r>
  <r>
    <s v="ORD-2026-0068"/>
    <s v="2026-10-30"/>
    <x v="2"/>
    <s v="Q4"/>
    <s v="Gaming Console"/>
    <s v="Electronics"/>
    <x v="3"/>
    <s v="Surat"/>
    <s v="SMB"/>
    <s v="Direct"/>
    <s v="Amit Joshi"/>
    <n v="26303.75"/>
    <n v="6"/>
    <n v="157822.5"/>
    <n v="19.2"/>
    <n v="127520.58"/>
    <n v="20.8"/>
    <n v="26524.28"/>
    <s v="Fulfilled"/>
  </r>
  <r>
    <s v="ORD-2026-0069"/>
    <s v="2026-09-24"/>
    <x v="3"/>
    <s v="Q3"/>
    <s v="Winter Jacket"/>
    <s v="Apparel"/>
    <x v="3"/>
    <s v="Ahmedabad"/>
    <s v="Enterprise"/>
    <s v="Direct"/>
    <s v="Deepak Rao"/>
    <n v="3731.12"/>
    <n v="17"/>
    <n v="63429.04"/>
    <n v="3.5"/>
    <n v="61209.02"/>
    <n v="49.2"/>
    <n v="30114.84"/>
    <s v="Fulfilled"/>
  </r>
  <r>
    <s v="ORD-2026-0070"/>
    <s v="2026-02-08"/>
    <x v="6"/>
    <s v="Q1"/>
    <s v="Eye Shadow Palette"/>
    <s v="Cosmetics"/>
    <x v="2"/>
    <s v="Bhopal"/>
    <s v="Enterprise"/>
    <s v="B2B"/>
    <s v="Rahul Mehta"/>
    <n v="831.17"/>
    <n v="17"/>
    <n v="14129.89"/>
    <n v="9.1999999999999993"/>
    <n v="12829.94"/>
    <n v="50.9"/>
    <n v="6530.44"/>
    <s v="Fulfilled"/>
  </r>
  <r>
    <s v="ORD-2026-0071"/>
    <s v="2026-03-28"/>
    <x v="9"/>
    <s v="Q1"/>
    <s v="Tablet Ultra"/>
    <s v="Electronics"/>
    <x v="3"/>
    <s v="Ahmedabad"/>
    <s v="Online"/>
    <s v="Direct"/>
    <s v="Neha Patel"/>
    <n v="40183.89"/>
    <n v="1"/>
    <n v="40183.89"/>
    <n v="1.3"/>
    <n v="39661.5"/>
    <n v="16.899999999999999"/>
    <n v="6702.79"/>
    <s v="Pending"/>
  </r>
  <r>
    <s v="ORD-2026-0072"/>
    <s v="2026-10-09"/>
    <x v="2"/>
    <s v="Q4"/>
    <s v="Kurti Set"/>
    <s v="Apparel"/>
    <x v="4"/>
    <s v="Delhi"/>
    <s v="Online"/>
    <s v="B2B"/>
    <s v="Kavya Bhat"/>
    <n v="1326.2"/>
    <n v="21"/>
    <n v="27850.2"/>
    <n v="14.1"/>
    <n v="23923.32"/>
    <n v="57.3"/>
    <n v="13708.06"/>
    <s v="Cancelled"/>
  </r>
  <r>
    <s v="ORD-2026-0073"/>
    <s v="2026-02-16"/>
    <x v="6"/>
    <s v="Q1"/>
    <s v="Dumbbells 5kg"/>
    <s v="Sports"/>
    <x v="4"/>
    <s v="Delhi"/>
    <s v="Online"/>
    <s v="Partner"/>
    <s v="Aisha Khan"/>
    <n v="8624.65"/>
    <n v="7"/>
    <n v="60372.55"/>
    <n v="24.3"/>
    <n v="45702.02"/>
    <n v="38.9"/>
    <n v="17778.09"/>
    <s v="Fulfilled"/>
  </r>
  <r>
    <s v="ORD-2026-0074"/>
    <s v="2026-10-07"/>
    <x v="2"/>
    <s v="Q4"/>
    <s v="Protein Powder"/>
    <s v="Food"/>
    <x v="2"/>
    <s v="Bhopal"/>
    <s v="Enterprise"/>
    <s v="Direct"/>
    <s v="Kavya Bhat"/>
    <n v="1003.89"/>
    <n v="16"/>
    <n v="16062.24"/>
    <n v="1.8"/>
    <n v="15773.12"/>
    <n v="40.200000000000003"/>
    <n v="6340.79"/>
    <s v="Pending"/>
  </r>
  <r>
    <s v="ORD-2026-0075"/>
    <s v="2026-10-12"/>
    <x v="2"/>
    <s v="Q4"/>
    <s v="Organic Honey"/>
    <s v="Food"/>
    <x v="1"/>
    <s v="Kochi"/>
    <s v="SMB"/>
    <s v="Partner"/>
    <s v="Priya Sharma"/>
    <n v="850.46"/>
    <n v="15"/>
    <n v="12756.9"/>
    <n v="0.8"/>
    <n v="12654.84"/>
    <n v="20.100000000000001"/>
    <n v="2543.62"/>
    <s v="Fulfilled"/>
  </r>
  <r>
    <s v="ORD-2026-0076"/>
    <s v="2026-12-02"/>
    <x v="1"/>
    <s v="Q4"/>
    <s v="Denim Jeans"/>
    <s v="Apparel"/>
    <x v="1"/>
    <s v="Kochi"/>
    <s v="Retail"/>
    <s v="Direct"/>
    <s v="Deepak Rao"/>
    <n v="2927.12"/>
    <n v="17"/>
    <n v="49761.04"/>
    <n v="10"/>
    <n v="44784.94"/>
    <n v="56.2"/>
    <n v="25169.14"/>
    <s v="Returned"/>
  </r>
  <r>
    <s v="ORD-2026-0077"/>
    <s v="2026-08-31"/>
    <x v="8"/>
    <s v="Q3"/>
    <s v="Smart Watch S3"/>
    <s v="Electronics"/>
    <x v="1"/>
    <s v="Chennai"/>
    <s v="Online"/>
    <s v="Partner"/>
    <s v="Amit Joshi"/>
    <n v="93258.64"/>
    <n v="19"/>
    <n v="1771914.16"/>
    <n v="19.5"/>
    <n v="1426390.9"/>
    <n v="29.3"/>
    <n v="417932.53"/>
    <s v="Pending"/>
  </r>
  <r>
    <s v="ORD-2026-0078"/>
    <s v="2026-12-10"/>
    <x v="1"/>
    <s v="Q4"/>
    <s v="Eye Shadow Palette"/>
    <s v="Cosmetics"/>
    <x v="4"/>
    <s v="Lucknow"/>
    <s v="SMB"/>
    <s v="Online"/>
    <s v="Rahul Mehta"/>
    <n v="726.01"/>
    <n v="13"/>
    <n v="9438.1299999999992"/>
    <n v="17.399999999999999"/>
    <n v="7795.9"/>
    <n v="50.2"/>
    <n v="3913.54"/>
    <s v="Fulfilled"/>
  </r>
  <r>
    <s v="ORD-2026-0079"/>
    <s v="2026-06-05"/>
    <x v="10"/>
    <s v="Q2"/>
    <s v="Football Pro"/>
    <s v="Sports"/>
    <x v="2"/>
    <s v="Bhopal"/>
    <s v="Online"/>
    <s v="Direct"/>
    <s v="Aisha Khan"/>
    <n v="481.81"/>
    <n v="9"/>
    <n v="4336.29"/>
    <n v="9.4"/>
    <n v="3928.68"/>
    <n v="28.2"/>
    <n v="1107.8900000000001"/>
    <s v="Fulfilled"/>
  </r>
  <r>
    <s v="ORD-2026-0080"/>
    <s v="2026-03-23"/>
    <x v="9"/>
    <s v="Q1"/>
    <s v="Olive Oil 1L"/>
    <s v="Food"/>
    <x v="1"/>
    <s v="Kochi"/>
    <s v="Retail"/>
    <s v="Direct"/>
    <s v="Priya Sharma"/>
    <n v="1099.21"/>
    <n v="19"/>
    <n v="20884.990000000002"/>
    <n v="16.600000000000001"/>
    <n v="17418.080000000002"/>
    <n v="20.3"/>
    <n v="3535.87"/>
    <s v="Pending"/>
  </r>
  <r>
    <s v="ORD-2026-0081"/>
    <s v="2026-06-01"/>
    <x v="10"/>
    <s v="Q2"/>
    <s v="Wireless Earbuds"/>
    <s v="Electronics"/>
    <x v="2"/>
    <s v="Raipur"/>
    <s v="Retail"/>
    <s v="B2B"/>
    <s v="Rohit Das"/>
    <n v="51762.35"/>
    <n v="5"/>
    <n v="258811.75"/>
    <n v="6.3"/>
    <n v="242506.61"/>
    <n v="20.2"/>
    <n v="48986.34"/>
    <s v="Fulfilled"/>
  </r>
  <r>
    <s v="ORD-2026-0082"/>
    <s v="2026-05-21"/>
    <x v="11"/>
    <s v="Q2"/>
    <s v="Gaming Console"/>
    <s v="Electronics"/>
    <x v="4"/>
    <s v="Jaipur"/>
    <s v="Online"/>
    <s v="Online"/>
    <s v="Amit Joshi"/>
    <n v="24309.279999999999"/>
    <n v="11"/>
    <n v="267402.08"/>
    <n v="1.7"/>
    <n v="262856.24"/>
    <n v="20.9"/>
    <n v="54936.95"/>
    <s v="Fulfilled"/>
  </r>
  <r>
    <s v="ORD-2026-0083"/>
    <s v="2026-10-08"/>
    <x v="2"/>
    <s v="Q4"/>
    <s v="Yoga Mat"/>
    <s v="Sports"/>
    <x v="2"/>
    <s v="Bhopal"/>
    <s v="Wholesale"/>
    <s v="Online"/>
    <s v="Sunita Lal"/>
    <n v="3869.84"/>
    <n v="10"/>
    <n v="38698.400000000001"/>
    <n v="20.5"/>
    <n v="30765.23"/>
    <n v="44.4"/>
    <n v="13659.76"/>
    <s v="Fulfilled"/>
  </r>
  <r>
    <s v="ORD-2026-0084"/>
    <s v="2026-10-02"/>
    <x v="2"/>
    <s v="Q4"/>
    <s v="Running Shoes"/>
    <s v="Apparel"/>
    <x v="0"/>
    <s v="Bhubaneswar"/>
    <s v="SMB"/>
    <s v="Online"/>
    <s v="Kavya Bhat"/>
    <n v="1078.6199999999999"/>
    <n v="4"/>
    <n v="4314.4799999999996"/>
    <n v="3.2"/>
    <n v="4176.42"/>
    <n v="43.5"/>
    <n v="1816.74"/>
    <s v="Fulfilled"/>
  </r>
  <r>
    <s v="ORD-2026-0085"/>
    <s v="2026-06-04"/>
    <x v="10"/>
    <s v="Q2"/>
    <s v="Face Serum"/>
    <s v="Cosmetics"/>
    <x v="3"/>
    <s v="Pune"/>
    <s v="Online"/>
    <s v="Partner"/>
    <s v="Sunita Lal"/>
    <n v="2834.71"/>
    <n v="12"/>
    <n v="34016.519999999997"/>
    <n v="11.3"/>
    <n v="30172.65"/>
    <n v="68.8"/>
    <n v="20758.78"/>
    <s v="Fulfilled"/>
  </r>
  <r>
    <s v="ORD-2026-0086"/>
    <s v="2026-01-19"/>
    <x v="7"/>
    <s v="Q1"/>
    <s v="Skipping Rope"/>
    <s v="Sports"/>
    <x v="2"/>
    <s v="Indore"/>
    <s v="SMB"/>
    <s v="Online"/>
    <s v="Sunita Lal"/>
    <n v="1386.81"/>
    <n v="13"/>
    <n v="18028.53"/>
    <n v="17"/>
    <n v="14963.68"/>
    <n v="38.5"/>
    <n v="5761.02"/>
    <s v="Fulfilled"/>
  </r>
  <r>
    <s v="ORD-2026-0087"/>
    <s v="2026-09-17"/>
    <x v="3"/>
    <s v="Q3"/>
    <s v="Winter Jacket"/>
    <s v="Apparel"/>
    <x v="2"/>
    <s v="Indore"/>
    <s v="Enterprise"/>
    <s v="Partner"/>
    <s v="Aisha Khan"/>
    <n v="4443.5600000000004"/>
    <n v="17"/>
    <n v="75540.52"/>
    <n v="16.600000000000001"/>
    <n v="63000.79"/>
    <n v="44.9"/>
    <n v="28287.35"/>
    <s v="Returned"/>
  </r>
  <r>
    <s v="ORD-2026-0088"/>
    <s v="2026-05-05"/>
    <x v="11"/>
    <s v="Q2"/>
    <s v="Bed Frame Queen"/>
    <s v="Furniture"/>
    <x v="2"/>
    <s v="Raipur"/>
    <s v="Online"/>
    <s v="Direct"/>
    <s v="Rahul Mehta"/>
    <n v="20743.66"/>
    <n v="20"/>
    <n v="414873.2"/>
    <n v="9.1"/>
    <n v="377119.74"/>
    <n v="49.4"/>
    <n v="186297.15"/>
    <s v="Returned"/>
  </r>
  <r>
    <s v="ORD-2026-0089"/>
    <s v="2026-09-20"/>
    <x v="3"/>
    <s v="Q3"/>
    <s v="Denim Jeans"/>
    <s v="Apparel"/>
    <x v="1"/>
    <s v="Hyderabad"/>
    <s v="Retail"/>
    <s v="Direct"/>
    <s v="Rahul Mehta"/>
    <n v="1120.6600000000001"/>
    <n v="20"/>
    <n v="22413.200000000001"/>
    <n v="24.9"/>
    <n v="16832.310000000001"/>
    <n v="47.4"/>
    <n v="7978.51"/>
    <s v="Fulfilled"/>
  </r>
  <r>
    <s v="ORD-2026-0090"/>
    <s v="2026-11-17"/>
    <x v="0"/>
    <s v="Q4"/>
    <s v="Laptop Pro X1"/>
    <s v="Electronics"/>
    <x v="1"/>
    <s v="Kochi"/>
    <s v="Wholesale"/>
    <s v="Online"/>
    <s v="Neha Patel"/>
    <n v="39875.300000000003"/>
    <n v="15"/>
    <n v="598129.5"/>
    <n v="15.9"/>
    <n v="503026.91"/>
    <n v="24"/>
    <n v="120726.46"/>
    <s v="Returned"/>
  </r>
  <r>
    <s v="ORD-2026-0091"/>
    <s v="2026-02-20"/>
    <x v="6"/>
    <s v="Q1"/>
    <s v="DSLR Camera"/>
    <s v="Electronics"/>
    <x v="4"/>
    <s v="Delhi"/>
    <s v="Wholesale"/>
    <s v="B2B"/>
    <s v="Deepak Rao"/>
    <n v="84981.85"/>
    <n v="25"/>
    <n v="2124546.25"/>
    <n v="3.8"/>
    <n v="2043813.49"/>
    <n v="18.8"/>
    <n v="384236.94"/>
    <s v="Fulfilled"/>
  </r>
  <r>
    <s v="ORD-2026-0092"/>
    <s v="2026-02-20"/>
    <x v="6"/>
    <s v="Q1"/>
    <s v="Eye Shadow Palette"/>
    <s v="Cosmetics"/>
    <x v="1"/>
    <s v="Kochi"/>
    <s v="Wholesale"/>
    <s v="Direct"/>
    <s v="Aisha Khan"/>
    <n v="672.53"/>
    <n v="12"/>
    <n v="8070.36"/>
    <n v="11.1"/>
    <n v="7174.55"/>
    <n v="53.7"/>
    <n v="3852.73"/>
    <s v="Returned"/>
  </r>
  <r>
    <s v="ORD-2026-0093"/>
    <s v="2026-02-20"/>
    <x v="6"/>
    <s v="Q1"/>
    <s v="Yoga Mat"/>
    <s v="Sports"/>
    <x v="3"/>
    <s v="Surat"/>
    <s v="Wholesale"/>
    <s v="B2B"/>
    <s v="Rahul Mehta"/>
    <n v="3979.48"/>
    <n v="3"/>
    <n v="11938.44"/>
    <n v="1.5"/>
    <n v="11759.36"/>
    <n v="33.5"/>
    <n v="3939.39"/>
    <s v="Fulfilled"/>
  </r>
  <r>
    <s v="ORD-2026-0094"/>
    <s v="2026-03-14"/>
    <x v="9"/>
    <s v="Q1"/>
    <s v="Olive Oil 1L"/>
    <s v="Food"/>
    <x v="2"/>
    <s v="Indore"/>
    <s v="Online"/>
    <s v="B2B"/>
    <s v="Rahul Mehta"/>
    <n v="832.57"/>
    <n v="14"/>
    <n v="11655.98"/>
    <n v="23.8"/>
    <n v="8881.86"/>
    <n v="20.6"/>
    <n v="1829.66"/>
    <s v="Fulfilled"/>
  </r>
  <r>
    <s v="ORD-2026-0095"/>
    <s v="2026-11-13"/>
    <x v="0"/>
    <s v="Q4"/>
    <s v="Resistance Bands"/>
    <s v="Sports"/>
    <x v="1"/>
    <s v="Hyderabad"/>
    <s v="Enterprise"/>
    <s v="Online"/>
    <s v="Vikram Tiwari"/>
    <n v="3473.59"/>
    <n v="25"/>
    <n v="86839.75"/>
    <n v="21.9"/>
    <n v="67821.84"/>
    <n v="24"/>
    <n v="16277.24"/>
    <s v="Fulfilled"/>
  </r>
  <r>
    <s v="ORD-2026-0096"/>
    <s v="2026-09-27"/>
    <x v="3"/>
    <s v="Q3"/>
    <s v="Cycling Helmet"/>
    <s v="Sports"/>
    <x v="2"/>
    <s v="Indore"/>
    <s v="Enterprise"/>
    <s v="Online"/>
    <s v="Vikram Tiwari"/>
    <n v="4855.6400000000003"/>
    <n v="17"/>
    <n v="82545.88"/>
    <n v="0.9"/>
    <n v="81802.97"/>
    <n v="32.9"/>
    <n v="26913.18"/>
    <s v="Fulfilled"/>
  </r>
  <r>
    <s v="ORD-2026-0097"/>
    <s v="2026-02-26"/>
    <x v="6"/>
    <s v="Q1"/>
    <s v="Skipping Rope"/>
    <s v="Sports"/>
    <x v="2"/>
    <s v="Bhopal"/>
    <s v="Retail"/>
    <s v="Partner"/>
    <s v="Rohit Das"/>
    <n v="4142.3999999999996"/>
    <n v="12"/>
    <n v="49708.800000000003"/>
    <n v="7.7"/>
    <n v="45881.22"/>
    <n v="43.2"/>
    <n v="19820.689999999999"/>
    <s v="Fulfilled"/>
  </r>
  <r>
    <s v="ORD-2026-0098"/>
    <s v="2026-07-27"/>
    <x v="5"/>
    <s v="Q3"/>
    <s v="Hair Oil 200ml"/>
    <s v="Cosmetics"/>
    <x v="0"/>
    <s v="Guwahati"/>
    <s v="SMB"/>
    <s v="B2B"/>
    <s v="Rohit Das"/>
    <n v="2848.26"/>
    <n v="24"/>
    <n v="68358.240000000005"/>
    <n v="15.9"/>
    <n v="57489.279999999999"/>
    <n v="70.099999999999994"/>
    <n v="40299.99"/>
    <s v="Pending"/>
  </r>
  <r>
    <s v="ORD-2026-0099"/>
    <s v="2026-07-13"/>
    <x v="5"/>
    <s v="Q3"/>
    <s v="Book Shelf 5-tier"/>
    <s v="Furniture"/>
    <x v="4"/>
    <s v="Delhi"/>
    <s v="Online"/>
    <s v="B2B"/>
    <s v="Deepak Rao"/>
    <n v="43966.7"/>
    <n v="14"/>
    <n v="615533.80000000005"/>
    <n v="11.3"/>
    <n v="545978.48"/>
    <n v="46.1"/>
    <n v="251696.08"/>
    <s v="Fulfilled"/>
  </r>
  <r>
    <s v="ORD-2026-0100"/>
    <s v="2026-05-31"/>
    <x v="11"/>
    <s v="Q2"/>
    <s v="Olive Oil 1L"/>
    <s v="Food"/>
    <x v="3"/>
    <s v="Mumbai"/>
    <s v="Retail"/>
    <s v="Online"/>
    <s v="Sunita Lal"/>
    <n v="113.03"/>
    <n v="14"/>
    <n v="1582.42"/>
    <n v="15.1"/>
    <n v="1343.47"/>
    <n v="29.2"/>
    <n v="392.29"/>
    <s v="Cancelled"/>
  </r>
  <r>
    <s v="ORD-2026-0101"/>
    <s v="2026-04-28"/>
    <x v="4"/>
    <s v="Q2"/>
    <s v="Protein Powder"/>
    <s v="Food"/>
    <x v="3"/>
    <s v="Mumbai"/>
    <s v="Online"/>
    <s v="B2B"/>
    <s v="Rahul Mehta"/>
    <n v="519.04999999999995"/>
    <n v="23"/>
    <n v="11938.15"/>
    <n v="5.2"/>
    <n v="11317.37"/>
    <n v="24.2"/>
    <n v="2738.8"/>
    <s v="Fulfilled"/>
  </r>
  <r>
    <s v="ORD-2026-0102"/>
    <s v="2026-08-03"/>
    <x v="8"/>
    <s v="Q3"/>
    <s v="Dumbbells 5kg"/>
    <s v="Sports"/>
    <x v="2"/>
    <s v="Nagpur"/>
    <s v="Retail"/>
    <s v="Direct"/>
    <s v="Rahul Mehta"/>
    <n v="4967.0600000000004"/>
    <n v="21"/>
    <n v="104308.26"/>
    <n v="7.2"/>
    <n v="96798.07"/>
    <n v="38.1"/>
    <n v="36880.06"/>
    <s v="Fulfilled"/>
  </r>
  <r>
    <s v="ORD-2026-0103"/>
    <s v="2026-05-27"/>
    <x v="11"/>
    <s v="Q2"/>
    <s v="Foundation Kit"/>
    <s v="Cosmetics"/>
    <x v="3"/>
    <s v="Ahmedabad"/>
    <s v="SMB"/>
    <s v="B2B"/>
    <s v="Vikram Tiwari"/>
    <n v="338.82"/>
    <n v="15"/>
    <n v="5082.3"/>
    <n v="14"/>
    <n v="4370.78"/>
    <n v="71.3"/>
    <n v="3116.37"/>
    <s v="Fulfilled"/>
  </r>
  <r>
    <s v="ORD-2026-0104"/>
    <s v="2026-07-23"/>
    <x v="5"/>
    <s v="Q3"/>
    <s v="DSLR Camera"/>
    <s v="Electronics"/>
    <x v="3"/>
    <s v="Mumbai"/>
    <s v="Retail"/>
    <s v="B2B"/>
    <s v="Rohit Das"/>
    <n v="32014.22"/>
    <n v="9"/>
    <n v="288127.98"/>
    <n v="24.6"/>
    <n v="217248.5"/>
    <n v="24.8"/>
    <n v="53877.63"/>
    <s v="Fulfilled"/>
  </r>
  <r>
    <s v="ORD-2026-0105"/>
    <s v="2026-02-18"/>
    <x v="6"/>
    <s v="Q1"/>
    <s v="Coffee Table"/>
    <s v="Furniture"/>
    <x v="3"/>
    <s v="Pune"/>
    <s v="Enterprise"/>
    <s v="Partner"/>
    <s v="Neha Patel"/>
    <n v="21246.36"/>
    <n v="21"/>
    <n v="446173.56"/>
    <n v="0"/>
    <n v="446173.56"/>
    <n v="31.5"/>
    <n v="140544.67000000001"/>
    <s v="Pending"/>
  </r>
  <r>
    <s v="ORD-2026-0106"/>
    <s v="2026-06-01"/>
    <x v="10"/>
    <s v="Q2"/>
    <s v="Yoga Mat"/>
    <s v="Sports"/>
    <x v="3"/>
    <s v="Mumbai"/>
    <s v="Wholesale"/>
    <s v="B2B"/>
    <s v="Sunita Lal"/>
    <n v="4856.6099999999997"/>
    <n v="5"/>
    <n v="24283.05"/>
    <n v="4"/>
    <n v="23311.73"/>
    <n v="27.3"/>
    <n v="6364.1"/>
    <s v="Pending"/>
  </r>
  <r>
    <s v="ORD-2026-0107"/>
    <s v="2026-02-17"/>
    <x v="6"/>
    <s v="Q1"/>
    <s v="Smart TV 55&quot;"/>
    <s v="Electronics"/>
    <x v="0"/>
    <s v="Bhubaneswar"/>
    <s v="Wholesale"/>
    <s v="Online"/>
    <s v="Neha Patel"/>
    <n v="39268.57"/>
    <n v="3"/>
    <n v="117805.71"/>
    <n v="0.3"/>
    <n v="117452.29"/>
    <n v="29.1"/>
    <n v="34178.620000000003"/>
    <s v="Fulfilled"/>
  </r>
  <r>
    <s v="ORD-2026-0108"/>
    <s v="2026-10-13"/>
    <x v="2"/>
    <s v="Q4"/>
    <s v="Smart TV 55&quot;"/>
    <s v="Electronics"/>
    <x v="0"/>
    <s v="Bhubaneswar"/>
    <s v="Wholesale"/>
    <s v="Partner"/>
    <s v="Vikram Tiwari"/>
    <n v="52823.87"/>
    <n v="4"/>
    <n v="211295.48"/>
    <n v="1.8"/>
    <n v="207492.16"/>
    <n v="28.5"/>
    <n v="59135.27"/>
    <s v="Fulfilled"/>
  </r>
  <r>
    <s v="ORD-2026-0109"/>
    <s v="2026-04-07"/>
    <x v="4"/>
    <s v="Q2"/>
    <s v="Body Lotion"/>
    <s v="Cosmetics"/>
    <x v="0"/>
    <s v="Bhubaneswar"/>
    <s v="Online"/>
    <s v="B2B"/>
    <s v="Rahul Mehta"/>
    <n v="2794.87"/>
    <n v="13"/>
    <n v="36333.31"/>
    <n v="16.2"/>
    <n v="30447.31"/>
    <n v="54"/>
    <n v="16441.55"/>
    <s v="Fulfilled"/>
  </r>
  <r>
    <s v="ORD-2026-0110"/>
    <s v="2026-10-12"/>
    <x v="2"/>
    <s v="Q4"/>
    <s v="Resistance Bands"/>
    <s v="Sports"/>
    <x v="2"/>
    <s v="Bhopal"/>
    <s v="Online"/>
    <s v="B2B"/>
    <s v="Aisha Khan"/>
    <n v="1476.1"/>
    <n v="10"/>
    <n v="14761"/>
    <n v="20"/>
    <n v="11808.8"/>
    <n v="42.8"/>
    <n v="5054.17"/>
    <s v="Fulfilled"/>
  </r>
  <r>
    <s v="ORD-2026-0111"/>
    <s v="2026-04-17"/>
    <x v="4"/>
    <s v="Q2"/>
    <s v="Green Tea Pack"/>
    <s v="Food"/>
    <x v="1"/>
    <s v="Bengaluru"/>
    <s v="Online"/>
    <s v="B2B"/>
    <s v="Rahul Mehta"/>
    <n v="474.54"/>
    <n v="13"/>
    <n v="6169.02"/>
    <n v="23.7"/>
    <n v="4706.96"/>
    <n v="39.299999999999997"/>
    <n v="1849.84"/>
    <s v="Pending"/>
  </r>
  <r>
    <s v="ORD-2026-0112"/>
    <s v="2026-02-04"/>
    <x v="6"/>
    <s v="Q1"/>
    <s v="Book Shelf 5-tier"/>
    <s v="Furniture"/>
    <x v="0"/>
    <s v="Guwahati"/>
    <s v="Retail"/>
    <s v="Partner"/>
    <s v="Vikram Tiwari"/>
    <n v="14567.8"/>
    <n v="5"/>
    <n v="72839"/>
    <n v="17.600000000000001"/>
    <n v="60019.34"/>
    <n v="51.3"/>
    <n v="30789.919999999998"/>
    <s v="Cancelled"/>
  </r>
  <r>
    <s v="ORD-2026-0113"/>
    <s v="2026-05-10"/>
    <x v="11"/>
    <s v="Q2"/>
    <s v="Foundation Kit"/>
    <s v="Cosmetics"/>
    <x v="4"/>
    <s v="Jaipur"/>
    <s v="Online"/>
    <s v="Partner"/>
    <s v="Aisha Khan"/>
    <n v="313.2"/>
    <n v="11"/>
    <n v="3445.2"/>
    <n v="15.7"/>
    <n v="2904.3"/>
    <n v="52.8"/>
    <n v="1533.47"/>
    <s v="Fulfilled"/>
  </r>
  <r>
    <s v="ORD-2026-0114"/>
    <s v="2026-06-25"/>
    <x v="10"/>
    <s v="Q2"/>
    <s v="Quinoa 1kg"/>
    <s v="Food"/>
    <x v="2"/>
    <s v="Indore"/>
    <s v="Wholesale"/>
    <s v="Online"/>
    <s v="Kavya Bhat"/>
    <n v="1102.97"/>
    <n v="22"/>
    <n v="24265.34"/>
    <n v="10.7"/>
    <n v="21668.95"/>
    <n v="29.7"/>
    <n v="6435.68"/>
    <s v="Fulfilled"/>
  </r>
  <r>
    <s v="ORD-2026-0115"/>
    <s v="2026-01-11"/>
    <x v="7"/>
    <s v="Q1"/>
    <s v="Cycling Helmet"/>
    <s v="Sports"/>
    <x v="2"/>
    <s v="Raipur"/>
    <s v="Retail"/>
    <s v="Direct"/>
    <s v="Amit Joshi"/>
    <n v="3295.31"/>
    <n v="13"/>
    <n v="42839.03"/>
    <n v="19.100000000000001"/>
    <n v="34656.78"/>
    <n v="36"/>
    <n v="12476.44"/>
    <s v="Fulfilled"/>
  </r>
  <r>
    <s v="ORD-2026-0116"/>
    <s v="2026-05-16"/>
    <x v="11"/>
    <s v="Q2"/>
    <s v="Cotton T-Shirt"/>
    <s v="Apparel"/>
    <x v="3"/>
    <s v="Pune"/>
    <s v="Enterprise"/>
    <s v="Partner"/>
    <s v="Vikram Tiwari"/>
    <n v="2195.16"/>
    <n v="23"/>
    <n v="50488.68"/>
    <n v="21.6"/>
    <n v="39583.129999999997"/>
    <n v="60"/>
    <n v="23749.88"/>
    <s v="Returned"/>
  </r>
  <r>
    <s v="ORD-2026-0117"/>
    <s v="2026-09-01"/>
    <x v="3"/>
    <s v="Q3"/>
    <s v="Green Tea Pack"/>
    <s v="Food"/>
    <x v="1"/>
    <s v="Chennai"/>
    <s v="Enterprise"/>
    <s v="Partner"/>
    <s v="Vikram Tiwari"/>
    <n v="743.22"/>
    <n v="22"/>
    <n v="16350.84"/>
    <n v="1"/>
    <n v="16187.33"/>
    <n v="18.2"/>
    <n v="2946.09"/>
    <s v="Returned"/>
  </r>
  <r>
    <s v="ORD-2026-0118"/>
    <s v="2026-10-12"/>
    <x v="2"/>
    <s v="Q4"/>
    <s v="Cycling Helmet"/>
    <s v="Sports"/>
    <x v="2"/>
    <s v="Bhopal"/>
    <s v="Retail"/>
    <s v="B2B"/>
    <s v="Sunita Lal"/>
    <n v="2922.52"/>
    <n v="10"/>
    <n v="29225.200000000001"/>
    <n v="7.2"/>
    <n v="27120.99"/>
    <n v="41.5"/>
    <n v="11255.21"/>
    <s v="Pending"/>
  </r>
  <r>
    <s v="ORD-2026-0119"/>
    <s v="2026-05-15"/>
    <x v="11"/>
    <s v="Q2"/>
    <s v="Quinoa 1kg"/>
    <s v="Food"/>
    <x v="1"/>
    <s v="Hyderabad"/>
    <s v="Wholesale"/>
    <s v="Online"/>
    <s v="Kavya Bhat"/>
    <n v="950.1"/>
    <n v="24"/>
    <n v="22802.400000000001"/>
    <n v="19.2"/>
    <n v="18424.34"/>
    <n v="32.299999999999997"/>
    <n v="5951.06"/>
    <s v="Returned"/>
  </r>
  <r>
    <s v="ORD-2026-0120"/>
    <s v="2026-04-26"/>
    <x v="4"/>
    <s v="Q2"/>
    <s v="Smart TV 55&quot;"/>
    <s v="Electronics"/>
    <x v="1"/>
    <s v="Kochi"/>
    <s v="Enterprise"/>
    <s v="B2B"/>
    <s v="Aisha Khan"/>
    <n v="71181.100000000006"/>
    <n v="6"/>
    <n v="427086.6"/>
    <n v="4.4000000000000004"/>
    <n v="408294.79"/>
    <n v="13.6"/>
    <n v="55528.09"/>
    <s v="Pending"/>
  </r>
  <r>
    <s v="ORD-2026-0121"/>
    <s v="2026-06-22"/>
    <x v="10"/>
    <s v="Q2"/>
    <s v="Nut Mix 500g"/>
    <s v="Food"/>
    <x v="0"/>
    <s v="Kolkata"/>
    <s v="Enterprise"/>
    <s v="B2B"/>
    <s v="Deepak Rao"/>
    <n v="1070.69"/>
    <n v="21"/>
    <n v="22484.49"/>
    <n v="20.8"/>
    <n v="17807.72"/>
    <n v="19.100000000000001"/>
    <n v="3401.27"/>
    <s v="Pending"/>
  </r>
  <r>
    <s v="ORD-2026-0122"/>
    <s v="2026-03-08"/>
    <x v="9"/>
    <s v="Q1"/>
    <s v="Study Table"/>
    <s v="Furniture"/>
    <x v="4"/>
    <s v="Lucknow"/>
    <s v="SMB"/>
    <s v="Online"/>
    <s v="Vikram Tiwari"/>
    <n v="7585.8"/>
    <n v="22"/>
    <n v="166887.6"/>
    <n v="17.600000000000001"/>
    <n v="137515.38"/>
    <n v="34.700000000000003"/>
    <n v="47717.84"/>
    <s v="Fulfilled"/>
  </r>
  <r>
    <s v="ORD-2026-0123"/>
    <s v="2026-05-21"/>
    <x v="11"/>
    <s v="Q2"/>
    <s v="Quinoa 1kg"/>
    <s v="Food"/>
    <x v="2"/>
    <s v="Raipur"/>
    <s v="Online"/>
    <s v="B2B"/>
    <s v="Kavya Bhat"/>
    <n v="1041.75"/>
    <n v="1"/>
    <n v="1041.75"/>
    <n v="22.8"/>
    <n v="804.23"/>
    <n v="34.299999999999997"/>
    <n v="275.85000000000002"/>
    <s v="Fulfilled"/>
  </r>
  <r>
    <s v="ORD-2026-0124"/>
    <s v="2026-07-20"/>
    <x v="5"/>
    <s v="Q3"/>
    <s v="Yoga Mat"/>
    <s v="Sports"/>
    <x v="4"/>
    <s v="Lucknow"/>
    <s v="Enterprise"/>
    <s v="Direct"/>
    <s v="Kavya Bhat"/>
    <n v="6970.01"/>
    <n v="5"/>
    <n v="34850.050000000003"/>
    <n v="6.7"/>
    <n v="32515.1"/>
    <n v="28.9"/>
    <n v="9396.86"/>
    <s v="Fulfilled"/>
  </r>
  <r>
    <s v="ORD-2026-0125"/>
    <s v="2026-03-09"/>
    <x v="9"/>
    <s v="Q1"/>
    <s v="Laptop Pro X1"/>
    <s v="Electronics"/>
    <x v="4"/>
    <s v="Delhi"/>
    <s v="Enterprise"/>
    <s v="Direct"/>
    <s v="Aisha Khan"/>
    <n v="8507.09"/>
    <n v="1"/>
    <n v="8507.09"/>
    <n v="1.1000000000000001"/>
    <n v="8413.51"/>
    <n v="31.6"/>
    <n v="2658.67"/>
    <s v="Fulfilled"/>
  </r>
  <r>
    <s v="ORD-2026-0126"/>
    <s v="2026-04-13"/>
    <x v="4"/>
    <s v="Q2"/>
    <s v="Sunscreen SPF50"/>
    <s v="Cosmetics"/>
    <x v="4"/>
    <s v="Delhi"/>
    <s v="Online"/>
    <s v="B2B"/>
    <s v="Aisha Khan"/>
    <n v="1885.01"/>
    <n v="2"/>
    <n v="3770.02"/>
    <n v="20.100000000000001"/>
    <n v="3012.25"/>
    <n v="52.8"/>
    <n v="1590.47"/>
    <s v="Fulfilled"/>
  </r>
  <r>
    <s v="ORD-2026-0127"/>
    <s v="2026-02-19"/>
    <x v="6"/>
    <s v="Q1"/>
    <s v="Running Shoes"/>
    <s v="Apparel"/>
    <x v="4"/>
    <s v="Jaipur"/>
    <s v="Retail"/>
    <s v="Direct"/>
    <s v="Neha Patel"/>
    <n v="1764.38"/>
    <n v="17"/>
    <n v="29994.46"/>
    <n v="17.3"/>
    <n v="24805.42"/>
    <n v="49.5"/>
    <n v="12278.68"/>
    <s v="Pending"/>
  </r>
  <r>
    <s v="ORD-2026-0128"/>
    <s v="2026-01-20"/>
    <x v="7"/>
    <s v="Q1"/>
    <s v="Office Chair"/>
    <s v="Furniture"/>
    <x v="1"/>
    <s v="Hyderabad"/>
    <s v="Retail"/>
    <s v="Partner"/>
    <s v="Aisha Khan"/>
    <n v="17607.669999999998"/>
    <n v="3"/>
    <n v="52823.01"/>
    <n v="0.7"/>
    <n v="52453.25"/>
    <n v="28.1"/>
    <n v="14739.36"/>
    <s v="Fulfilled"/>
  </r>
  <r>
    <s v="ORD-2026-0129"/>
    <s v="2026-09-10"/>
    <x v="3"/>
    <s v="Q3"/>
    <s v="Laptop Pro X1"/>
    <s v="Electronics"/>
    <x v="0"/>
    <s v="Patna"/>
    <s v="Online"/>
    <s v="Partner"/>
    <s v="Rohit Das"/>
    <n v="18749.53"/>
    <n v="7"/>
    <n v="131246.71"/>
    <n v="24.1"/>
    <n v="99616.25"/>
    <n v="27.1"/>
    <n v="26996"/>
    <s v="Cancelled"/>
  </r>
  <r>
    <s v="ORD-2026-0130"/>
    <s v="2026-03-18"/>
    <x v="9"/>
    <s v="Q1"/>
    <s v="Sports Shorts"/>
    <s v="Apparel"/>
    <x v="4"/>
    <s v="Jaipur"/>
    <s v="Enterprise"/>
    <s v="Direct"/>
    <s v="Deepak Rao"/>
    <n v="683.06"/>
    <n v="5"/>
    <n v="3415.3"/>
    <n v="1.1000000000000001"/>
    <n v="3377.73"/>
    <n v="48"/>
    <n v="1621.31"/>
    <s v="Pending"/>
  </r>
  <r>
    <s v="ORD-2026-0131"/>
    <s v="2026-09-18"/>
    <x v="3"/>
    <s v="Q3"/>
    <s v="Office Chair"/>
    <s v="Furniture"/>
    <x v="2"/>
    <s v="Bhopal"/>
    <s v="Wholesale"/>
    <s v="B2B"/>
    <s v="Aisha Khan"/>
    <n v="33195.449999999997"/>
    <n v="19"/>
    <n v="630713.55000000005"/>
    <n v="4.2"/>
    <n v="604223.57999999996"/>
    <n v="45.1"/>
    <n v="272504.83"/>
    <s v="Fulfilled"/>
  </r>
  <r>
    <s v="ORD-2026-0132"/>
    <s v="2026-03-03"/>
    <x v="9"/>
    <s v="Q1"/>
    <s v="Denim Jeans"/>
    <s v="Apparel"/>
    <x v="3"/>
    <s v="Mumbai"/>
    <s v="Online"/>
    <s v="B2B"/>
    <s v="Aisha Khan"/>
    <n v="3515.09"/>
    <n v="4"/>
    <n v="14060.36"/>
    <n v="3.1"/>
    <n v="13624.49"/>
    <n v="50.3"/>
    <n v="6853.12"/>
    <s v="Fulfilled"/>
  </r>
  <r>
    <s v="ORD-2026-0133"/>
    <s v="2026-08-05"/>
    <x v="8"/>
    <s v="Q3"/>
    <s v="Cycling Helmet"/>
    <s v="Sports"/>
    <x v="3"/>
    <s v="Pune"/>
    <s v="Online"/>
    <s v="Direct"/>
    <s v="Sunita Lal"/>
    <n v="4394.9799999999996"/>
    <n v="11"/>
    <n v="48344.78"/>
    <n v="13.6"/>
    <n v="41769.89"/>
    <n v="30.2"/>
    <n v="12614.51"/>
    <s v="Fulfilled"/>
  </r>
  <r>
    <s v="ORD-2026-0134"/>
    <s v="2026-08-26"/>
    <x v="8"/>
    <s v="Q3"/>
    <s v="Study Table"/>
    <s v="Furniture"/>
    <x v="3"/>
    <s v="Ahmedabad"/>
    <s v="SMB"/>
    <s v="Direct"/>
    <s v="Priya Sharma"/>
    <n v="35918.71"/>
    <n v="17"/>
    <n v="610618.06999999995"/>
    <n v="22.6"/>
    <n v="472618.39"/>
    <n v="31.5"/>
    <n v="148874.79"/>
    <s v="Fulfilled"/>
  </r>
  <r>
    <s v="ORD-2026-0135"/>
    <s v="2026-04-25"/>
    <x v="4"/>
    <s v="Q2"/>
    <s v="Quinoa 1kg"/>
    <s v="Food"/>
    <x v="4"/>
    <s v="Jaipur"/>
    <s v="Enterprise"/>
    <s v="Partner"/>
    <s v="Kavya Bhat"/>
    <n v="736.26"/>
    <n v="22"/>
    <n v="16197.72"/>
    <n v="17.7"/>
    <n v="13330.72"/>
    <n v="41.8"/>
    <n v="5572.24"/>
    <s v="Fulfilled"/>
  </r>
  <r>
    <s v="ORD-2026-0136"/>
    <s v="2026-09-28"/>
    <x v="3"/>
    <s v="Q3"/>
    <s v="Kurti Set"/>
    <s v="Apparel"/>
    <x v="2"/>
    <s v="Bhopal"/>
    <s v="Online"/>
    <s v="Partner"/>
    <s v="Priya Sharma"/>
    <n v="415.82"/>
    <n v="22"/>
    <n v="9148.0400000000009"/>
    <n v="19.8"/>
    <n v="7336.73"/>
    <n v="58.6"/>
    <n v="4299.32"/>
    <s v="Fulfilled"/>
  </r>
  <r>
    <s v="ORD-2026-0137"/>
    <s v="2026-01-13"/>
    <x v="7"/>
    <s v="Q1"/>
    <s v="Smart Watch S3"/>
    <s v="Electronics"/>
    <x v="0"/>
    <s v="Patna"/>
    <s v="Retail"/>
    <s v="B2B"/>
    <s v="Aisha Khan"/>
    <n v="15947.25"/>
    <n v="6"/>
    <n v="95683.5"/>
    <n v="23.6"/>
    <n v="73102.19"/>
    <n v="22.4"/>
    <n v="16374.89"/>
    <s v="Pending"/>
  </r>
  <r>
    <s v="ORD-2026-0138"/>
    <s v="2026-03-04"/>
    <x v="9"/>
    <s v="Q1"/>
    <s v="Resistance Bands"/>
    <s v="Sports"/>
    <x v="4"/>
    <s v="Delhi"/>
    <s v="Enterprise"/>
    <s v="Direct"/>
    <s v="Rahul Mehta"/>
    <n v="5018.16"/>
    <n v="17"/>
    <n v="85308.72"/>
    <n v="13.9"/>
    <n v="73450.81"/>
    <n v="37.299999999999997"/>
    <n v="27397.15"/>
    <s v="Fulfilled"/>
  </r>
  <r>
    <s v="ORD-2026-0139"/>
    <s v="2026-08-12"/>
    <x v="8"/>
    <s v="Q3"/>
    <s v="Kurti Set"/>
    <s v="Apparel"/>
    <x v="1"/>
    <s v="Chennai"/>
    <s v="Enterprise"/>
    <s v="Partner"/>
    <s v="Amit Joshi"/>
    <n v="3822.61"/>
    <n v="5"/>
    <n v="19113.05"/>
    <n v="4.5"/>
    <n v="18252.96"/>
    <n v="46.2"/>
    <n v="8432.8700000000008"/>
    <s v="Fulfilled"/>
  </r>
  <r>
    <s v="ORD-2026-0140"/>
    <s v="2026-02-25"/>
    <x v="6"/>
    <s v="Q1"/>
    <s v="Study Table"/>
    <s v="Furniture"/>
    <x v="4"/>
    <s v="Delhi"/>
    <s v="Wholesale"/>
    <s v="Online"/>
    <s v="Sunita Lal"/>
    <n v="29825.79"/>
    <n v="5"/>
    <n v="149128.95000000001"/>
    <n v="21.4"/>
    <n v="117215.35"/>
    <n v="30.3"/>
    <n v="35516.25"/>
    <s v="Fulfilled"/>
  </r>
  <r>
    <s v="ORD-2026-0141"/>
    <s v="2026-12-20"/>
    <x v="1"/>
    <s v="Q4"/>
    <s v="Tablet Ultra"/>
    <s v="Electronics"/>
    <x v="3"/>
    <s v="Surat"/>
    <s v="SMB"/>
    <s v="Online"/>
    <s v="Vikram Tiwari"/>
    <n v="7330.16"/>
    <n v="6"/>
    <n v="43980.959999999999"/>
    <n v="13.6"/>
    <n v="37999.550000000003"/>
    <n v="14.6"/>
    <n v="5547.93"/>
    <s v="Returned"/>
  </r>
  <r>
    <s v="ORD-2026-0142"/>
    <s v="2026-01-18"/>
    <x v="7"/>
    <s v="Q1"/>
    <s v="Organic Honey"/>
    <s v="Food"/>
    <x v="1"/>
    <s v="Chennai"/>
    <s v="Online"/>
    <s v="Direct"/>
    <s v="Aisha Khan"/>
    <n v="276.05"/>
    <n v="10"/>
    <n v="2760.5"/>
    <n v="21.8"/>
    <n v="2158.71"/>
    <n v="36.6"/>
    <n v="790.09"/>
    <s v="Cancelled"/>
  </r>
  <r>
    <s v="ORD-2026-0143"/>
    <s v="2026-08-31"/>
    <x v="8"/>
    <s v="Q3"/>
    <s v="Yoga Mat"/>
    <s v="Sports"/>
    <x v="4"/>
    <s v="Delhi"/>
    <s v="Wholesale"/>
    <s v="Online"/>
    <s v="Vikram Tiwari"/>
    <n v="4091.01"/>
    <n v="24"/>
    <n v="98184.24"/>
    <n v="1.8"/>
    <n v="96416.92"/>
    <n v="34.6"/>
    <n v="33360.25"/>
    <s v="Pending"/>
  </r>
  <r>
    <s v="ORD-2026-0144"/>
    <s v="2026-12-02"/>
    <x v="1"/>
    <s v="Q4"/>
    <s v="Running Shoes"/>
    <s v="Apparel"/>
    <x v="0"/>
    <s v="Kolkata"/>
    <s v="Retail"/>
    <s v="Online"/>
    <s v="Neha Patel"/>
    <n v="640.72"/>
    <n v="11"/>
    <n v="7047.92"/>
    <n v="0.9"/>
    <n v="6984.49"/>
    <n v="51.3"/>
    <n v="3583.04"/>
    <s v="Cancelled"/>
  </r>
  <r>
    <s v="ORD-2026-0145"/>
    <s v="2026-04-01"/>
    <x v="4"/>
    <s v="Q2"/>
    <s v="Winter Jacket"/>
    <s v="Apparel"/>
    <x v="4"/>
    <s v="Delhi"/>
    <s v="Wholesale"/>
    <s v="Direct"/>
    <s v="Deepak Rao"/>
    <n v="2117.48"/>
    <n v="2"/>
    <n v="4234.96"/>
    <n v="15.7"/>
    <n v="3570.07"/>
    <n v="42.7"/>
    <n v="1524.42"/>
    <s v="Fulfilled"/>
  </r>
  <r>
    <s v="ORD-2026-0146"/>
    <s v="2026-11-04"/>
    <x v="0"/>
    <s v="Q4"/>
    <s v="Kurti Set"/>
    <s v="Apparel"/>
    <x v="4"/>
    <s v="Lucknow"/>
    <s v="Retail"/>
    <s v="Partner"/>
    <s v="Neha Patel"/>
    <n v="2028.04"/>
    <n v="23"/>
    <n v="46644.92"/>
    <n v="6.8"/>
    <n v="43473.07"/>
    <n v="40.799999999999997"/>
    <n v="17737.009999999998"/>
    <s v="Cancelled"/>
  </r>
  <r>
    <s v="ORD-2026-0147"/>
    <s v="2026-11-22"/>
    <x v="0"/>
    <s v="Q4"/>
    <s v="Laptop Pro X1"/>
    <s v="Electronics"/>
    <x v="2"/>
    <s v="Bhopal"/>
    <s v="Online"/>
    <s v="Partner"/>
    <s v="Rahul Mehta"/>
    <n v="5110.5200000000004"/>
    <n v="17"/>
    <n v="86878.84"/>
    <n v="5.4"/>
    <n v="82187.38"/>
    <n v="14.7"/>
    <n v="12081.54"/>
    <s v="Fulfilled"/>
  </r>
  <r>
    <s v="ORD-2026-0148"/>
    <s v="2026-12-21"/>
    <x v="1"/>
    <s v="Q4"/>
    <s v="Cycling Helmet"/>
    <s v="Sports"/>
    <x v="1"/>
    <s v="Chennai"/>
    <s v="Enterprise"/>
    <s v="B2B"/>
    <s v="Amit Joshi"/>
    <n v="1906.56"/>
    <n v="7"/>
    <n v="13345.92"/>
    <n v="20.100000000000001"/>
    <n v="10663.39"/>
    <n v="40.200000000000003"/>
    <n v="4286.68"/>
    <s v="Cancelled"/>
  </r>
  <r>
    <s v="ORD-2026-0149"/>
    <s v="2026-07-18"/>
    <x v="5"/>
    <s v="Q3"/>
    <s v="Bed Frame Queen"/>
    <s v="Furniture"/>
    <x v="4"/>
    <s v="Lucknow"/>
    <s v="Online"/>
    <s v="Partner"/>
    <s v="Neha Patel"/>
    <n v="14787.36"/>
    <n v="1"/>
    <n v="14787.36"/>
    <n v="22.7"/>
    <n v="11430.63"/>
    <n v="36.6"/>
    <n v="4183.6099999999997"/>
    <s v="Fulfilled"/>
  </r>
  <r>
    <s v="ORD-2026-0150"/>
    <s v="2026-11-18"/>
    <x v="0"/>
    <s v="Q4"/>
    <s v="Running Shoes"/>
    <s v="Apparel"/>
    <x v="3"/>
    <s v="Ahmedabad"/>
    <s v="Online"/>
    <s v="B2B"/>
    <s v="Sunita Lal"/>
    <n v="2322.14"/>
    <n v="3"/>
    <n v="6966.42"/>
    <n v="3.9"/>
    <n v="6694.73"/>
    <n v="53.2"/>
    <n v="3561.6"/>
    <s v="Pending"/>
  </r>
  <r>
    <s v="ORD-2026-0151"/>
    <s v="2026-01-27"/>
    <x v="7"/>
    <s v="Q1"/>
    <s v="Wardrobe 3-door"/>
    <s v="Furniture"/>
    <x v="4"/>
    <s v="Lucknow"/>
    <s v="Online"/>
    <s v="Direct"/>
    <s v="Neha Patel"/>
    <n v="14226.29"/>
    <n v="24"/>
    <n v="341430.96"/>
    <n v="5.6"/>
    <n v="322310.83"/>
    <n v="39.200000000000003"/>
    <n v="126345.85"/>
    <s v="Fulfilled"/>
  </r>
  <r>
    <s v="ORD-2026-0152"/>
    <s v="2026-05-16"/>
    <x v="11"/>
    <s v="Q2"/>
    <s v="Hair Oil 200ml"/>
    <s v="Cosmetics"/>
    <x v="3"/>
    <s v="Pune"/>
    <s v="Wholesale"/>
    <s v="Partner"/>
    <s v="Kavya Bhat"/>
    <n v="1584.11"/>
    <n v="15"/>
    <n v="23761.65"/>
    <n v="10.3"/>
    <n v="21314.2"/>
    <n v="48.3"/>
    <n v="10294.76"/>
    <s v="Fulfilled"/>
  </r>
  <r>
    <s v="ORD-2026-0153"/>
    <s v="2026-11-04"/>
    <x v="0"/>
    <s v="Q4"/>
    <s v="Sofa 3-seater"/>
    <s v="Furniture"/>
    <x v="2"/>
    <s v="Indore"/>
    <s v="Online"/>
    <s v="Online"/>
    <s v="Sunita Lal"/>
    <n v="9584.2800000000007"/>
    <n v="18"/>
    <n v="172517.04"/>
    <n v="11.6"/>
    <n v="152505.06"/>
    <n v="48.3"/>
    <n v="73659.94"/>
    <s v="Fulfilled"/>
  </r>
  <r>
    <s v="ORD-2026-0154"/>
    <s v="2026-08-02"/>
    <x v="8"/>
    <s v="Q3"/>
    <s v="Eye Shadow Palette"/>
    <s v="Cosmetics"/>
    <x v="0"/>
    <s v="Bhubaneswar"/>
    <s v="Wholesale"/>
    <s v="B2B"/>
    <s v="Sunita Lal"/>
    <n v="3264.3"/>
    <n v="2"/>
    <n v="6528.6"/>
    <n v="11.5"/>
    <n v="5777.81"/>
    <n v="69.099999999999994"/>
    <n v="3992.47"/>
    <s v="Fulfilled"/>
  </r>
  <r>
    <s v="ORD-2026-0155"/>
    <s v="2026-07-29"/>
    <x v="5"/>
    <s v="Q3"/>
    <s v="Badminton Set"/>
    <s v="Sports"/>
    <x v="4"/>
    <s v="Lucknow"/>
    <s v="SMB"/>
    <s v="Direct"/>
    <s v="Amit Joshi"/>
    <n v="4452.47"/>
    <n v="13"/>
    <n v="57882.11"/>
    <n v="23.6"/>
    <n v="44221.93"/>
    <n v="35.1"/>
    <n v="15521.9"/>
    <s v="Fulfilled"/>
  </r>
  <r>
    <s v="ORD-2026-0156"/>
    <s v="2026-04-03"/>
    <x v="4"/>
    <s v="Q2"/>
    <s v="Face Serum"/>
    <s v="Cosmetics"/>
    <x v="2"/>
    <s v="Raipur"/>
    <s v="Enterprise"/>
    <s v="Online"/>
    <s v="Vikram Tiwari"/>
    <n v="863.78"/>
    <n v="22"/>
    <n v="19003.16"/>
    <n v="6.2"/>
    <n v="17824.96"/>
    <n v="70.7"/>
    <n v="12602.25"/>
    <s v="Fulfilled"/>
  </r>
  <r>
    <s v="ORD-2026-0157"/>
    <s v="2026-09-13"/>
    <x v="3"/>
    <s v="Q3"/>
    <s v="Cycling Helmet"/>
    <s v="Sports"/>
    <x v="2"/>
    <s v="Nagpur"/>
    <s v="Retail"/>
    <s v="Partner"/>
    <s v="Kavya Bhat"/>
    <n v="4629.7700000000004"/>
    <n v="4"/>
    <n v="18519.080000000002"/>
    <n v="19.5"/>
    <n v="14907.86"/>
    <n v="22.2"/>
    <n v="3309.54"/>
    <s v="Fulfilled"/>
  </r>
  <r>
    <s v="ORD-2026-0158"/>
    <s v="2026-08-06"/>
    <x v="8"/>
    <s v="Q3"/>
    <s v="Formal Shirt"/>
    <s v="Apparel"/>
    <x v="1"/>
    <s v="Chennai"/>
    <s v="SMB"/>
    <s v="Online"/>
    <s v="Neha Patel"/>
    <n v="4323.32"/>
    <n v="16"/>
    <n v="69173.119999999995"/>
    <n v="2.2000000000000002"/>
    <n v="67651.31"/>
    <n v="38.4"/>
    <n v="25978.1"/>
    <s v="Cancelled"/>
  </r>
  <r>
    <s v="ORD-2026-0159"/>
    <s v="2026-05-22"/>
    <x v="11"/>
    <s v="Q2"/>
    <s v="Sports Shorts"/>
    <s v="Apparel"/>
    <x v="3"/>
    <s v="Ahmedabad"/>
    <s v="Wholesale"/>
    <s v="Direct"/>
    <s v="Amit Joshi"/>
    <n v="2726.43"/>
    <n v="2"/>
    <n v="5452.86"/>
    <n v="18.399999999999999"/>
    <n v="4449.53"/>
    <n v="54.8"/>
    <n v="2438.34"/>
    <s v="Pending"/>
  </r>
  <r>
    <s v="ORD-2026-0160"/>
    <s v="2026-08-10"/>
    <x v="8"/>
    <s v="Q3"/>
    <s v="Wardrobe 3-door"/>
    <s v="Furniture"/>
    <x v="0"/>
    <s v="Guwahati"/>
    <s v="Enterprise"/>
    <s v="B2B"/>
    <s v="Rohit Das"/>
    <n v="20562.95"/>
    <n v="13"/>
    <n v="267318.34999999998"/>
    <n v="4.0999999999999996"/>
    <n v="256358.3"/>
    <n v="34.5"/>
    <n v="88443.61"/>
    <s v="Fulfilled"/>
  </r>
  <r>
    <s v="ORD-2026-0161"/>
    <s v="2026-05-29"/>
    <x v="11"/>
    <s v="Q2"/>
    <s v="Winter Jacket"/>
    <s v="Apparel"/>
    <x v="4"/>
    <s v="Jaipur"/>
    <s v="SMB"/>
    <s v="B2B"/>
    <s v="Amit Joshi"/>
    <n v="1645.67"/>
    <n v="23"/>
    <n v="37850.410000000003"/>
    <n v="23.9"/>
    <n v="28804.16"/>
    <n v="46.9"/>
    <n v="13509.15"/>
    <s v="Cancelled"/>
  </r>
  <r>
    <s v="ORD-2026-0162"/>
    <s v="2026-04-18"/>
    <x v="4"/>
    <s v="Q2"/>
    <s v="Denim Jeans"/>
    <s v="Apparel"/>
    <x v="0"/>
    <s v="Bhubaneswar"/>
    <s v="Retail"/>
    <s v="Partner"/>
    <s v="Sunita Lal"/>
    <n v="4349.88"/>
    <n v="3"/>
    <n v="13049.64"/>
    <n v="14.8"/>
    <n v="11118.29"/>
    <n v="50.8"/>
    <n v="5648.09"/>
    <s v="Fulfilled"/>
  </r>
  <r>
    <s v="ORD-2026-0163"/>
    <s v="2026-02-15"/>
    <x v="6"/>
    <s v="Q1"/>
    <s v="Dumbbells 5kg"/>
    <s v="Sports"/>
    <x v="3"/>
    <s v="Pune"/>
    <s v="Retail"/>
    <s v="Partner"/>
    <s v="Rohit Das"/>
    <n v="4736.99"/>
    <n v="19"/>
    <n v="90002.81"/>
    <n v="22"/>
    <n v="70202.19"/>
    <n v="26.1"/>
    <n v="18322.77"/>
    <s v="Fulfilled"/>
  </r>
  <r>
    <s v="ORD-2026-0164"/>
    <s v="2026-11-14"/>
    <x v="0"/>
    <s v="Q4"/>
    <s v="Green Tea Pack"/>
    <s v="Food"/>
    <x v="3"/>
    <s v="Pune"/>
    <s v="SMB"/>
    <s v="Partner"/>
    <s v="Aisha Khan"/>
    <n v="226.12"/>
    <n v="22"/>
    <n v="4974.6400000000003"/>
    <n v="24.1"/>
    <n v="3775.75"/>
    <n v="18.7"/>
    <n v="706.07"/>
    <s v="Fulfilled"/>
  </r>
  <r>
    <s v="ORD-2026-0165"/>
    <s v="2026-08-29"/>
    <x v="8"/>
    <s v="Q3"/>
    <s v="Office Chair"/>
    <s v="Furniture"/>
    <x v="0"/>
    <s v="Guwahati"/>
    <s v="Enterprise"/>
    <s v="Partner"/>
    <s v="Neha Patel"/>
    <n v="9771.5"/>
    <n v="13"/>
    <n v="127029.5"/>
    <n v="12.4"/>
    <n v="111277.84"/>
    <n v="51"/>
    <n v="56751.7"/>
    <s v="Fulfilled"/>
  </r>
  <r>
    <s v="ORD-2026-0166"/>
    <s v="2026-01-02"/>
    <x v="7"/>
    <s v="Q1"/>
    <s v="Quinoa 1kg"/>
    <s v="Food"/>
    <x v="1"/>
    <s v="Bengaluru"/>
    <s v="Retail"/>
    <s v="Online"/>
    <s v="Deepak Rao"/>
    <n v="700.84"/>
    <n v="2"/>
    <n v="1401.68"/>
    <n v="22.4"/>
    <n v="1087.7"/>
    <n v="35"/>
    <n v="380.69"/>
    <s v="Fulfilled"/>
  </r>
  <r>
    <s v="ORD-2026-0167"/>
    <s v="2026-05-26"/>
    <x v="11"/>
    <s v="Q2"/>
    <s v="Lip Gloss Set"/>
    <s v="Cosmetics"/>
    <x v="0"/>
    <s v="Kolkata"/>
    <s v="Retail"/>
    <s v="B2B"/>
    <s v="Neha Patel"/>
    <n v="1760.05"/>
    <n v="19"/>
    <n v="33440.949999999997"/>
    <n v="9"/>
    <n v="30431.26"/>
    <n v="58.3"/>
    <n v="17741.419999999998"/>
    <s v="Fulfilled"/>
  </r>
  <r>
    <s v="ORD-2026-0168"/>
    <s v="2026-05-02"/>
    <x v="11"/>
    <s v="Q2"/>
    <s v="Yoga Mat"/>
    <s v="Sports"/>
    <x v="2"/>
    <s v="Indore"/>
    <s v="Enterprise"/>
    <s v="Direct"/>
    <s v="Neha Patel"/>
    <n v="3113.03"/>
    <n v="10"/>
    <n v="31130.3"/>
    <n v="24.3"/>
    <n v="23565.64"/>
    <n v="36.1"/>
    <n v="8507.2000000000007"/>
    <s v="Fulfilled"/>
  </r>
  <r>
    <s v="ORD-2026-0169"/>
    <s v="2026-11-08"/>
    <x v="0"/>
    <s v="Q4"/>
    <s v="Resistance Bands"/>
    <s v="Sports"/>
    <x v="4"/>
    <s v="Jaipur"/>
    <s v="Retail"/>
    <s v="Direct"/>
    <s v="Rahul Mehta"/>
    <n v="5120.75"/>
    <n v="7"/>
    <n v="35845.25"/>
    <n v="12.8"/>
    <n v="31257.06"/>
    <n v="45.3"/>
    <n v="14159.45"/>
    <s v="Cancelled"/>
  </r>
  <r>
    <s v="ORD-2026-0170"/>
    <s v="2026-06-08"/>
    <x v="10"/>
    <s v="Q2"/>
    <s v="Gaming Console"/>
    <s v="Electronics"/>
    <x v="4"/>
    <s v="Delhi"/>
    <s v="Online"/>
    <s v="Direct"/>
    <s v="Deepak Rao"/>
    <n v="56161.17"/>
    <n v="11"/>
    <n v="617772.87"/>
    <n v="23.6"/>
    <n v="471978.47"/>
    <n v="26.2"/>
    <n v="123658.36"/>
    <s v="Returned"/>
  </r>
  <r>
    <s v="ORD-2026-0171"/>
    <s v="2026-01-26"/>
    <x v="7"/>
    <s v="Q1"/>
    <s v="Wardrobe 3-door"/>
    <s v="Furniture"/>
    <x v="0"/>
    <s v="Bhubaneswar"/>
    <s v="Online"/>
    <s v="Online"/>
    <s v="Rohit Das"/>
    <n v="34052"/>
    <n v="8"/>
    <n v="272416"/>
    <n v="15.9"/>
    <n v="229101.86"/>
    <n v="42.8"/>
    <n v="98055.6"/>
    <s v="Pending"/>
  </r>
  <r>
    <s v="ORD-2026-0172"/>
    <s v="2026-02-03"/>
    <x v="6"/>
    <s v="Q1"/>
    <s v="Football Pro"/>
    <s v="Sports"/>
    <x v="4"/>
    <s v="Delhi"/>
    <s v="Online"/>
    <s v="Online"/>
    <s v="Vikram Tiwari"/>
    <n v="7725.55"/>
    <n v="20"/>
    <n v="154511"/>
    <n v="4.0999999999999996"/>
    <n v="148176.04999999999"/>
    <n v="42.9"/>
    <n v="63567.53"/>
    <s v="Pending"/>
  </r>
  <r>
    <s v="ORD-2026-0173"/>
    <s v="2026-10-17"/>
    <x v="2"/>
    <s v="Q4"/>
    <s v="Smart Watch S3"/>
    <s v="Electronics"/>
    <x v="0"/>
    <s v="Guwahati"/>
    <s v="SMB"/>
    <s v="Online"/>
    <s v="Rahul Mehta"/>
    <n v="19871.46"/>
    <n v="16"/>
    <n v="317943.36"/>
    <n v="5.4"/>
    <n v="300774.42"/>
    <n v="24.5"/>
    <n v="73689.73"/>
    <s v="Fulfilled"/>
  </r>
  <r>
    <s v="ORD-2026-0174"/>
    <s v="2026-09-18"/>
    <x v="3"/>
    <s v="Q3"/>
    <s v="Office Chair"/>
    <s v="Furniture"/>
    <x v="2"/>
    <s v="Indore"/>
    <s v="SMB"/>
    <s v="Online"/>
    <s v="Rohit Das"/>
    <n v="16374.96"/>
    <n v="10"/>
    <n v="163749.6"/>
    <n v="11.5"/>
    <n v="144918.39999999999"/>
    <n v="31.4"/>
    <n v="45504.38"/>
    <s v="Fulfilled"/>
  </r>
  <r>
    <s v="ORD-2026-0175"/>
    <s v="2026-03-12"/>
    <x v="9"/>
    <s v="Q1"/>
    <s v="Body Lotion"/>
    <s v="Cosmetics"/>
    <x v="4"/>
    <s v="Lucknow"/>
    <s v="Wholesale"/>
    <s v="Online"/>
    <s v="Deepak Rao"/>
    <n v="2983.25"/>
    <n v="12"/>
    <n v="35799"/>
    <n v="21.3"/>
    <n v="28173.81"/>
    <n v="56.8"/>
    <n v="16002.72"/>
    <s v="Cancelled"/>
  </r>
  <r>
    <s v="ORD-2026-0176"/>
    <s v="2026-07-24"/>
    <x v="5"/>
    <s v="Q3"/>
    <s v="Office Chair"/>
    <s v="Furniture"/>
    <x v="4"/>
    <s v="Chandigarh"/>
    <s v="Online"/>
    <s v="B2B"/>
    <s v="Deepak Rao"/>
    <n v="44753.47"/>
    <n v="14"/>
    <n v="626548.57999999996"/>
    <n v="6.5"/>
    <n v="585822.92000000004"/>
    <n v="44.9"/>
    <n v="263034.49"/>
    <s v="Fulfilled"/>
  </r>
  <r>
    <s v="ORD-2026-0177"/>
    <s v="2026-10-04"/>
    <x v="2"/>
    <s v="Q4"/>
    <s v="DSLR Camera"/>
    <s v="Electronics"/>
    <x v="3"/>
    <s v="Mumbai"/>
    <s v="Online"/>
    <s v="Partner"/>
    <s v="Vikram Tiwari"/>
    <n v="57087.85"/>
    <n v="10"/>
    <n v="570878.5"/>
    <n v="16.2"/>
    <n v="478396.18"/>
    <n v="15.2"/>
    <n v="72716.22"/>
    <s v="Fulfilled"/>
  </r>
  <r>
    <s v="ORD-2026-0178"/>
    <s v="2026-05-21"/>
    <x v="11"/>
    <s v="Q2"/>
    <s v="Gaming Console"/>
    <s v="Electronics"/>
    <x v="3"/>
    <s v="Surat"/>
    <s v="Enterprise"/>
    <s v="B2B"/>
    <s v="Vikram Tiwari"/>
    <n v="59502.29"/>
    <n v="3"/>
    <n v="178506.87"/>
    <n v="5.5"/>
    <n v="168688.99"/>
    <n v="30.5"/>
    <n v="51450.14"/>
    <s v="Fulfilled"/>
  </r>
  <r>
    <s v="ORD-2026-0179"/>
    <s v="2026-12-23"/>
    <x v="1"/>
    <s v="Q4"/>
    <s v="Resistance Bands"/>
    <s v="Sports"/>
    <x v="2"/>
    <s v="Nagpur"/>
    <s v="SMB"/>
    <s v="B2B"/>
    <s v="Rahul Mehta"/>
    <n v="4816.1099999999997"/>
    <n v="13"/>
    <n v="62609.43"/>
    <n v="1.8"/>
    <n v="61482.46"/>
    <n v="39"/>
    <n v="23978.16"/>
    <s v="Fulfilled"/>
  </r>
  <r>
    <s v="ORD-2026-0180"/>
    <s v="2026-02-23"/>
    <x v="6"/>
    <s v="Q1"/>
    <s v="Winter Jacket"/>
    <s v="Apparel"/>
    <x v="0"/>
    <s v="Bhubaneswar"/>
    <s v="SMB"/>
    <s v="Online"/>
    <s v="Neha Patel"/>
    <n v="514.66"/>
    <n v="14"/>
    <n v="7205.24"/>
    <n v="7.9"/>
    <n v="6636.03"/>
    <n v="52.7"/>
    <n v="3497.19"/>
    <s v="Returned"/>
  </r>
  <r>
    <s v="ORD-2026-0181"/>
    <s v="2026-06-29"/>
    <x v="10"/>
    <s v="Q2"/>
    <s v="Cycling Helmet"/>
    <s v="Sports"/>
    <x v="3"/>
    <s v="Surat"/>
    <s v="SMB"/>
    <s v="Direct"/>
    <s v="Amit Joshi"/>
    <n v="8892.84"/>
    <n v="4"/>
    <n v="35571.360000000001"/>
    <n v="18.2"/>
    <n v="29097.37"/>
    <n v="35.299999999999997"/>
    <n v="10271.370000000001"/>
    <s v="Cancelled"/>
  </r>
  <r>
    <s v="ORD-2026-0182"/>
    <s v="2026-01-07"/>
    <x v="7"/>
    <s v="Q1"/>
    <s v="Denim Jeans"/>
    <s v="Apparel"/>
    <x v="0"/>
    <s v="Patna"/>
    <s v="SMB"/>
    <s v="Online"/>
    <s v="Priya Sharma"/>
    <n v="3576.39"/>
    <n v="13"/>
    <n v="46493.07"/>
    <n v="4.3"/>
    <n v="44493.87"/>
    <n v="45.1"/>
    <n v="20066.740000000002"/>
    <s v="Fulfilled"/>
  </r>
  <r>
    <s v="ORD-2026-0183"/>
    <s v="2026-08-27"/>
    <x v="8"/>
    <s v="Q3"/>
    <s v="Skipping Rope"/>
    <s v="Sports"/>
    <x v="0"/>
    <s v="Guwahati"/>
    <s v="SMB"/>
    <s v="Direct"/>
    <s v="Amit Joshi"/>
    <n v="7449.41"/>
    <n v="1"/>
    <n v="7449.41"/>
    <n v="16.899999999999999"/>
    <n v="6190.46"/>
    <n v="43"/>
    <n v="2661.9"/>
    <s v="Cancelled"/>
  </r>
  <r>
    <s v="ORD-2026-0184"/>
    <s v="2026-12-08"/>
    <x v="1"/>
    <s v="Q4"/>
    <s v="Office Chair"/>
    <s v="Furniture"/>
    <x v="2"/>
    <s v="Raipur"/>
    <s v="SMB"/>
    <s v="B2B"/>
    <s v="Kavya Bhat"/>
    <n v="24305.38"/>
    <n v="17"/>
    <n v="413191.46"/>
    <n v="14.4"/>
    <n v="353691.89"/>
    <n v="34.1"/>
    <n v="120608.93"/>
    <s v="Returned"/>
  </r>
  <r>
    <s v="ORD-2026-0185"/>
    <s v="2026-05-30"/>
    <x v="11"/>
    <s v="Q2"/>
    <s v="Badminton Set"/>
    <s v="Sports"/>
    <x v="0"/>
    <s v="Bhubaneswar"/>
    <s v="Enterprise"/>
    <s v="B2B"/>
    <s v="Aisha Khan"/>
    <n v="3052.47"/>
    <n v="11"/>
    <n v="33577.17"/>
    <n v="0.3"/>
    <n v="33476.44"/>
    <n v="32.700000000000003"/>
    <n v="10946.8"/>
    <s v="Fulfilled"/>
  </r>
  <r>
    <s v="ORD-2026-0186"/>
    <s v="2026-05-14"/>
    <x v="11"/>
    <s v="Q2"/>
    <s v="Body Lotion"/>
    <s v="Cosmetics"/>
    <x v="2"/>
    <s v="Indore"/>
    <s v="SMB"/>
    <s v="B2B"/>
    <s v="Rahul Mehta"/>
    <n v="2948.42"/>
    <n v="17"/>
    <n v="50123.14"/>
    <n v="1.7"/>
    <n v="49271.05"/>
    <n v="56.1"/>
    <n v="27641.06"/>
    <s v="Cancelled"/>
  </r>
  <r>
    <s v="ORD-2026-0187"/>
    <s v="2026-03-13"/>
    <x v="9"/>
    <s v="Q1"/>
    <s v="Office Chair"/>
    <s v="Furniture"/>
    <x v="3"/>
    <s v="Mumbai"/>
    <s v="SMB"/>
    <s v="Direct"/>
    <s v="Amit Joshi"/>
    <n v="13566.29"/>
    <n v="7"/>
    <n v="94964.03"/>
    <n v="7"/>
    <n v="88316.55"/>
    <n v="37.799999999999997"/>
    <n v="33383.660000000003"/>
    <s v="Pending"/>
  </r>
  <r>
    <s v="ORD-2026-0188"/>
    <s v="2026-09-29"/>
    <x v="3"/>
    <s v="Q3"/>
    <s v="Cotton T-Shirt"/>
    <s v="Apparel"/>
    <x v="1"/>
    <s v="Kochi"/>
    <s v="Enterprise"/>
    <s v="B2B"/>
    <s v="Kavya Bhat"/>
    <n v="3199.24"/>
    <n v="7"/>
    <n v="22394.68"/>
    <n v="11.4"/>
    <n v="19841.689999999999"/>
    <n v="56.4"/>
    <n v="11190.71"/>
    <s v="Fulfilled"/>
  </r>
  <r>
    <s v="ORD-2026-0189"/>
    <s v="2026-07-17"/>
    <x v="5"/>
    <s v="Q3"/>
    <s v="Olive Oil 1L"/>
    <s v="Food"/>
    <x v="0"/>
    <s v="Bhubaneswar"/>
    <s v="SMB"/>
    <s v="Partner"/>
    <s v="Kavya Bhat"/>
    <n v="592.70000000000005"/>
    <n v="19"/>
    <n v="11261.3"/>
    <n v="2.8"/>
    <n v="10945.98"/>
    <n v="20.100000000000001"/>
    <n v="2200.14"/>
    <s v="Returned"/>
  </r>
  <r>
    <s v="ORD-2026-0190"/>
    <s v="2026-05-21"/>
    <x v="11"/>
    <s v="Q2"/>
    <s v="Denim Jeans"/>
    <s v="Apparel"/>
    <x v="1"/>
    <s v="Hyderabad"/>
    <s v="Retail"/>
    <s v="Direct"/>
    <s v="Deepak Rao"/>
    <n v="2394.88"/>
    <n v="16"/>
    <n v="38318.080000000002"/>
    <n v="7"/>
    <n v="35635.81"/>
    <n v="58.9"/>
    <n v="20989.49"/>
    <s v="Pending"/>
  </r>
  <r>
    <s v="ORD-2026-0191"/>
    <s v="2026-12-23"/>
    <x v="1"/>
    <s v="Q4"/>
    <s v="Lip Gloss Set"/>
    <s v="Cosmetics"/>
    <x v="1"/>
    <s v="Kochi"/>
    <s v="Retail"/>
    <s v="Online"/>
    <s v="Amit Joshi"/>
    <n v="2094.92"/>
    <n v="17"/>
    <n v="35613.64"/>
    <n v="10.1"/>
    <n v="32016.66"/>
    <n v="58.9"/>
    <n v="18857.810000000001"/>
    <s v="Fulfilled"/>
  </r>
  <r>
    <s v="ORD-2026-0192"/>
    <s v="2026-10-09"/>
    <x v="2"/>
    <s v="Q4"/>
    <s v="Running Shoes"/>
    <s v="Apparel"/>
    <x v="1"/>
    <s v="Kochi"/>
    <s v="Retail"/>
    <s v="Partner"/>
    <s v="Priya Sharma"/>
    <n v="1351.82"/>
    <n v="6"/>
    <n v="8110.92"/>
    <n v="6.8"/>
    <n v="7559.38"/>
    <n v="61.3"/>
    <n v="4633.8999999999996"/>
    <s v="Fulfilled"/>
  </r>
  <r>
    <s v="ORD-2026-0193"/>
    <s v="2026-08-01"/>
    <x v="8"/>
    <s v="Q3"/>
    <s v="Resistance Bands"/>
    <s v="Sports"/>
    <x v="3"/>
    <s v="Pune"/>
    <s v="SMB"/>
    <s v="Partner"/>
    <s v="Neha Patel"/>
    <n v="2653.16"/>
    <n v="1"/>
    <n v="2653.16"/>
    <n v="20.6"/>
    <n v="2106.61"/>
    <n v="29.7"/>
    <n v="625.66"/>
    <s v="Fulfilled"/>
  </r>
  <r>
    <s v="ORD-2026-0194"/>
    <s v="2026-09-20"/>
    <x v="3"/>
    <s v="Q3"/>
    <s v="Sports Shorts"/>
    <s v="Apparel"/>
    <x v="4"/>
    <s v="Chandigarh"/>
    <s v="SMB"/>
    <s v="Direct"/>
    <s v="Neha Patel"/>
    <n v="4794.71"/>
    <n v="7"/>
    <n v="33562.97"/>
    <n v="14.4"/>
    <n v="28729.9"/>
    <n v="42.7"/>
    <n v="12267.67"/>
    <s v="Cancelled"/>
  </r>
  <r>
    <s v="ORD-2026-0195"/>
    <s v="2026-06-17"/>
    <x v="10"/>
    <s v="Q2"/>
    <s v="Football Pro"/>
    <s v="Sports"/>
    <x v="2"/>
    <s v="Raipur"/>
    <s v="Enterprise"/>
    <s v="Partner"/>
    <s v="Amit Joshi"/>
    <n v="8696.34"/>
    <n v="16"/>
    <n v="139141.44"/>
    <n v="18.8"/>
    <n v="112982.85"/>
    <n v="29.3"/>
    <n v="33103.980000000003"/>
    <s v="Fulfilled"/>
  </r>
  <r>
    <s v="ORD-2026-0196"/>
    <s v="2026-03-15"/>
    <x v="9"/>
    <s v="Q1"/>
    <s v="Gaming Console"/>
    <s v="Electronics"/>
    <x v="1"/>
    <s v="Hyderabad"/>
    <s v="Retail"/>
    <s v="Direct"/>
    <s v="Sunita Lal"/>
    <n v="36756.120000000003"/>
    <n v="5"/>
    <n v="183780.6"/>
    <n v="18"/>
    <n v="150700.09"/>
    <n v="12.5"/>
    <n v="18837.509999999998"/>
    <s v="Fulfilled"/>
  </r>
  <r>
    <s v="ORD-2026-0197"/>
    <s v="2026-11-10"/>
    <x v="0"/>
    <s v="Q4"/>
    <s v="Cotton T-Shirt"/>
    <s v="Apparel"/>
    <x v="3"/>
    <s v="Pune"/>
    <s v="Enterprise"/>
    <s v="Direct"/>
    <s v="Aisha Khan"/>
    <n v="4551.5200000000004"/>
    <n v="20"/>
    <n v="91030.399999999994"/>
    <n v="8.5"/>
    <n v="83292.820000000007"/>
    <n v="61.6"/>
    <n v="51308.38"/>
    <s v="Fulfilled"/>
  </r>
  <r>
    <s v="ORD-2026-0198"/>
    <s v="2026-01-11"/>
    <x v="7"/>
    <s v="Q1"/>
    <s v="Resistance Bands"/>
    <s v="Sports"/>
    <x v="0"/>
    <s v="Patna"/>
    <s v="Retail"/>
    <s v="Partner"/>
    <s v="Aisha Khan"/>
    <n v="1570.97"/>
    <n v="25"/>
    <n v="39274.25"/>
    <n v="18.5"/>
    <n v="32008.51"/>
    <n v="32.299999999999997"/>
    <n v="10338.75"/>
    <s v="Fulfilled"/>
  </r>
  <r>
    <s v="ORD-2026-0199"/>
    <s v="2026-06-18"/>
    <x v="10"/>
    <s v="Q2"/>
    <s v="Gaming Console"/>
    <s v="Electronics"/>
    <x v="4"/>
    <s v="Chandigarh"/>
    <s v="Wholesale"/>
    <s v="Partner"/>
    <s v="Neha Patel"/>
    <n v="44960.12"/>
    <n v="10"/>
    <n v="449601.2"/>
    <n v="8.1999999999999993"/>
    <n v="412733.9"/>
    <n v="28.5"/>
    <n v="117629.16"/>
    <s v="Fulfilled"/>
  </r>
  <r>
    <s v="ORD-2026-0200"/>
    <s v="2026-06-25"/>
    <x v="10"/>
    <s v="Q2"/>
    <s v="Lip Gloss Set"/>
    <s v="Cosmetics"/>
    <x v="2"/>
    <s v="Nagpur"/>
    <s v="SMB"/>
    <s v="Partner"/>
    <s v="Vikram Tiwari"/>
    <n v="2184.79"/>
    <n v="8"/>
    <n v="17478.32"/>
    <n v="18.899999999999999"/>
    <n v="14174.92"/>
    <n v="49.2"/>
    <n v="6974.06"/>
    <s v="Fulfilled"/>
  </r>
  <r>
    <s v="ORD-2026-0201"/>
    <s v="2026-10-31"/>
    <x v="2"/>
    <s v="Q4"/>
    <s v="Kurti Set"/>
    <s v="Apparel"/>
    <x v="2"/>
    <s v="Nagpur"/>
    <s v="Enterprise"/>
    <s v="Direct"/>
    <s v="Rohit Das"/>
    <n v="4073.17"/>
    <n v="7"/>
    <n v="28512.19"/>
    <n v="24.8"/>
    <n v="21441.17"/>
    <n v="38"/>
    <n v="8147.64"/>
    <s v="Cancelled"/>
  </r>
  <r>
    <s v="ORD-2026-0202"/>
    <s v="2026-05-03"/>
    <x v="11"/>
    <s v="Q2"/>
    <s v="Sports Shorts"/>
    <s v="Apparel"/>
    <x v="1"/>
    <s v="Hyderabad"/>
    <s v="Online"/>
    <s v="B2B"/>
    <s v="Neha Patel"/>
    <n v="4105.82"/>
    <n v="12"/>
    <n v="49269.84"/>
    <n v="21.8"/>
    <n v="38529.01"/>
    <n v="45.8"/>
    <n v="17646.29"/>
    <s v="Fulfilled"/>
  </r>
  <r>
    <s v="ORD-2026-0203"/>
    <s v="2026-07-04"/>
    <x v="5"/>
    <s v="Q3"/>
    <s v="Olive Oil 1L"/>
    <s v="Food"/>
    <x v="0"/>
    <s v="Bhubaneswar"/>
    <s v="SMB"/>
    <s v="Partner"/>
    <s v="Rohit Das"/>
    <n v="210.66"/>
    <n v="19"/>
    <n v="4002.54"/>
    <n v="23.4"/>
    <n v="3065.95"/>
    <n v="25.7"/>
    <n v="787.95"/>
    <s v="Pending"/>
  </r>
  <r>
    <s v="ORD-2026-0204"/>
    <s v="2026-04-08"/>
    <x v="4"/>
    <s v="Q2"/>
    <s v="Hair Oil 200ml"/>
    <s v="Cosmetics"/>
    <x v="4"/>
    <s v="Jaipur"/>
    <s v="Wholesale"/>
    <s v="Direct"/>
    <s v="Vikram Tiwari"/>
    <n v="1962.01"/>
    <n v="25"/>
    <n v="49050.25"/>
    <n v="17.8"/>
    <n v="40319.31"/>
    <n v="65.8"/>
    <n v="26530.11"/>
    <s v="Fulfilled"/>
  </r>
  <r>
    <s v="ORD-2026-0205"/>
    <s v="2026-07-28"/>
    <x v="5"/>
    <s v="Q3"/>
    <s v="Office Chair"/>
    <s v="Furniture"/>
    <x v="0"/>
    <s v="Patna"/>
    <s v="Retail"/>
    <s v="Partner"/>
    <s v="Amit Joshi"/>
    <n v="8584.51"/>
    <n v="14"/>
    <n v="120183.14"/>
    <n v="7.9"/>
    <n v="110688.67"/>
    <n v="40.299999999999997"/>
    <n v="44607.53"/>
    <s v="Fulfilled"/>
  </r>
  <r>
    <s v="ORD-2026-0206"/>
    <s v="2026-04-05"/>
    <x v="4"/>
    <s v="Q2"/>
    <s v="Coffee Table"/>
    <s v="Furniture"/>
    <x v="4"/>
    <s v="Lucknow"/>
    <s v="Enterprise"/>
    <s v="Online"/>
    <s v="Vikram Tiwari"/>
    <n v="8678.41"/>
    <n v="8"/>
    <n v="69427.28"/>
    <n v="13.9"/>
    <n v="59776.89"/>
    <n v="41.9"/>
    <n v="25046.52"/>
    <s v="Returned"/>
  </r>
  <r>
    <s v="ORD-2026-0207"/>
    <s v="2026-10-03"/>
    <x v="2"/>
    <s v="Q4"/>
    <s v="Sofa 3-seater"/>
    <s v="Furniture"/>
    <x v="4"/>
    <s v="Chandigarh"/>
    <s v="Enterprise"/>
    <s v="B2B"/>
    <s v="Vikram Tiwari"/>
    <n v="33412.5"/>
    <n v="16"/>
    <n v="534600"/>
    <n v="12.5"/>
    <n v="467775"/>
    <n v="32.6"/>
    <n v="152494.65"/>
    <s v="Fulfilled"/>
  </r>
  <r>
    <s v="ORD-2026-0208"/>
    <s v="2026-08-04"/>
    <x v="8"/>
    <s v="Q3"/>
    <s v="Kurti Set"/>
    <s v="Apparel"/>
    <x v="3"/>
    <s v="Mumbai"/>
    <s v="Online"/>
    <s v="Partner"/>
    <s v="Rahul Mehta"/>
    <n v="1585.81"/>
    <n v="9"/>
    <n v="14272.29"/>
    <n v="12.3"/>
    <n v="12516.8"/>
    <n v="45.9"/>
    <n v="5745.21"/>
    <s v="Returned"/>
  </r>
  <r>
    <s v="ORD-2026-0209"/>
    <s v="2026-12-15"/>
    <x v="1"/>
    <s v="Q4"/>
    <s v="Wireless Earbuds"/>
    <s v="Electronics"/>
    <x v="0"/>
    <s v="Bhubaneswar"/>
    <s v="Online"/>
    <s v="Direct"/>
    <s v="Deepak Rao"/>
    <n v="66965.33"/>
    <n v="4"/>
    <n v="267861.32"/>
    <n v="10.1"/>
    <n v="240807.33"/>
    <n v="21.8"/>
    <n v="52496"/>
    <s v="Fulfilled"/>
  </r>
  <r>
    <s v="ORD-2026-0210"/>
    <s v="2026-07-03"/>
    <x v="5"/>
    <s v="Q3"/>
    <s v="Kurti Set"/>
    <s v="Apparel"/>
    <x v="4"/>
    <s v="Chandigarh"/>
    <s v="Enterprise"/>
    <s v="Direct"/>
    <s v="Deepak Rao"/>
    <n v="2160.7199999999998"/>
    <n v="21"/>
    <n v="45375.12"/>
    <n v="10"/>
    <n v="40837.61"/>
    <n v="46.1"/>
    <n v="18826.14"/>
    <s v="Pending"/>
  </r>
  <r>
    <s v="ORD-2026-0211"/>
    <s v="2026-04-10"/>
    <x v="4"/>
    <s v="Q2"/>
    <s v="Eye Shadow Palette"/>
    <s v="Cosmetics"/>
    <x v="4"/>
    <s v="Chandigarh"/>
    <s v="Wholesale"/>
    <s v="Direct"/>
    <s v="Amit Joshi"/>
    <n v="2193.5"/>
    <n v="17"/>
    <n v="37289.5"/>
    <n v="13.5"/>
    <n v="32255.42"/>
    <n v="65.8"/>
    <n v="21224.07"/>
    <s v="Fulfilled"/>
  </r>
  <r>
    <s v="ORD-2026-0212"/>
    <s v="2026-07-19"/>
    <x v="5"/>
    <s v="Q3"/>
    <s v="Office Chair"/>
    <s v="Furniture"/>
    <x v="4"/>
    <s v="Delhi"/>
    <s v="Enterprise"/>
    <s v="B2B"/>
    <s v="Amit Joshi"/>
    <n v="28120.48"/>
    <n v="8"/>
    <n v="224963.84"/>
    <n v="11.2"/>
    <n v="199767.89"/>
    <n v="50.8"/>
    <n v="101482.09"/>
    <s v="Fulfilled"/>
  </r>
  <r>
    <s v="ORD-2026-0213"/>
    <s v="2026-08-09"/>
    <x v="8"/>
    <s v="Q3"/>
    <s v="Bed Frame Queen"/>
    <s v="Furniture"/>
    <x v="0"/>
    <s v="Kolkata"/>
    <s v="Enterprise"/>
    <s v="B2B"/>
    <s v="Sunita Lal"/>
    <n v="40969.89"/>
    <n v="15"/>
    <n v="614548.35"/>
    <n v="23.5"/>
    <n v="470129.49"/>
    <n v="42.3"/>
    <n v="198864.77"/>
    <s v="Fulfilled"/>
  </r>
  <r>
    <s v="ORD-2026-0214"/>
    <s v="2026-12-28"/>
    <x v="1"/>
    <s v="Q4"/>
    <s v="Football Pro"/>
    <s v="Sports"/>
    <x v="4"/>
    <s v="Jaipur"/>
    <s v="Enterprise"/>
    <s v="Direct"/>
    <s v="Priya Sharma"/>
    <n v="1944.81"/>
    <n v="10"/>
    <n v="19448.099999999999"/>
    <n v="4.8"/>
    <n v="18514.59"/>
    <n v="44.9"/>
    <n v="8313.0499999999993"/>
    <s v="Fulfilled"/>
  </r>
  <r>
    <s v="ORD-2026-0215"/>
    <s v="2026-06-18"/>
    <x v="10"/>
    <s v="Q2"/>
    <s v="Book Shelf 5-tier"/>
    <s v="Furniture"/>
    <x v="2"/>
    <s v="Raipur"/>
    <s v="Enterprise"/>
    <s v="Partner"/>
    <s v="Vikram Tiwari"/>
    <n v="13016.82"/>
    <n v="15"/>
    <n v="195252.3"/>
    <n v="18.600000000000001"/>
    <n v="158935.37"/>
    <n v="36"/>
    <n v="57216.73"/>
    <s v="Fulfilled"/>
  </r>
  <r>
    <s v="ORD-2026-0216"/>
    <s v="2026-07-19"/>
    <x v="5"/>
    <s v="Q3"/>
    <s v="Badminton Set"/>
    <s v="Sports"/>
    <x v="1"/>
    <s v="Chennai"/>
    <s v="Retail"/>
    <s v="Online"/>
    <s v="Neha Patel"/>
    <n v="4288.63"/>
    <n v="25"/>
    <n v="107215.75"/>
    <n v="5.8"/>
    <n v="100997.24"/>
    <n v="39.299999999999997"/>
    <n v="39691.919999999998"/>
    <s v="Returned"/>
  </r>
  <r>
    <s v="ORD-2026-0217"/>
    <s v="2026-04-19"/>
    <x v="4"/>
    <s v="Q2"/>
    <s v="Office Chair"/>
    <s v="Furniture"/>
    <x v="4"/>
    <s v="Jaipur"/>
    <s v="SMB"/>
    <s v="Partner"/>
    <s v="Aisha Khan"/>
    <n v="26247.79"/>
    <n v="3"/>
    <n v="78743.37"/>
    <n v="12.7"/>
    <n v="68742.960000000006"/>
    <n v="30.9"/>
    <n v="21241.57"/>
    <s v="Pending"/>
  </r>
  <r>
    <s v="ORD-2026-0218"/>
    <s v="2026-04-22"/>
    <x v="4"/>
    <s v="Q2"/>
    <s v="Protein Powder"/>
    <s v="Food"/>
    <x v="0"/>
    <s v="Kolkata"/>
    <s v="Enterprise"/>
    <s v="B2B"/>
    <s v="Aisha Khan"/>
    <n v="109.57"/>
    <n v="24"/>
    <n v="2629.68"/>
    <n v="7.7"/>
    <n v="2427.19"/>
    <n v="39.700000000000003"/>
    <n v="963.59"/>
    <s v="Fulfilled"/>
  </r>
  <r>
    <s v="ORD-2026-0219"/>
    <s v="2026-11-27"/>
    <x v="0"/>
    <s v="Q4"/>
    <s v="Wardrobe 3-door"/>
    <s v="Furniture"/>
    <x v="2"/>
    <s v="Nagpur"/>
    <s v="Enterprise"/>
    <s v="Partner"/>
    <s v="Sunita Lal"/>
    <n v="32567.17"/>
    <n v="10"/>
    <n v="325671.7"/>
    <n v="23.8"/>
    <n v="248161.84"/>
    <n v="34.299999999999997"/>
    <n v="85119.51"/>
    <s v="Fulfilled"/>
  </r>
  <r>
    <s v="ORD-2026-0220"/>
    <s v="2026-07-11"/>
    <x v="5"/>
    <s v="Q3"/>
    <s v="Book Shelf 5-tier"/>
    <s v="Furniture"/>
    <x v="0"/>
    <s v="Patna"/>
    <s v="Enterprise"/>
    <s v="Online"/>
    <s v="Rahul Mehta"/>
    <n v="6316.67"/>
    <n v="6"/>
    <n v="37900.019999999997"/>
    <n v="23.7"/>
    <n v="28917.72"/>
    <n v="49.3"/>
    <n v="14256.44"/>
    <s v="Pending"/>
  </r>
  <r>
    <s v="ORD-2026-0221"/>
    <s v="2026-02-13"/>
    <x v="6"/>
    <s v="Q1"/>
    <s v="Study Table"/>
    <s v="Furniture"/>
    <x v="0"/>
    <s v="Kolkata"/>
    <s v="Wholesale"/>
    <s v="B2B"/>
    <s v="Sunita Lal"/>
    <n v="34484.199999999997"/>
    <n v="5"/>
    <n v="172421"/>
    <n v="20.9"/>
    <n v="136385.01"/>
    <n v="45.5"/>
    <n v="62055.18"/>
    <s v="Fulfilled"/>
  </r>
  <r>
    <s v="ORD-2026-0222"/>
    <s v="2026-08-07"/>
    <x v="8"/>
    <s v="Q3"/>
    <s v="Formal Shirt"/>
    <s v="Apparel"/>
    <x v="3"/>
    <s v="Surat"/>
    <s v="Retail"/>
    <s v="B2B"/>
    <s v="Rohit Das"/>
    <n v="3104.55"/>
    <n v="7"/>
    <n v="21731.85"/>
    <n v="16.399999999999999"/>
    <n v="18167.830000000002"/>
    <n v="48"/>
    <n v="8720.56"/>
    <s v="Fulfilled"/>
  </r>
  <r>
    <s v="ORD-2026-0223"/>
    <s v="2026-10-18"/>
    <x v="2"/>
    <s v="Q4"/>
    <s v="Football Pro"/>
    <s v="Sports"/>
    <x v="3"/>
    <s v="Ahmedabad"/>
    <s v="Retail"/>
    <s v="Partner"/>
    <s v="Amit Joshi"/>
    <n v="6943.28"/>
    <n v="3"/>
    <n v="20829.84"/>
    <n v="13.7"/>
    <n v="17976.150000000001"/>
    <n v="33.200000000000003"/>
    <n v="5968.08"/>
    <s v="Pending"/>
  </r>
  <r>
    <s v="ORD-2026-0224"/>
    <s v="2026-11-25"/>
    <x v="0"/>
    <s v="Q4"/>
    <s v="Eye Shadow Palette"/>
    <s v="Cosmetics"/>
    <x v="3"/>
    <s v="Mumbai"/>
    <s v="Retail"/>
    <s v="Online"/>
    <s v="Amit Joshi"/>
    <n v="1298.9000000000001"/>
    <n v="13"/>
    <n v="16885.7"/>
    <n v="3.4"/>
    <n v="16311.59"/>
    <n v="69.2"/>
    <n v="11287.62"/>
    <s v="Fulfilled"/>
  </r>
  <r>
    <s v="ORD-2026-0225"/>
    <s v="2026-03-24"/>
    <x v="9"/>
    <s v="Q1"/>
    <s v="Gaming Console"/>
    <s v="Electronics"/>
    <x v="2"/>
    <s v="Indore"/>
    <s v="Online"/>
    <s v="Direct"/>
    <s v="Neha Patel"/>
    <n v="31934.04"/>
    <n v="24"/>
    <n v="766416.96"/>
    <n v="0.8"/>
    <n v="760285.62"/>
    <n v="30.6"/>
    <n v="232647.4"/>
    <s v="Pending"/>
  </r>
  <r>
    <s v="ORD-2026-0226"/>
    <s v="2026-03-18"/>
    <x v="9"/>
    <s v="Q1"/>
    <s v="Winter Jacket"/>
    <s v="Apparel"/>
    <x v="2"/>
    <s v="Bhopal"/>
    <s v="Retail"/>
    <s v="B2B"/>
    <s v="Aisha Khan"/>
    <n v="3954.29"/>
    <n v="16"/>
    <n v="63268.639999999999"/>
    <n v="21.6"/>
    <n v="49602.61"/>
    <n v="61.7"/>
    <n v="30604.81"/>
    <s v="Fulfilled"/>
  </r>
  <r>
    <s v="ORD-2026-0227"/>
    <s v="2026-12-21"/>
    <x v="1"/>
    <s v="Q4"/>
    <s v="Bed Frame Queen"/>
    <s v="Furniture"/>
    <x v="3"/>
    <s v="Mumbai"/>
    <s v="Online"/>
    <s v="B2B"/>
    <s v="Aisha Khan"/>
    <n v="42368.84"/>
    <n v="18"/>
    <n v="762639.12"/>
    <n v="7.8"/>
    <n v="703153.27"/>
    <n v="49.8"/>
    <n v="350170.33"/>
    <s v="Fulfilled"/>
  </r>
  <r>
    <s v="ORD-2026-0228"/>
    <s v="2026-11-03"/>
    <x v="0"/>
    <s v="Q4"/>
    <s v="Hair Oil 200ml"/>
    <s v="Cosmetics"/>
    <x v="3"/>
    <s v="Surat"/>
    <s v="SMB"/>
    <s v="Direct"/>
    <s v="Sunita Lal"/>
    <n v="3900.03"/>
    <n v="3"/>
    <n v="11700.09"/>
    <n v="12"/>
    <n v="10296.08"/>
    <n v="65.400000000000006"/>
    <n v="6733.64"/>
    <s v="Fulfilled"/>
  </r>
  <r>
    <s v="ORD-2026-0229"/>
    <s v="2026-08-17"/>
    <x v="8"/>
    <s v="Q3"/>
    <s v="Sports Shorts"/>
    <s v="Apparel"/>
    <x v="1"/>
    <s v="Bengaluru"/>
    <s v="Enterprise"/>
    <s v="B2B"/>
    <s v="Neha Patel"/>
    <n v="4828.96"/>
    <n v="23"/>
    <n v="111066.08"/>
    <n v="14.2"/>
    <n v="95294.7"/>
    <n v="42.3"/>
    <n v="40309.660000000003"/>
    <s v="Fulfilled"/>
  </r>
  <r>
    <s v="ORD-2026-0230"/>
    <s v="2026-05-15"/>
    <x v="11"/>
    <s v="Q2"/>
    <s v="Nut Mix 500g"/>
    <s v="Food"/>
    <x v="0"/>
    <s v="Patna"/>
    <s v="Wholesale"/>
    <s v="Partner"/>
    <s v="Priya Sharma"/>
    <n v="901.2"/>
    <n v="5"/>
    <n v="4506"/>
    <n v="18.600000000000001"/>
    <n v="3667.88"/>
    <n v="31.1"/>
    <n v="1140.71"/>
    <s v="Pending"/>
  </r>
  <r>
    <s v="ORD-2026-0231"/>
    <s v="2026-10-23"/>
    <x v="2"/>
    <s v="Q4"/>
    <s v="Cycling Helmet"/>
    <s v="Sports"/>
    <x v="0"/>
    <s v="Guwahati"/>
    <s v="Retail"/>
    <s v="Online"/>
    <s v="Vikram Tiwari"/>
    <n v="8453.99"/>
    <n v="21"/>
    <n v="177533.79"/>
    <n v="5.8"/>
    <n v="167236.82999999999"/>
    <n v="28.7"/>
    <n v="47996.97"/>
    <s v="Fulfilled"/>
  </r>
  <r>
    <s v="ORD-2026-0232"/>
    <s v="2026-04-09"/>
    <x v="4"/>
    <s v="Q2"/>
    <s v="Olive Oil 1L"/>
    <s v="Food"/>
    <x v="1"/>
    <s v="Hyderabad"/>
    <s v="Enterprise"/>
    <s v="Direct"/>
    <s v="Sunita Lal"/>
    <n v="874.4"/>
    <n v="15"/>
    <n v="13116"/>
    <n v="2.1"/>
    <n v="12840.56"/>
    <n v="21.7"/>
    <n v="2786.4"/>
    <s v="Cancelled"/>
  </r>
  <r>
    <s v="ORD-2026-0233"/>
    <s v="2026-04-06"/>
    <x v="4"/>
    <s v="Q2"/>
    <s v="Winter Jacket"/>
    <s v="Apparel"/>
    <x v="4"/>
    <s v="Jaipur"/>
    <s v="SMB"/>
    <s v="B2B"/>
    <s v="Deepak Rao"/>
    <n v="4587.9799999999996"/>
    <n v="9"/>
    <n v="41291.82"/>
    <n v="1.4"/>
    <n v="40713.730000000003"/>
    <n v="50.2"/>
    <n v="20438.29"/>
    <s v="Cancelled"/>
  </r>
  <r>
    <s v="ORD-2026-0234"/>
    <s v="2026-11-18"/>
    <x v="0"/>
    <s v="Q4"/>
    <s v="Sports Shorts"/>
    <s v="Apparel"/>
    <x v="4"/>
    <s v="Jaipur"/>
    <s v="Online"/>
    <s v="B2B"/>
    <s v="Neha Patel"/>
    <n v="454.22"/>
    <n v="2"/>
    <n v="908.44"/>
    <n v="17.5"/>
    <n v="749.46"/>
    <n v="42.4"/>
    <n v="317.77"/>
    <s v="Fulfilled"/>
  </r>
  <r>
    <s v="ORD-2026-0235"/>
    <s v="2026-01-23"/>
    <x v="7"/>
    <s v="Q1"/>
    <s v="Sunscreen SPF50"/>
    <s v="Cosmetics"/>
    <x v="2"/>
    <s v="Bhopal"/>
    <s v="Wholesale"/>
    <s v="Direct"/>
    <s v="Rohit Das"/>
    <n v="2039.39"/>
    <n v="3"/>
    <n v="6118.17"/>
    <n v="1.8"/>
    <n v="6008.04"/>
    <n v="48.9"/>
    <n v="2937.93"/>
    <s v="Fulfilled"/>
  </r>
  <r>
    <s v="ORD-2026-0236"/>
    <s v="2026-09-13"/>
    <x v="3"/>
    <s v="Q3"/>
    <s v="Yoga Mat"/>
    <s v="Sports"/>
    <x v="1"/>
    <s v="Chennai"/>
    <s v="Wholesale"/>
    <s v="B2B"/>
    <s v="Sunita Lal"/>
    <n v="819.5"/>
    <n v="12"/>
    <n v="9834"/>
    <n v="24.6"/>
    <n v="7414.84"/>
    <n v="42.6"/>
    <n v="3158.72"/>
    <s v="Fulfilled"/>
  </r>
  <r>
    <s v="ORD-2026-0237"/>
    <s v="2026-06-29"/>
    <x v="10"/>
    <s v="Q2"/>
    <s v="Sports Shorts"/>
    <s v="Apparel"/>
    <x v="2"/>
    <s v="Bhopal"/>
    <s v="Wholesale"/>
    <s v="Direct"/>
    <s v="Sunita Lal"/>
    <n v="3634.66"/>
    <n v="21"/>
    <n v="76327.86"/>
    <n v="4.3"/>
    <n v="73045.759999999995"/>
    <n v="60.2"/>
    <n v="43973.55"/>
    <s v="Pending"/>
  </r>
  <r>
    <s v="ORD-2026-0238"/>
    <s v="2026-08-16"/>
    <x v="8"/>
    <s v="Q3"/>
    <s v="Gaming Console"/>
    <s v="Electronics"/>
    <x v="2"/>
    <s v="Nagpur"/>
    <s v="Retail"/>
    <s v="Direct"/>
    <s v="Priya Sharma"/>
    <n v="54126.43"/>
    <n v="9"/>
    <n v="487137.87"/>
    <n v="7.8"/>
    <n v="449141.12"/>
    <n v="27.6"/>
    <n v="123962.95"/>
    <s v="Fulfilled"/>
  </r>
  <r>
    <s v="ORD-2026-0239"/>
    <s v="2026-03-17"/>
    <x v="9"/>
    <s v="Q1"/>
    <s v="Smart Watch S3"/>
    <s v="Electronics"/>
    <x v="1"/>
    <s v="Bengaluru"/>
    <s v="Online"/>
    <s v="Online"/>
    <s v="Rohit Das"/>
    <n v="90440.46"/>
    <n v="2"/>
    <n v="180880.92"/>
    <n v="9.6"/>
    <n v="163516.35"/>
    <n v="25.9"/>
    <n v="42350.73"/>
    <s v="Fulfilled"/>
  </r>
  <r>
    <s v="ORD-2026-0240"/>
    <s v="2026-12-11"/>
    <x v="1"/>
    <s v="Q4"/>
    <s v="Badminton Set"/>
    <s v="Sports"/>
    <x v="1"/>
    <s v="Bengaluru"/>
    <s v="Retail"/>
    <s v="Online"/>
    <s v="Sunita Lal"/>
    <n v="6440.87"/>
    <n v="18"/>
    <n v="115935.66"/>
    <n v="24.6"/>
    <n v="87415.49"/>
    <n v="25.4"/>
    <n v="22203.53"/>
    <s v="Fulfilled"/>
  </r>
  <r>
    <s v="ORD-2026-0241"/>
    <s v="2026-05-09"/>
    <x v="11"/>
    <s v="Q2"/>
    <s v="Olive Oil 1L"/>
    <s v="Food"/>
    <x v="3"/>
    <s v="Mumbai"/>
    <s v="Wholesale"/>
    <s v="Direct"/>
    <s v="Rahul Mehta"/>
    <n v="682.8"/>
    <n v="5"/>
    <n v="3414"/>
    <n v="10.6"/>
    <n v="3052.12"/>
    <n v="41"/>
    <n v="1251.3699999999999"/>
    <s v="Pending"/>
  </r>
  <r>
    <s v="ORD-2026-0242"/>
    <s v="2026-06-22"/>
    <x v="10"/>
    <s v="Q2"/>
    <s v="Quinoa 1kg"/>
    <s v="Food"/>
    <x v="3"/>
    <s v="Pune"/>
    <s v="Wholesale"/>
    <s v="B2B"/>
    <s v="Rahul Mehta"/>
    <n v="1021.33"/>
    <n v="25"/>
    <n v="25533.25"/>
    <n v="5.2"/>
    <n v="24205.52"/>
    <n v="22.2"/>
    <n v="5373.63"/>
    <s v="Pending"/>
  </r>
  <r>
    <s v="ORD-2026-0243"/>
    <s v="2026-01-25"/>
    <x v="7"/>
    <s v="Q1"/>
    <s v="Study Table"/>
    <s v="Furniture"/>
    <x v="1"/>
    <s v="Hyderabad"/>
    <s v="SMB"/>
    <s v="Partner"/>
    <s v="Neha Patel"/>
    <n v="11157.97"/>
    <n v="19"/>
    <n v="212001.43"/>
    <n v="8.1999999999999993"/>
    <n v="194617.31"/>
    <n v="31.3"/>
    <n v="60915.22"/>
    <s v="Fulfilled"/>
  </r>
  <r>
    <s v="ORD-2026-0244"/>
    <s v="2026-08-30"/>
    <x v="8"/>
    <s v="Q3"/>
    <s v="Nut Mix 500g"/>
    <s v="Food"/>
    <x v="1"/>
    <s v="Kochi"/>
    <s v="Wholesale"/>
    <s v="Direct"/>
    <s v="Aisha Khan"/>
    <n v="1486.52"/>
    <n v="9"/>
    <n v="13378.68"/>
    <n v="19.8"/>
    <n v="10729.7"/>
    <n v="23.9"/>
    <n v="2564.4"/>
    <s v="Fulfilled"/>
  </r>
  <r>
    <s v="ORD-2026-0245"/>
    <s v="2026-10-30"/>
    <x v="2"/>
    <s v="Q4"/>
    <s v="Body Lotion"/>
    <s v="Cosmetics"/>
    <x v="1"/>
    <s v="Kochi"/>
    <s v="Retail"/>
    <s v="Online"/>
    <s v="Vikram Tiwari"/>
    <n v="3601.67"/>
    <n v="11"/>
    <n v="39618.370000000003"/>
    <n v="18.8"/>
    <n v="32170.12"/>
    <n v="58.8"/>
    <n v="18916.03"/>
    <s v="Pending"/>
  </r>
  <r>
    <s v="ORD-2026-0246"/>
    <s v="2026-02-12"/>
    <x v="6"/>
    <s v="Q1"/>
    <s v="Smart Watch S3"/>
    <s v="Electronics"/>
    <x v="2"/>
    <s v="Nagpur"/>
    <s v="Enterprise"/>
    <s v="B2B"/>
    <s v="Priya Sharma"/>
    <n v="82082.41"/>
    <n v="12"/>
    <n v="984988.92"/>
    <n v="3"/>
    <n v="955439.25"/>
    <n v="14.9"/>
    <n v="142360.45000000001"/>
    <s v="Pending"/>
  </r>
  <r>
    <s v="ORD-2026-0247"/>
    <s v="2026-02-24"/>
    <x v="6"/>
    <s v="Q1"/>
    <s v="Body Lotion"/>
    <s v="Cosmetics"/>
    <x v="0"/>
    <s v="Guwahati"/>
    <s v="Retail"/>
    <s v="Direct"/>
    <s v="Priya Sharma"/>
    <n v="1200.1500000000001"/>
    <n v="4"/>
    <n v="4800.6000000000004"/>
    <n v="22.4"/>
    <n v="3725.27"/>
    <n v="64.900000000000006"/>
    <n v="2417.6999999999998"/>
    <s v="Fulfilled"/>
  </r>
  <r>
    <s v="ORD-2026-0248"/>
    <s v="2026-05-16"/>
    <x v="11"/>
    <s v="Q2"/>
    <s v="Resistance Bands"/>
    <s v="Sports"/>
    <x v="4"/>
    <s v="Lucknow"/>
    <s v="Online"/>
    <s v="Online"/>
    <s v="Rahul Mehta"/>
    <n v="8618.16"/>
    <n v="24"/>
    <n v="206835.84"/>
    <n v="23"/>
    <n v="159263.6"/>
    <n v="25"/>
    <n v="39815.9"/>
    <s v="Fulfilled"/>
  </r>
  <r>
    <s v="ORD-2026-0249"/>
    <s v="2026-10-02"/>
    <x v="2"/>
    <s v="Q4"/>
    <s v="Sunscreen SPF50"/>
    <s v="Cosmetics"/>
    <x v="0"/>
    <s v="Patna"/>
    <s v="Wholesale"/>
    <s v="Online"/>
    <s v="Rohit Das"/>
    <n v="2055.2800000000002"/>
    <n v="17"/>
    <n v="34939.760000000002"/>
    <n v="6.9"/>
    <n v="32528.92"/>
    <n v="66.599999999999994"/>
    <n v="21664.26"/>
    <s v="Fulfilled"/>
  </r>
  <r>
    <s v="ORD-2026-0250"/>
    <s v="2026-05-15"/>
    <x v="11"/>
    <s v="Q2"/>
    <s v="Tablet Ultra"/>
    <s v="Electronics"/>
    <x v="4"/>
    <s v="Chandigarh"/>
    <s v="Retail"/>
    <s v="Online"/>
    <s v="Aisha Khan"/>
    <n v="57628"/>
    <n v="16"/>
    <n v="922048"/>
    <n v="20.5"/>
    <n v="733028.16"/>
    <n v="12.5"/>
    <n v="91628.52"/>
    <s v="Fulfilled"/>
  </r>
  <r>
    <s v="ORD-2026-0251"/>
    <s v="2026-01-17"/>
    <x v="7"/>
    <s v="Q1"/>
    <s v="Organic Honey"/>
    <s v="Food"/>
    <x v="2"/>
    <s v="Nagpur"/>
    <s v="SMB"/>
    <s v="B2B"/>
    <s v="Deepak Rao"/>
    <n v="186.83"/>
    <n v="17"/>
    <n v="3176.11"/>
    <n v="16.899999999999999"/>
    <n v="2639.35"/>
    <n v="18.5"/>
    <n v="488.28"/>
    <s v="Fulfilled"/>
  </r>
  <r>
    <s v="ORD-2026-0252"/>
    <s v="2026-04-14"/>
    <x v="4"/>
    <s v="Q2"/>
    <s v="Winter Jacket"/>
    <s v="Apparel"/>
    <x v="4"/>
    <s v="Delhi"/>
    <s v="Enterprise"/>
    <s v="B2B"/>
    <s v="Neha Patel"/>
    <n v="496.12"/>
    <n v="21"/>
    <n v="10418.52"/>
    <n v="13.2"/>
    <n v="9043.2800000000007"/>
    <n v="45.1"/>
    <n v="4078.52"/>
    <s v="Fulfilled"/>
  </r>
  <r>
    <s v="ORD-2026-0253"/>
    <s v="2026-04-29"/>
    <x v="4"/>
    <s v="Q2"/>
    <s v="Gaming Console"/>
    <s v="Electronics"/>
    <x v="0"/>
    <s v="Patna"/>
    <s v="Enterprise"/>
    <s v="Partner"/>
    <s v="Aisha Khan"/>
    <n v="15106.41"/>
    <n v="19"/>
    <n v="287021.78999999998"/>
    <n v="11.4"/>
    <n v="254301.31"/>
    <n v="21.5"/>
    <n v="54674.78"/>
    <s v="Fulfilled"/>
  </r>
  <r>
    <s v="ORD-2026-0254"/>
    <s v="2026-01-23"/>
    <x v="7"/>
    <s v="Q1"/>
    <s v="Gaming Console"/>
    <s v="Electronics"/>
    <x v="4"/>
    <s v="Delhi"/>
    <s v="Retail"/>
    <s v="Direct"/>
    <s v="Deepak Rao"/>
    <n v="94524.95"/>
    <n v="1"/>
    <n v="94524.95"/>
    <n v="11.1"/>
    <n v="84032.68"/>
    <n v="23.1"/>
    <n v="19411.55"/>
    <s v="Returned"/>
  </r>
  <r>
    <s v="ORD-2026-0255"/>
    <s v="2026-03-05"/>
    <x v="9"/>
    <s v="Q1"/>
    <s v="Skipping Rope"/>
    <s v="Sports"/>
    <x v="1"/>
    <s v="Kochi"/>
    <s v="Wholesale"/>
    <s v="Partner"/>
    <s v="Neha Patel"/>
    <n v="4623.9799999999996"/>
    <n v="4"/>
    <n v="18495.919999999998"/>
    <n v="11.3"/>
    <n v="16405.88"/>
    <n v="22.3"/>
    <n v="3658.51"/>
    <s v="Cancelled"/>
  </r>
  <r>
    <s v="ORD-2026-0256"/>
    <s v="2026-07-11"/>
    <x v="5"/>
    <s v="Q3"/>
    <s v="Dumbbells 5kg"/>
    <s v="Sports"/>
    <x v="0"/>
    <s v="Bhubaneswar"/>
    <s v="Retail"/>
    <s v="Partner"/>
    <s v="Rahul Mehta"/>
    <n v="7509.15"/>
    <n v="19"/>
    <n v="142673.85"/>
    <n v="21.8"/>
    <n v="111570.95"/>
    <n v="29.4"/>
    <n v="32801.86"/>
    <s v="Fulfilled"/>
  </r>
  <r>
    <s v="ORD-2026-0257"/>
    <s v="2026-05-18"/>
    <x v="11"/>
    <s v="Q2"/>
    <s v="Cotton T-Shirt"/>
    <s v="Apparel"/>
    <x v="2"/>
    <s v="Nagpur"/>
    <s v="SMB"/>
    <s v="B2B"/>
    <s v="Rohit Das"/>
    <n v="4853.66"/>
    <n v="1"/>
    <n v="4853.66"/>
    <n v="18"/>
    <n v="3980"/>
    <n v="54.6"/>
    <n v="2173.08"/>
    <s v="Fulfilled"/>
  </r>
  <r>
    <s v="ORD-2026-0258"/>
    <s v="2026-04-01"/>
    <x v="4"/>
    <s v="Q2"/>
    <s v="Quinoa 1kg"/>
    <s v="Food"/>
    <x v="1"/>
    <s v="Hyderabad"/>
    <s v="SMB"/>
    <s v="B2B"/>
    <s v="Deepak Rao"/>
    <n v="650.69000000000005"/>
    <n v="13"/>
    <n v="8458.9699999999993"/>
    <n v="19.2"/>
    <n v="6834.85"/>
    <n v="38.6"/>
    <n v="2638.25"/>
    <s v="Fulfilled"/>
  </r>
  <r>
    <s v="ORD-2026-0259"/>
    <s v="2026-08-24"/>
    <x v="8"/>
    <s v="Q3"/>
    <s v="Football Pro"/>
    <s v="Sports"/>
    <x v="3"/>
    <s v="Ahmedabad"/>
    <s v="Enterprise"/>
    <s v="Online"/>
    <s v="Vikram Tiwari"/>
    <n v="6088.66"/>
    <n v="23"/>
    <n v="140039.18"/>
    <n v="14.6"/>
    <n v="119593.46"/>
    <n v="34.700000000000003"/>
    <n v="41498.93"/>
    <s v="Fulfilled"/>
  </r>
  <r>
    <s v="ORD-2026-0260"/>
    <s v="2026-06-13"/>
    <x v="10"/>
    <s v="Q2"/>
    <s v="Sports Shorts"/>
    <s v="Apparel"/>
    <x v="4"/>
    <s v="Jaipur"/>
    <s v="Online"/>
    <s v="Online"/>
    <s v="Aisha Khan"/>
    <n v="3697.38"/>
    <n v="16"/>
    <n v="59158.080000000002"/>
    <n v="24.2"/>
    <n v="44841.82"/>
    <n v="57.6"/>
    <n v="25828.89"/>
    <s v="Fulfilled"/>
  </r>
  <r>
    <s v="ORD-2026-0261"/>
    <s v="2026-07-08"/>
    <x v="5"/>
    <s v="Q3"/>
    <s v="Lip Gloss Set"/>
    <s v="Cosmetics"/>
    <x v="4"/>
    <s v="Chandigarh"/>
    <s v="Online"/>
    <s v="Partner"/>
    <s v="Rohit Das"/>
    <n v="321.39999999999998"/>
    <n v="25"/>
    <n v="8035"/>
    <n v="0.9"/>
    <n v="7962.68"/>
    <n v="61.2"/>
    <n v="4873.16"/>
    <s v="Fulfilled"/>
  </r>
  <r>
    <s v="ORD-2026-0262"/>
    <s v="2026-01-09"/>
    <x v="7"/>
    <s v="Q1"/>
    <s v="Book Shelf 5-tier"/>
    <s v="Furniture"/>
    <x v="0"/>
    <s v="Kolkata"/>
    <s v="Online"/>
    <s v="Partner"/>
    <s v="Kavya Bhat"/>
    <n v="4313.93"/>
    <n v="15"/>
    <n v="64708.95"/>
    <n v="23.7"/>
    <n v="49372.93"/>
    <n v="38.700000000000003"/>
    <n v="19107.32"/>
    <s v="Fulfilled"/>
  </r>
  <r>
    <s v="ORD-2026-0263"/>
    <s v="2026-05-20"/>
    <x v="11"/>
    <s v="Q2"/>
    <s v="DSLR Camera"/>
    <s v="Electronics"/>
    <x v="0"/>
    <s v="Kolkata"/>
    <s v="Enterprise"/>
    <s v="Online"/>
    <s v="Rahul Mehta"/>
    <n v="56386.7"/>
    <n v="9"/>
    <n v="507480.3"/>
    <n v="18.5"/>
    <n v="413596.44"/>
    <n v="30.9"/>
    <n v="127801.3"/>
    <s v="Fulfilled"/>
  </r>
  <r>
    <s v="ORD-2026-0264"/>
    <s v="2026-08-09"/>
    <x v="8"/>
    <s v="Q3"/>
    <s v="Kurti Set"/>
    <s v="Apparel"/>
    <x v="1"/>
    <s v="Bengaluru"/>
    <s v="Wholesale"/>
    <s v="B2B"/>
    <s v="Vikram Tiwari"/>
    <n v="4433.84"/>
    <n v="18"/>
    <n v="79809.119999999995"/>
    <n v="13.2"/>
    <n v="69274.320000000007"/>
    <n v="53.5"/>
    <n v="37061.760000000002"/>
    <s v="Fulfilled"/>
  </r>
  <r>
    <s v="ORD-2026-0265"/>
    <s v="2026-12-03"/>
    <x v="1"/>
    <s v="Q4"/>
    <s v="Nut Mix 500g"/>
    <s v="Food"/>
    <x v="0"/>
    <s v="Guwahati"/>
    <s v="Wholesale"/>
    <s v="Direct"/>
    <s v="Vikram Tiwari"/>
    <n v="506.02"/>
    <n v="5"/>
    <n v="2530.1"/>
    <n v="12.5"/>
    <n v="2213.84"/>
    <n v="34.1"/>
    <n v="754.92"/>
    <s v="Returned"/>
  </r>
  <r>
    <s v="ORD-2026-0266"/>
    <s v="2026-06-23"/>
    <x v="10"/>
    <s v="Q2"/>
    <s v="Laptop Pro X1"/>
    <s v="Electronics"/>
    <x v="0"/>
    <s v="Patna"/>
    <s v="Wholesale"/>
    <s v="B2B"/>
    <s v="Deepak Rao"/>
    <n v="13228.25"/>
    <n v="21"/>
    <n v="277793.25"/>
    <n v="10.199999999999999"/>
    <n v="249458.34"/>
    <n v="27.2"/>
    <n v="67852.67"/>
    <s v="Fulfilled"/>
  </r>
  <r>
    <s v="ORD-2026-0267"/>
    <s v="2026-12-01"/>
    <x v="1"/>
    <s v="Q4"/>
    <s v="Gaming Console"/>
    <s v="Electronics"/>
    <x v="3"/>
    <s v="Ahmedabad"/>
    <s v="Wholesale"/>
    <s v="B2B"/>
    <s v="Neha Patel"/>
    <n v="8499.0400000000009"/>
    <n v="8"/>
    <n v="67992.320000000007"/>
    <n v="10.7"/>
    <n v="60717.14"/>
    <n v="25"/>
    <n v="15179.28"/>
    <s v="Pending"/>
  </r>
  <r>
    <s v="ORD-2026-0268"/>
    <s v="2026-04-21"/>
    <x v="4"/>
    <s v="Q2"/>
    <s v="Lip Gloss Set"/>
    <s v="Cosmetics"/>
    <x v="1"/>
    <s v="Chennai"/>
    <s v="Enterprise"/>
    <s v="Online"/>
    <s v="Deepak Rao"/>
    <n v="925.54"/>
    <n v="14"/>
    <n v="12957.56"/>
    <n v="20.5"/>
    <n v="10301.26"/>
    <n v="60.5"/>
    <n v="6232.26"/>
    <s v="Pending"/>
  </r>
  <r>
    <s v="ORD-2026-0269"/>
    <s v="2026-12-26"/>
    <x v="1"/>
    <s v="Q4"/>
    <s v="Office Chair"/>
    <s v="Furniture"/>
    <x v="4"/>
    <s v="Chandigarh"/>
    <s v="Wholesale"/>
    <s v="B2B"/>
    <s v="Priya Sharma"/>
    <n v="35220.269999999997"/>
    <n v="7"/>
    <n v="246541.89"/>
    <n v="6.3"/>
    <n v="231009.75"/>
    <n v="46.5"/>
    <n v="107419.53"/>
    <s v="Fulfilled"/>
  </r>
  <r>
    <s v="ORD-2026-0270"/>
    <s v="2026-11-21"/>
    <x v="0"/>
    <s v="Q4"/>
    <s v="Cycling Helmet"/>
    <s v="Sports"/>
    <x v="2"/>
    <s v="Nagpur"/>
    <s v="Retail"/>
    <s v="Online"/>
    <s v="Priya Sharma"/>
    <n v="3639.78"/>
    <n v="22"/>
    <n v="80075.16"/>
    <n v="2.6"/>
    <n v="77993.210000000006"/>
    <n v="24"/>
    <n v="18718.37"/>
    <s v="Fulfilled"/>
  </r>
  <r>
    <s v="ORD-2026-0271"/>
    <s v="2026-03-29"/>
    <x v="9"/>
    <s v="Q1"/>
    <s v="Quinoa 1kg"/>
    <s v="Food"/>
    <x v="2"/>
    <s v="Bhopal"/>
    <s v="SMB"/>
    <s v="Online"/>
    <s v="Vikram Tiwari"/>
    <n v="264.48"/>
    <n v="17"/>
    <n v="4496.16"/>
    <n v="13.2"/>
    <n v="3902.67"/>
    <n v="24.4"/>
    <n v="952.25"/>
    <s v="Fulfilled"/>
  </r>
  <r>
    <s v="ORD-2026-0272"/>
    <s v="2026-03-13"/>
    <x v="9"/>
    <s v="Q1"/>
    <s v="Foundation Kit"/>
    <s v="Cosmetics"/>
    <x v="0"/>
    <s v="Bhubaneswar"/>
    <s v="Retail"/>
    <s v="Direct"/>
    <s v="Rohit Das"/>
    <n v="2416.73"/>
    <n v="17"/>
    <n v="41084.410000000003"/>
    <n v="4.9000000000000004"/>
    <n v="39071.269999999997"/>
    <n v="71.5"/>
    <n v="27935.96"/>
    <s v="Pending"/>
  </r>
  <r>
    <s v="ORD-2026-0273"/>
    <s v="2026-08-21"/>
    <x v="8"/>
    <s v="Q3"/>
    <s v="Muesli Box"/>
    <s v="Food"/>
    <x v="4"/>
    <s v="Lucknow"/>
    <s v="Wholesale"/>
    <s v="Direct"/>
    <s v="Sunita Lal"/>
    <n v="1025.73"/>
    <n v="15"/>
    <n v="15385.95"/>
    <n v="24.8"/>
    <n v="11570.23"/>
    <n v="32"/>
    <n v="3702.47"/>
    <s v="Pending"/>
  </r>
  <r>
    <s v="ORD-2026-0274"/>
    <s v="2026-04-22"/>
    <x v="4"/>
    <s v="Q2"/>
    <s v="Kurti Set"/>
    <s v="Apparel"/>
    <x v="4"/>
    <s v="Lucknow"/>
    <s v="SMB"/>
    <s v="B2B"/>
    <s v="Deepak Rao"/>
    <n v="1568.74"/>
    <n v="9"/>
    <n v="14118.66"/>
    <n v="2.4"/>
    <n v="13779.81"/>
    <n v="55.4"/>
    <n v="7634.01"/>
    <s v="Fulfilled"/>
  </r>
  <r>
    <s v="ORD-2026-0275"/>
    <s v="2026-06-15"/>
    <x v="10"/>
    <s v="Q2"/>
    <s v="Quinoa 1kg"/>
    <s v="Food"/>
    <x v="3"/>
    <s v="Surat"/>
    <s v="Online"/>
    <s v="Partner"/>
    <s v="Priya Sharma"/>
    <n v="311.58"/>
    <n v="2"/>
    <n v="623.16"/>
    <n v="22.3"/>
    <n v="484.2"/>
    <n v="26.6"/>
    <n v="128.80000000000001"/>
    <s v="Fulfilled"/>
  </r>
  <r>
    <s v="ORD-2026-0276"/>
    <s v="2026-07-14"/>
    <x v="5"/>
    <s v="Q3"/>
    <s v="Kurti Set"/>
    <s v="Apparel"/>
    <x v="2"/>
    <s v="Raipur"/>
    <s v="Online"/>
    <s v="Online"/>
    <s v="Aisha Khan"/>
    <n v="2123.6999999999998"/>
    <n v="14"/>
    <n v="29731.8"/>
    <n v="4.5999999999999996"/>
    <n v="28364.14"/>
    <n v="54.2"/>
    <n v="15373.36"/>
    <s v="Fulfilled"/>
  </r>
  <r>
    <s v="ORD-2026-0277"/>
    <s v="2026-07-18"/>
    <x v="5"/>
    <s v="Q3"/>
    <s v="Coffee Table"/>
    <s v="Furniture"/>
    <x v="4"/>
    <s v="Jaipur"/>
    <s v="Wholesale"/>
    <s v="B2B"/>
    <s v="Amit Joshi"/>
    <n v="11204.96"/>
    <n v="8"/>
    <n v="89639.679999999993"/>
    <n v="7.7"/>
    <n v="82737.42"/>
    <n v="45.5"/>
    <n v="37645.53"/>
    <s v="Pending"/>
  </r>
  <r>
    <s v="ORD-2026-0278"/>
    <s v="2026-06-30"/>
    <x v="10"/>
    <s v="Q2"/>
    <s v="Football Pro"/>
    <s v="Sports"/>
    <x v="2"/>
    <s v="Raipur"/>
    <s v="Online"/>
    <s v="Online"/>
    <s v="Priya Sharma"/>
    <n v="7797.01"/>
    <n v="2"/>
    <n v="15594.02"/>
    <n v="2.9"/>
    <n v="15141.79"/>
    <n v="33"/>
    <n v="4996.79"/>
    <s v="Fulfilled"/>
  </r>
  <r>
    <s v="ORD-2026-0279"/>
    <s v="2026-08-08"/>
    <x v="8"/>
    <s v="Q3"/>
    <s v="Wardrobe 3-door"/>
    <s v="Furniture"/>
    <x v="2"/>
    <s v="Indore"/>
    <s v="Retail"/>
    <s v="B2B"/>
    <s v="Rahul Mehta"/>
    <n v="7671.79"/>
    <n v="17"/>
    <n v="130420.43"/>
    <n v="2.1"/>
    <n v="127681.60000000001"/>
    <n v="41.2"/>
    <n v="52604.82"/>
    <s v="Fulfilled"/>
  </r>
  <r>
    <s v="ORD-2026-0280"/>
    <s v="2026-01-23"/>
    <x v="7"/>
    <s v="Q1"/>
    <s v="Gaming Console"/>
    <s v="Electronics"/>
    <x v="4"/>
    <s v="Lucknow"/>
    <s v="Retail"/>
    <s v="Online"/>
    <s v="Priya Sharma"/>
    <n v="4668.8"/>
    <n v="23"/>
    <n v="107382.39999999999"/>
    <n v="20.3"/>
    <n v="85583.77"/>
    <n v="15"/>
    <n v="12837.57"/>
    <s v="Fulfilled"/>
  </r>
  <r>
    <s v="ORD-2026-0281"/>
    <s v="2026-01-07"/>
    <x v="7"/>
    <s v="Q1"/>
    <s v="Lip Gloss Set"/>
    <s v="Cosmetics"/>
    <x v="1"/>
    <s v="Bengaluru"/>
    <s v="Online"/>
    <s v="B2B"/>
    <s v="Neha Patel"/>
    <n v="307.08999999999997"/>
    <n v="19"/>
    <n v="5834.71"/>
    <n v="7.1"/>
    <n v="5420.45"/>
    <n v="52.3"/>
    <n v="2834.9"/>
    <s v="Fulfilled"/>
  </r>
  <r>
    <s v="ORD-2026-0282"/>
    <s v="2026-10-27"/>
    <x v="2"/>
    <s v="Q4"/>
    <s v="Muesli Box"/>
    <s v="Food"/>
    <x v="0"/>
    <s v="Patna"/>
    <s v="Enterprise"/>
    <s v="B2B"/>
    <s v="Kavya Bhat"/>
    <n v="1404.67"/>
    <n v="17"/>
    <n v="23879.39"/>
    <n v="12.1"/>
    <n v="20989.98"/>
    <n v="27.3"/>
    <n v="5730.26"/>
    <s v="Cancelled"/>
  </r>
  <r>
    <s v="ORD-2026-0283"/>
    <s v="2026-02-19"/>
    <x v="6"/>
    <s v="Q1"/>
    <s v="Winter Jacket"/>
    <s v="Apparel"/>
    <x v="4"/>
    <s v="Lucknow"/>
    <s v="Wholesale"/>
    <s v="Direct"/>
    <s v="Priya Sharma"/>
    <n v="2753.34"/>
    <n v="9"/>
    <n v="24780.06"/>
    <n v="18.399999999999999"/>
    <n v="20220.53"/>
    <n v="46.6"/>
    <n v="9422.77"/>
    <s v="Pending"/>
  </r>
  <r>
    <s v="ORD-2026-0284"/>
    <s v="2026-05-25"/>
    <x v="11"/>
    <s v="Q2"/>
    <s v="Organic Honey"/>
    <s v="Food"/>
    <x v="0"/>
    <s v="Patna"/>
    <s v="Online"/>
    <s v="Online"/>
    <s v="Deepak Rao"/>
    <n v="518.27"/>
    <n v="21"/>
    <n v="10883.67"/>
    <n v="19.899999999999999"/>
    <n v="8717.82"/>
    <n v="22.5"/>
    <n v="1961.51"/>
    <s v="Fulfilled"/>
  </r>
  <r>
    <s v="ORD-2026-0285"/>
    <s v="2026-10-01"/>
    <x v="2"/>
    <s v="Q4"/>
    <s v="Foundation Kit"/>
    <s v="Cosmetics"/>
    <x v="2"/>
    <s v="Nagpur"/>
    <s v="Retail"/>
    <s v="Direct"/>
    <s v="Priya Sharma"/>
    <n v="789.55"/>
    <n v="1"/>
    <n v="789.55"/>
    <n v="17.100000000000001"/>
    <n v="654.54"/>
    <n v="54.8"/>
    <n v="358.69"/>
    <s v="Fulfilled"/>
  </r>
  <r>
    <s v="ORD-2026-0286"/>
    <s v="2026-11-24"/>
    <x v="0"/>
    <s v="Q4"/>
    <s v="Nut Mix 500g"/>
    <s v="Food"/>
    <x v="4"/>
    <s v="Lucknow"/>
    <s v="SMB"/>
    <s v="B2B"/>
    <s v="Neha Patel"/>
    <n v="1061.05"/>
    <n v="11"/>
    <n v="11671.55"/>
    <n v="21.5"/>
    <n v="9162.17"/>
    <n v="29.5"/>
    <n v="2702.84"/>
    <s v="Fulfilled"/>
  </r>
  <r>
    <s v="ORD-2026-0287"/>
    <s v="2026-10-11"/>
    <x v="2"/>
    <s v="Q4"/>
    <s v="Smart TV 55&quot;"/>
    <s v="Electronics"/>
    <x v="1"/>
    <s v="Bengaluru"/>
    <s v="Enterprise"/>
    <s v="Online"/>
    <s v="Rohit Das"/>
    <n v="77167"/>
    <n v="16"/>
    <n v="1234672"/>
    <n v="18.8"/>
    <n v="1002553.66"/>
    <n v="14.2"/>
    <n v="142362.62"/>
    <s v="Cancelled"/>
  </r>
  <r>
    <s v="ORD-2026-0288"/>
    <s v="2026-11-16"/>
    <x v="0"/>
    <s v="Q4"/>
    <s v="Bed Frame Queen"/>
    <s v="Furniture"/>
    <x v="2"/>
    <s v="Nagpur"/>
    <s v="SMB"/>
    <s v="B2B"/>
    <s v="Rohit Das"/>
    <n v="33976.699999999997"/>
    <n v="1"/>
    <n v="33976.699999999997"/>
    <n v="23.9"/>
    <n v="25856.27"/>
    <n v="33.5"/>
    <n v="8661.85"/>
    <s v="Fulfilled"/>
  </r>
  <r>
    <s v="ORD-2026-0289"/>
    <s v="2026-10-11"/>
    <x v="2"/>
    <s v="Q4"/>
    <s v="Quinoa 1kg"/>
    <s v="Food"/>
    <x v="4"/>
    <s v="Jaipur"/>
    <s v="Online"/>
    <s v="Online"/>
    <s v="Sunita Lal"/>
    <n v="155.91"/>
    <n v="24"/>
    <n v="3741.84"/>
    <n v="10.3"/>
    <n v="3356.43"/>
    <n v="26.6"/>
    <n v="892.81"/>
    <s v="Fulfilled"/>
  </r>
  <r>
    <s v="ORD-2026-0290"/>
    <s v="2026-08-25"/>
    <x v="8"/>
    <s v="Q3"/>
    <s v="Tablet Ultra"/>
    <s v="Electronics"/>
    <x v="2"/>
    <s v="Indore"/>
    <s v="Wholesale"/>
    <s v="Direct"/>
    <s v="Priya Sharma"/>
    <n v="35102.910000000003"/>
    <n v="7"/>
    <n v="245720.37"/>
    <n v="13.1"/>
    <n v="213531"/>
    <n v="27.9"/>
    <n v="59575.15"/>
    <s v="Fulfilled"/>
  </r>
  <r>
    <s v="ORD-2026-0291"/>
    <s v="2026-01-11"/>
    <x v="7"/>
    <s v="Q1"/>
    <s v="Lip Gloss Set"/>
    <s v="Cosmetics"/>
    <x v="3"/>
    <s v="Mumbai"/>
    <s v="Retail"/>
    <s v="Online"/>
    <s v="Kavya Bhat"/>
    <n v="3636.05"/>
    <n v="9"/>
    <n v="32724.45"/>
    <n v="16.3"/>
    <n v="27390.36"/>
    <n v="58.9"/>
    <n v="16132.92"/>
    <s v="Fulfilled"/>
  </r>
  <r>
    <s v="ORD-2026-0292"/>
    <s v="2026-08-27"/>
    <x v="8"/>
    <s v="Q3"/>
    <s v="Book Shelf 5-tier"/>
    <s v="Furniture"/>
    <x v="4"/>
    <s v="Chandigarh"/>
    <s v="SMB"/>
    <s v="Direct"/>
    <s v="Vikram Tiwari"/>
    <n v="44252.17"/>
    <n v="6"/>
    <n v="265513.02"/>
    <n v="20.6"/>
    <n v="210817.34"/>
    <n v="34.6"/>
    <n v="72942.8"/>
    <s v="Fulfilled"/>
  </r>
  <r>
    <s v="ORD-2026-0293"/>
    <s v="2026-01-19"/>
    <x v="7"/>
    <s v="Q1"/>
    <s v="Denim Jeans"/>
    <s v="Apparel"/>
    <x v="3"/>
    <s v="Pune"/>
    <s v="Enterprise"/>
    <s v="Direct"/>
    <s v="Rohit Das"/>
    <n v="557.22"/>
    <n v="20"/>
    <n v="11144.4"/>
    <n v="6.6"/>
    <n v="10408.870000000001"/>
    <n v="50"/>
    <n v="5204.4399999999996"/>
    <s v="Fulfilled"/>
  </r>
  <r>
    <s v="ORD-2026-0294"/>
    <s v="2026-11-11"/>
    <x v="0"/>
    <s v="Q4"/>
    <s v="Sports Shorts"/>
    <s v="Apparel"/>
    <x v="3"/>
    <s v="Surat"/>
    <s v="SMB"/>
    <s v="B2B"/>
    <s v="Amit Joshi"/>
    <n v="1069.8399999999999"/>
    <n v="9"/>
    <n v="9628.56"/>
    <n v="21.2"/>
    <n v="7587.31"/>
    <n v="56.8"/>
    <n v="4309.59"/>
    <s v="Fulfilled"/>
  </r>
  <r>
    <s v="ORD-2026-0295"/>
    <s v="2026-09-08"/>
    <x v="3"/>
    <s v="Q3"/>
    <s v="Smart Watch S3"/>
    <s v="Electronics"/>
    <x v="1"/>
    <s v="Hyderabad"/>
    <s v="Online"/>
    <s v="Online"/>
    <s v="Aisha Khan"/>
    <n v="63415.86"/>
    <n v="13"/>
    <n v="824406.18"/>
    <n v="18.100000000000001"/>
    <n v="675188.66"/>
    <n v="17.3"/>
    <n v="116807.64"/>
    <s v="Fulfilled"/>
  </r>
  <r>
    <s v="ORD-2026-0296"/>
    <s v="2026-04-28"/>
    <x v="4"/>
    <s v="Q2"/>
    <s v="Eye Shadow Palette"/>
    <s v="Cosmetics"/>
    <x v="4"/>
    <s v="Chandigarh"/>
    <s v="SMB"/>
    <s v="Partner"/>
    <s v="Vikram Tiwari"/>
    <n v="3908.13"/>
    <n v="20"/>
    <n v="78162.600000000006"/>
    <n v="8.5"/>
    <n v="71518.78"/>
    <n v="64.599999999999994"/>
    <n v="46201.13"/>
    <s v="Fulfilled"/>
  </r>
  <r>
    <s v="ORD-2026-0297"/>
    <s v="2026-01-25"/>
    <x v="7"/>
    <s v="Q1"/>
    <s v="Body Lotion"/>
    <s v="Cosmetics"/>
    <x v="4"/>
    <s v="Lucknow"/>
    <s v="Enterprise"/>
    <s v="Online"/>
    <s v="Amit Joshi"/>
    <n v="639.15"/>
    <n v="3"/>
    <n v="1917.45"/>
    <n v="1"/>
    <n v="1898.28"/>
    <n v="60"/>
    <n v="1138.97"/>
    <s v="Cancelled"/>
  </r>
  <r>
    <s v="ORD-2026-0298"/>
    <s v="2026-12-26"/>
    <x v="1"/>
    <s v="Q4"/>
    <s v="Tablet Ultra"/>
    <s v="Electronics"/>
    <x v="2"/>
    <s v="Indore"/>
    <s v="Retail"/>
    <s v="Partner"/>
    <s v="Neha Patel"/>
    <n v="42072.41"/>
    <n v="14"/>
    <n v="589013.74"/>
    <n v="3"/>
    <n v="571343.32999999996"/>
    <n v="23"/>
    <n v="131408.97"/>
    <s v="Fulfilled"/>
  </r>
  <r>
    <s v="ORD-2026-0299"/>
    <s v="2026-09-29"/>
    <x v="3"/>
    <s v="Q3"/>
    <s v="Cycling Helmet"/>
    <s v="Sports"/>
    <x v="1"/>
    <s v="Chennai"/>
    <s v="Online"/>
    <s v="Partner"/>
    <s v="Kavya Bhat"/>
    <n v="7938.43"/>
    <n v="1"/>
    <n v="7938.43"/>
    <n v="22"/>
    <n v="6191.98"/>
    <n v="29.4"/>
    <n v="1820.44"/>
    <s v="Fulfilled"/>
  </r>
  <r>
    <s v="ORD-2026-0300"/>
    <s v="2026-09-04"/>
    <x v="3"/>
    <s v="Q3"/>
    <s v="Football Pro"/>
    <s v="Sports"/>
    <x v="0"/>
    <s v="Bhubaneswar"/>
    <s v="Enterprise"/>
    <s v="Partner"/>
    <s v="Amit Joshi"/>
    <n v="3965.21"/>
    <n v="3"/>
    <n v="11895.63"/>
    <n v="19.8"/>
    <n v="9540.2999999999993"/>
    <n v="26.4"/>
    <n v="2518.64"/>
    <s v="Fulfilled"/>
  </r>
  <r>
    <s v="ORD-2026-0301"/>
    <s v="2026-05-10"/>
    <x v="11"/>
    <s v="Q2"/>
    <s v="Gaming Console"/>
    <s v="Electronics"/>
    <x v="4"/>
    <s v="Lucknow"/>
    <s v="Retail"/>
    <s v="Partner"/>
    <s v="Priya Sharma"/>
    <n v="11296.5"/>
    <n v="16"/>
    <n v="180744"/>
    <n v="20.5"/>
    <n v="143691.48000000001"/>
    <n v="25.9"/>
    <n v="37216.089999999997"/>
    <s v="Pending"/>
  </r>
  <r>
    <s v="ORD-2026-0302"/>
    <s v="2026-07-18"/>
    <x v="5"/>
    <s v="Q3"/>
    <s v="Sunscreen SPF50"/>
    <s v="Cosmetics"/>
    <x v="1"/>
    <s v="Bengaluru"/>
    <s v="SMB"/>
    <s v="Online"/>
    <s v="Rahul Mehta"/>
    <n v="1623.05"/>
    <n v="16"/>
    <n v="25968.799999999999"/>
    <n v="13.1"/>
    <n v="22566.89"/>
    <n v="63"/>
    <n v="14217.14"/>
    <s v="Fulfilled"/>
  </r>
  <r>
    <s v="ORD-2026-0303"/>
    <s v="2026-11-29"/>
    <x v="0"/>
    <s v="Q4"/>
    <s v="Quinoa 1kg"/>
    <s v="Food"/>
    <x v="0"/>
    <s v="Bhubaneswar"/>
    <s v="Wholesale"/>
    <s v="Partner"/>
    <s v="Vikram Tiwari"/>
    <n v="461.83"/>
    <n v="23"/>
    <n v="10622.09"/>
    <n v="0.6"/>
    <n v="10558.36"/>
    <n v="35.1"/>
    <n v="3705.98"/>
    <s v="Fulfilled"/>
  </r>
  <r>
    <s v="ORD-2026-0304"/>
    <s v="2026-05-15"/>
    <x v="11"/>
    <s v="Q2"/>
    <s v="Winter Jacket"/>
    <s v="Apparel"/>
    <x v="0"/>
    <s v="Bhubaneswar"/>
    <s v="Online"/>
    <s v="Partner"/>
    <s v="Rahul Mehta"/>
    <n v="1776.11"/>
    <n v="14"/>
    <n v="24865.54"/>
    <n v="0.1"/>
    <n v="24840.67"/>
    <n v="45.8"/>
    <n v="11377.03"/>
    <s v="Fulfilled"/>
  </r>
  <r>
    <s v="ORD-2026-0305"/>
    <s v="2026-05-20"/>
    <x v="11"/>
    <s v="Q2"/>
    <s v="Denim Jeans"/>
    <s v="Apparel"/>
    <x v="4"/>
    <s v="Chandigarh"/>
    <s v="Retail"/>
    <s v="Online"/>
    <s v="Neha Patel"/>
    <n v="836.6"/>
    <n v="23"/>
    <n v="19241.8"/>
    <n v="24.1"/>
    <n v="14604.53"/>
    <n v="45.2"/>
    <n v="6601.25"/>
    <s v="Fulfilled"/>
  </r>
  <r>
    <s v="ORD-2026-0306"/>
    <s v="2026-04-16"/>
    <x v="4"/>
    <s v="Q2"/>
    <s v="Nut Mix 500g"/>
    <s v="Food"/>
    <x v="3"/>
    <s v="Pune"/>
    <s v="SMB"/>
    <s v="Partner"/>
    <s v="Amit Joshi"/>
    <n v="576.94000000000005"/>
    <n v="21"/>
    <n v="12115.74"/>
    <n v="17.600000000000001"/>
    <n v="9983.3700000000008"/>
    <n v="22.5"/>
    <n v="2246.2600000000002"/>
    <s v="Cancelled"/>
  </r>
  <r>
    <s v="ORD-2026-0307"/>
    <s v="2026-09-15"/>
    <x v="3"/>
    <s v="Q3"/>
    <s v="Study Table"/>
    <s v="Furniture"/>
    <x v="0"/>
    <s v="Bhubaneswar"/>
    <s v="Wholesale"/>
    <s v="Online"/>
    <s v="Rohit Das"/>
    <n v="36180.49"/>
    <n v="17"/>
    <n v="615068.32999999996"/>
    <n v="20.9"/>
    <n v="486519.05"/>
    <n v="37"/>
    <n v="180012.05"/>
    <s v="Fulfilled"/>
  </r>
  <r>
    <s v="ORD-2026-0308"/>
    <s v="2026-11-29"/>
    <x v="0"/>
    <s v="Q4"/>
    <s v="Lip Gloss Set"/>
    <s v="Cosmetics"/>
    <x v="4"/>
    <s v="Chandigarh"/>
    <s v="Wholesale"/>
    <s v="Direct"/>
    <s v="Vikram Tiwari"/>
    <n v="1937.12"/>
    <n v="22"/>
    <n v="42616.639999999999"/>
    <n v="6.4"/>
    <n v="39889.18"/>
    <n v="53.1"/>
    <n v="21181.15"/>
    <s v="Fulfilled"/>
  </r>
  <r>
    <s v="ORD-2026-0309"/>
    <s v="2026-01-23"/>
    <x v="7"/>
    <s v="Q1"/>
    <s v="Quinoa 1kg"/>
    <s v="Food"/>
    <x v="2"/>
    <s v="Indore"/>
    <s v="Online"/>
    <s v="Online"/>
    <s v="Vikram Tiwari"/>
    <n v="116.67"/>
    <n v="18"/>
    <n v="2100.06"/>
    <n v="17"/>
    <n v="1743.05"/>
    <n v="26.2"/>
    <n v="456.68"/>
    <s v="Fulfilled"/>
  </r>
  <r>
    <s v="ORD-2026-0310"/>
    <s v="2026-02-20"/>
    <x v="6"/>
    <s v="Q1"/>
    <s v="Running Shoes"/>
    <s v="Apparel"/>
    <x v="2"/>
    <s v="Indore"/>
    <s v="Online"/>
    <s v="Direct"/>
    <s v="Vikram Tiwari"/>
    <n v="3237.86"/>
    <n v="20"/>
    <n v="64757.2"/>
    <n v="0.7"/>
    <n v="64303.9"/>
    <n v="52"/>
    <n v="33438.03"/>
    <s v="Pending"/>
  </r>
  <r>
    <s v="ORD-2026-0311"/>
    <s v="2026-06-01"/>
    <x v="10"/>
    <s v="Q2"/>
    <s v="Formal Shirt"/>
    <s v="Apparel"/>
    <x v="4"/>
    <s v="Jaipur"/>
    <s v="Retail"/>
    <s v="B2B"/>
    <s v="Kavya Bhat"/>
    <n v="2387.94"/>
    <n v="12"/>
    <n v="28655.279999999999"/>
    <n v="9.6999999999999993"/>
    <n v="25875.72"/>
    <n v="53.4"/>
    <n v="13817.63"/>
    <s v="Fulfilled"/>
  </r>
  <r>
    <s v="ORD-2026-0312"/>
    <s v="2026-01-27"/>
    <x v="7"/>
    <s v="Q1"/>
    <s v="Muesli Box"/>
    <s v="Food"/>
    <x v="4"/>
    <s v="Lucknow"/>
    <s v="Online"/>
    <s v="Partner"/>
    <s v="Sunita Lal"/>
    <n v="1209.6500000000001"/>
    <n v="9"/>
    <n v="10886.85"/>
    <n v="15.4"/>
    <n v="9210.2800000000007"/>
    <n v="39.5"/>
    <n v="3638.06"/>
    <s v="Fulfilled"/>
  </r>
  <r>
    <s v="ORD-2026-0313"/>
    <s v="2026-02-18"/>
    <x v="6"/>
    <s v="Q1"/>
    <s v="Body Lotion"/>
    <s v="Cosmetics"/>
    <x v="4"/>
    <s v="Jaipur"/>
    <s v="Online"/>
    <s v="Direct"/>
    <s v="Rahul Mehta"/>
    <n v="2881.56"/>
    <n v="7"/>
    <n v="20170.919999999998"/>
    <n v="2.7"/>
    <n v="19626.310000000001"/>
    <n v="56.3"/>
    <n v="11049.61"/>
    <s v="Fulfilled"/>
  </r>
  <r>
    <s v="ORD-2026-0314"/>
    <s v="2026-02-21"/>
    <x v="6"/>
    <s v="Q1"/>
    <s v="Organic Honey"/>
    <s v="Food"/>
    <x v="4"/>
    <s v="Delhi"/>
    <s v="Online"/>
    <s v="Online"/>
    <s v="Neha Patel"/>
    <n v="995.98"/>
    <n v="14"/>
    <n v="13943.72"/>
    <n v="2.1"/>
    <n v="13650.9"/>
    <n v="18.7"/>
    <n v="2552.7199999999998"/>
    <s v="Fulfilled"/>
  </r>
  <r>
    <s v="ORD-2026-0315"/>
    <s v="2026-10-03"/>
    <x v="2"/>
    <s v="Q4"/>
    <s v="Face Serum"/>
    <s v="Cosmetics"/>
    <x v="0"/>
    <s v="Guwahati"/>
    <s v="Online"/>
    <s v="B2B"/>
    <s v="Vikram Tiwari"/>
    <n v="3063.09"/>
    <n v="24"/>
    <n v="73514.16"/>
    <n v="15"/>
    <n v="62487.040000000001"/>
    <n v="61.8"/>
    <n v="38616.99"/>
    <s v="Fulfilled"/>
  </r>
  <r>
    <s v="ORD-2026-0316"/>
    <s v="2026-12-26"/>
    <x v="1"/>
    <s v="Q4"/>
    <s v="Formal Shirt"/>
    <s v="Apparel"/>
    <x v="4"/>
    <s v="Lucknow"/>
    <s v="Online"/>
    <s v="Online"/>
    <s v="Sunita Lal"/>
    <n v="4075.97"/>
    <n v="13"/>
    <n v="52987.61"/>
    <n v="6.3"/>
    <n v="49649.39"/>
    <n v="52.7"/>
    <n v="26165.23"/>
    <s v="Fulfilled"/>
  </r>
  <r>
    <s v="ORD-2026-0317"/>
    <s v="2026-01-01"/>
    <x v="7"/>
    <s v="Q1"/>
    <s v="Organic Honey"/>
    <s v="Food"/>
    <x v="1"/>
    <s v="Chennai"/>
    <s v="SMB"/>
    <s v="Direct"/>
    <s v="Neha Patel"/>
    <n v="777.96"/>
    <n v="11"/>
    <n v="8557.56"/>
    <n v="20.6"/>
    <n v="6794.7"/>
    <n v="18.3"/>
    <n v="1243.43"/>
    <s v="Fulfilled"/>
  </r>
  <r>
    <s v="ORD-2026-0318"/>
    <s v="2026-08-29"/>
    <x v="8"/>
    <s v="Q3"/>
    <s v="Tablet Ultra"/>
    <s v="Electronics"/>
    <x v="1"/>
    <s v="Chennai"/>
    <s v="Wholesale"/>
    <s v="B2B"/>
    <s v="Vikram Tiwari"/>
    <n v="79460.27"/>
    <n v="5"/>
    <n v="397301.35"/>
    <n v="21.2"/>
    <n v="313073.46000000002"/>
    <n v="24.8"/>
    <n v="77642.22"/>
    <s v="Fulfilled"/>
  </r>
  <r>
    <s v="ORD-2026-0319"/>
    <s v="2026-10-05"/>
    <x v="2"/>
    <s v="Q4"/>
    <s v="Sports Shorts"/>
    <s v="Apparel"/>
    <x v="3"/>
    <s v="Mumbai"/>
    <s v="Enterprise"/>
    <s v="B2B"/>
    <s v="Rahul Mehta"/>
    <n v="2918.18"/>
    <n v="15"/>
    <n v="43772.7"/>
    <n v="9.8000000000000007"/>
    <n v="39482.980000000003"/>
    <n v="60.2"/>
    <n v="23768.75"/>
    <s v="Fulfilled"/>
  </r>
  <r>
    <s v="ORD-2026-0320"/>
    <s v="2026-10-23"/>
    <x v="2"/>
    <s v="Q4"/>
    <s v="Winter Jacket"/>
    <s v="Apparel"/>
    <x v="0"/>
    <s v="Kolkata"/>
    <s v="Enterprise"/>
    <s v="Online"/>
    <s v="Deepak Rao"/>
    <n v="1046.25"/>
    <n v="16"/>
    <n v="16740"/>
    <n v="23.1"/>
    <n v="12873.06"/>
    <n v="58.5"/>
    <n v="7530.74"/>
    <s v="Returned"/>
  </r>
  <r>
    <s v="ORD-2026-0321"/>
    <s v="2026-09-12"/>
    <x v="3"/>
    <s v="Q3"/>
    <s v="Sofa 3-seater"/>
    <s v="Furniture"/>
    <x v="1"/>
    <s v="Kochi"/>
    <s v="Wholesale"/>
    <s v="Online"/>
    <s v="Neha Patel"/>
    <n v="24071.61"/>
    <n v="9"/>
    <n v="216644.49"/>
    <n v="22.3"/>
    <n v="168332.77"/>
    <n v="39.5"/>
    <n v="66491.44"/>
    <s v="Fulfilled"/>
  </r>
  <r>
    <s v="ORD-2026-0322"/>
    <s v="2026-12-10"/>
    <x v="1"/>
    <s v="Q4"/>
    <s v="Hair Oil 200ml"/>
    <s v="Cosmetics"/>
    <x v="2"/>
    <s v="Nagpur"/>
    <s v="SMB"/>
    <s v="B2B"/>
    <s v="Vikram Tiwari"/>
    <n v="661.06"/>
    <n v="6"/>
    <n v="3966.36"/>
    <n v="14.3"/>
    <n v="3399.17"/>
    <n v="65.900000000000006"/>
    <n v="2240.0500000000002"/>
    <s v="Fulfilled"/>
  </r>
  <r>
    <s v="ORD-2026-0323"/>
    <s v="2026-03-31"/>
    <x v="9"/>
    <s v="Q1"/>
    <s v="Olive Oil 1L"/>
    <s v="Food"/>
    <x v="0"/>
    <s v="Patna"/>
    <s v="Wholesale"/>
    <s v="Direct"/>
    <s v="Vikram Tiwari"/>
    <n v="498.12"/>
    <n v="9"/>
    <n v="4483.08"/>
    <n v="24.5"/>
    <n v="3384.73"/>
    <n v="24.7"/>
    <n v="836.03"/>
    <s v="Fulfilled"/>
  </r>
  <r>
    <s v="ORD-2026-0324"/>
    <s v="2026-07-01"/>
    <x v="5"/>
    <s v="Q3"/>
    <s v="Gaming Console"/>
    <s v="Electronics"/>
    <x v="0"/>
    <s v="Bhubaneswar"/>
    <s v="Retail"/>
    <s v="B2B"/>
    <s v="Rahul Mehta"/>
    <n v="57290.52"/>
    <n v="10"/>
    <n v="572905.19999999995"/>
    <n v="20.9"/>
    <n v="453168.01"/>
    <n v="29.1"/>
    <n v="131871.89000000001"/>
    <s v="Fulfilled"/>
  </r>
  <r>
    <s v="ORD-2026-0325"/>
    <s v="2026-04-13"/>
    <x v="4"/>
    <s v="Q2"/>
    <s v="Smart Watch S3"/>
    <s v="Electronics"/>
    <x v="4"/>
    <s v="Delhi"/>
    <s v="Online"/>
    <s v="B2B"/>
    <s v="Rahul Mehta"/>
    <n v="63119.93"/>
    <n v="7"/>
    <n v="441839.51"/>
    <n v="22.8"/>
    <n v="341100.1"/>
    <n v="19.8"/>
    <n v="67537.820000000007"/>
    <s v="Fulfilled"/>
  </r>
  <r>
    <s v="ORD-2026-0326"/>
    <s v="2026-04-12"/>
    <x v="4"/>
    <s v="Q2"/>
    <s v="Badminton Set"/>
    <s v="Sports"/>
    <x v="2"/>
    <s v="Raipur"/>
    <s v="Wholesale"/>
    <s v="Online"/>
    <s v="Neha Patel"/>
    <n v="4001.25"/>
    <n v="20"/>
    <n v="80025"/>
    <n v="7.8"/>
    <n v="73783.05"/>
    <n v="30"/>
    <n v="22134.92"/>
    <s v="Pending"/>
  </r>
  <r>
    <s v="ORD-2026-0327"/>
    <s v="2026-02-24"/>
    <x v="6"/>
    <s v="Q1"/>
    <s v="Hair Oil 200ml"/>
    <s v="Cosmetics"/>
    <x v="1"/>
    <s v="Hyderabad"/>
    <s v="Online"/>
    <s v="B2B"/>
    <s v="Amit Joshi"/>
    <n v="1857.08"/>
    <n v="2"/>
    <n v="3714.16"/>
    <n v="23"/>
    <n v="2859.9"/>
    <n v="60.5"/>
    <n v="1730.24"/>
    <s v="Fulfilled"/>
  </r>
  <r>
    <s v="ORD-2026-0328"/>
    <s v="2026-03-19"/>
    <x v="9"/>
    <s v="Q1"/>
    <s v="Dumbbells 5kg"/>
    <s v="Sports"/>
    <x v="4"/>
    <s v="Delhi"/>
    <s v="Retail"/>
    <s v="Partner"/>
    <s v="Priya Sharma"/>
    <n v="7804"/>
    <n v="5"/>
    <n v="39020"/>
    <n v="16.899999999999999"/>
    <n v="32425.62"/>
    <n v="38.6"/>
    <n v="12516.29"/>
    <s v="Fulfilled"/>
  </r>
  <r>
    <s v="ORD-2026-0329"/>
    <s v="2026-02-14"/>
    <x v="6"/>
    <s v="Q1"/>
    <s v="Face Serum"/>
    <s v="Cosmetics"/>
    <x v="2"/>
    <s v="Bhopal"/>
    <s v="SMB"/>
    <s v="Partner"/>
    <s v="Priya Sharma"/>
    <n v="3459.39"/>
    <n v="18"/>
    <n v="62269.02"/>
    <n v="13.2"/>
    <n v="54049.51"/>
    <n v="71.099999999999994"/>
    <n v="38429.199999999997"/>
    <s v="Cancelled"/>
  </r>
  <r>
    <s v="ORD-2026-0330"/>
    <s v="2026-06-10"/>
    <x v="10"/>
    <s v="Q2"/>
    <s v="Green Tea Pack"/>
    <s v="Food"/>
    <x v="2"/>
    <s v="Nagpur"/>
    <s v="Online"/>
    <s v="B2B"/>
    <s v="Deepak Rao"/>
    <n v="1446.72"/>
    <n v="22"/>
    <n v="31827.84"/>
    <n v="6"/>
    <n v="29918.17"/>
    <n v="31"/>
    <n v="9274.6299999999992"/>
    <s v="Returned"/>
  </r>
  <r>
    <s v="ORD-2026-0331"/>
    <s v="2026-04-24"/>
    <x v="4"/>
    <s v="Q2"/>
    <s v="Cotton T-Shirt"/>
    <s v="Apparel"/>
    <x v="0"/>
    <s v="Patna"/>
    <s v="Enterprise"/>
    <s v="B2B"/>
    <s v="Kavya Bhat"/>
    <n v="4813.83"/>
    <n v="7"/>
    <n v="33696.81"/>
    <n v="19.5"/>
    <n v="27125.93"/>
    <n v="42.2"/>
    <n v="11447.14"/>
    <s v="Pending"/>
  </r>
  <r>
    <s v="ORD-2026-0332"/>
    <s v="2026-12-20"/>
    <x v="1"/>
    <s v="Q4"/>
    <s v="Organic Honey"/>
    <s v="Food"/>
    <x v="1"/>
    <s v="Bengaluru"/>
    <s v="SMB"/>
    <s v="Direct"/>
    <s v="Sunita Lal"/>
    <n v="490.75"/>
    <n v="3"/>
    <n v="1472.25"/>
    <n v="13"/>
    <n v="1280.8599999999999"/>
    <n v="26"/>
    <n v="333.02"/>
    <s v="Cancelled"/>
  </r>
  <r>
    <s v="ORD-2026-0333"/>
    <s v="2026-12-04"/>
    <x v="1"/>
    <s v="Q4"/>
    <s v="Sports Shorts"/>
    <s v="Apparel"/>
    <x v="3"/>
    <s v="Ahmedabad"/>
    <s v="Wholesale"/>
    <s v="Online"/>
    <s v="Sunita Lal"/>
    <n v="4841.99"/>
    <n v="16"/>
    <n v="77471.839999999997"/>
    <n v="11.6"/>
    <n v="68485.11"/>
    <n v="40.799999999999997"/>
    <n v="27941.919999999998"/>
    <s v="Fulfilled"/>
  </r>
  <r>
    <s v="ORD-2026-0334"/>
    <s v="2026-08-01"/>
    <x v="8"/>
    <s v="Q3"/>
    <s v="Protein Powder"/>
    <s v="Food"/>
    <x v="2"/>
    <s v="Nagpur"/>
    <s v="Enterprise"/>
    <s v="Partner"/>
    <s v="Vikram Tiwari"/>
    <n v="413.96"/>
    <n v="12"/>
    <n v="4967.5200000000004"/>
    <n v="8.6999999999999993"/>
    <n v="4535.3500000000004"/>
    <n v="41.7"/>
    <n v="1891.24"/>
    <s v="Fulfilled"/>
  </r>
  <r>
    <s v="ORD-2026-0335"/>
    <s v="2026-04-25"/>
    <x v="4"/>
    <s v="Q2"/>
    <s v="Coffee Table"/>
    <s v="Furniture"/>
    <x v="0"/>
    <s v="Bhubaneswar"/>
    <s v="Online"/>
    <s v="Partner"/>
    <s v="Kavya Bhat"/>
    <n v="16100.84"/>
    <n v="20"/>
    <n v="322016.8"/>
    <n v="10.6"/>
    <n v="287883.02"/>
    <n v="31.3"/>
    <n v="90107.39"/>
    <s v="Fulfilled"/>
  </r>
  <r>
    <s v="ORD-2026-0336"/>
    <s v="2026-09-20"/>
    <x v="3"/>
    <s v="Q3"/>
    <s v="Muesli Box"/>
    <s v="Food"/>
    <x v="4"/>
    <s v="Lucknow"/>
    <s v="Enterprise"/>
    <s v="Online"/>
    <s v="Priya Sharma"/>
    <n v="1335.94"/>
    <n v="11"/>
    <n v="14695.34"/>
    <n v="22.2"/>
    <n v="11432.97"/>
    <n v="23.2"/>
    <n v="2652.45"/>
    <s v="Pending"/>
  </r>
  <r>
    <s v="ORD-2026-0337"/>
    <s v="2026-12-18"/>
    <x v="1"/>
    <s v="Q4"/>
    <s v="Skipping Rope"/>
    <s v="Sports"/>
    <x v="2"/>
    <s v="Raipur"/>
    <s v="Wholesale"/>
    <s v="Partner"/>
    <s v="Kavya Bhat"/>
    <n v="5257.84"/>
    <n v="10"/>
    <n v="52578.400000000001"/>
    <n v="22.5"/>
    <n v="40748.26"/>
    <n v="26.8"/>
    <n v="10920.53"/>
    <s v="Fulfilled"/>
  </r>
  <r>
    <s v="ORD-2026-0338"/>
    <s v="2026-11-10"/>
    <x v="0"/>
    <s v="Q4"/>
    <s v="Denim Jeans"/>
    <s v="Apparel"/>
    <x v="3"/>
    <s v="Mumbai"/>
    <s v="Retail"/>
    <s v="Partner"/>
    <s v="Rohit Das"/>
    <n v="2287.5500000000002"/>
    <n v="21"/>
    <n v="48038.55"/>
    <n v="0.3"/>
    <n v="47894.43"/>
    <n v="61.1"/>
    <n v="29263.5"/>
    <s v="Fulfilled"/>
  </r>
  <r>
    <s v="ORD-2026-0339"/>
    <s v="2026-12-23"/>
    <x v="1"/>
    <s v="Q4"/>
    <s v="Lip Gloss Set"/>
    <s v="Cosmetics"/>
    <x v="3"/>
    <s v="Pune"/>
    <s v="Retail"/>
    <s v="Direct"/>
    <s v="Vikram Tiwari"/>
    <n v="2319.9699999999998"/>
    <n v="3"/>
    <n v="6959.91"/>
    <n v="12"/>
    <n v="6124.72"/>
    <n v="55.7"/>
    <n v="3411.47"/>
    <s v="Fulfilled"/>
  </r>
  <r>
    <s v="ORD-2026-0340"/>
    <s v="2026-08-26"/>
    <x v="8"/>
    <s v="Q3"/>
    <s v="Office Chair"/>
    <s v="Furniture"/>
    <x v="3"/>
    <s v="Mumbai"/>
    <s v="Retail"/>
    <s v="Direct"/>
    <s v="Amit Joshi"/>
    <n v="23764.080000000002"/>
    <n v="19"/>
    <n v="451517.52"/>
    <n v="6.2"/>
    <n v="423523.43"/>
    <n v="48.6"/>
    <n v="205832.39"/>
    <s v="Pending"/>
  </r>
  <r>
    <s v="ORD-2026-0341"/>
    <s v="2026-04-10"/>
    <x v="4"/>
    <s v="Q2"/>
    <s v="Smart TV 55&quot;"/>
    <s v="Electronics"/>
    <x v="0"/>
    <s v="Kolkata"/>
    <s v="Online"/>
    <s v="Direct"/>
    <s v="Sunita Lal"/>
    <n v="84715.58"/>
    <n v="10"/>
    <n v="847155.8"/>
    <n v="20.3"/>
    <n v="675183.17"/>
    <n v="25.5"/>
    <n v="172171.71"/>
    <s v="Fulfilled"/>
  </r>
  <r>
    <s v="ORD-2026-0342"/>
    <s v="2026-08-04"/>
    <x v="8"/>
    <s v="Q3"/>
    <s v="Wireless Earbuds"/>
    <s v="Electronics"/>
    <x v="2"/>
    <s v="Nagpur"/>
    <s v="Wholesale"/>
    <s v="B2B"/>
    <s v="Neha Patel"/>
    <n v="45660.41"/>
    <n v="12"/>
    <n v="547924.92000000004"/>
    <n v="0.8"/>
    <n v="543541.52"/>
    <n v="14.6"/>
    <n v="79357.06"/>
    <s v="Pending"/>
  </r>
  <r>
    <s v="ORD-2026-0343"/>
    <s v="2026-02-11"/>
    <x v="6"/>
    <s v="Q1"/>
    <s v="Dumbbells 5kg"/>
    <s v="Sports"/>
    <x v="2"/>
    <s v="Indore"/>
    <s v="Retail"/>
    <s v="B2B"/>
    <s v="Aisha Khan"/>
    <n v="2572.4299999999998"/>
    <n v="7"/>
    <n v="18007.009999999998"/>
    <n v="0.3"/>
    <n v="17952.990000000002"/>
    <n v="36.4"/>
    <n v="6534.89"/>
    <s v="Fulfilled"/>
  </r>
  <r>
    <s v="ORD-2026-0344"/>
    <s v="2026-03-13"/>
    <x v="9"/>
    <s v="Q1"/>
    <s v="Running Shoes"/>
    <s v="Apparel"/>
    <x v="4"/>
    <s v="Jaipur"/>
    <s v="Retail"/>
    <s v="Partner"/>
    <s v="Aisha Khan"/>
    <n v="1321.86"/>
    <n v="25"/>
    <n v="33046.5"/>
    <n v="15.2"/>
    <n v="28023.43"/>
    <n v="41.5"/>
    <n v="11629.72"/>
    <s v="Returned"/>
  </r>
  <r>
    <s v="ORD-2026-0345"/>
    <s v="2026-09-13"/>
    <x v="3"/>
    <s v="Q3"/>
    <s v="Eye Shadow Palette"/>
    <s v="Cosmetics"/>
    <x v="0"/>
    <s v="Guwahati"/>
    <s v="Retail"/>
    <s v="Partner"/>
    <s v="Kavya Bhat"/>
    <n v="1875.03"/>
    <n v="8"/>
    <n v="15000.24"/>
    <n v="11.7"/>
    <n v="13245.21"/>
    <n v="52.7"/>
    <n v="6980.23"/>
    <s v="Returned"/>
  </r>
  <r>
    <s v="ORD-2026-0346"/>
    <s v="2026-04-21"/>
    <x v="4"/>
    <s v="Q2"/>
    <s v="Quinoa 1kg"/>
    <s v="Food"/>
    <x v="1"/>
    <s v="Hyderabad"/>
    <s v="Retail"/>
    <s v="B2B"/>
    <s v="Kavya Bhat"/>
    <n v="481.87"/>
    <n v="3"/>
    <n v="1445.61"/>
    <n v="19"/>
    <n v="1170.94"/>
    <n v="22.9"/>
    <n v="268.14999999999998"/>
    <s v="Fulfilled"/>
  </r>
  <r>
    <s v="ORD-2026-0347"/>
    <s v="2026-09-20"/>
    <x v="3"/>
    <s v="Q3"/>
    <s v="Denim Jeans"/>
    <s v="Apparel"/>
    <x v="0"/>
    <s v="Guwahati"/>
    <s v="SMB"/>
    <s v="Partner"/>
    <s v="Deepak Rao"/>
    <n v="4680.8900000000003"/>
    <n v="5"/>
    <n v="23404.45"/>
    <n v="8.6"/>
    <n v="21391.67"/>
    <n v="45.4"/>
    <n v="9711.82"/>
    <s v="Fulfilled"/>
  </r>
  <r>
    <s v="ORD-2026-0348"/>
    <s v="2026-05-15"/>
    <x v="11"/>
    <s v="Q2"/>
    <s v="Organic Honey"/>
    <s v="Food"/>
    <x v="0"/>
    <s v="Kolkata"/>
    <s v="Wholesale"/>
    <s v="Online"/>
    <s v="Aisha Khan"/>
    <n v="153.06"/>
    <n v="8"/>
    <n v="1224.48"/>
    <n v="12.1"/>
    <n v="1076.32"/>
    <n v="28.6"/>
    <n v="307.83"/>
    <s v="Returned"/>
  </r>
  <r>
    <s v="ORD-2026-0349"/>
    <s v="2026-02-16"/>
    <x v="6"/>
    <s v="Q1"/>
    <s v="Sunscreen SPF50"/>
    <s v="Cosmetics"/>
    <x v="0"/>
    <s v="Guwahati"/>
    <s v="Online"/>
    <s v="Direct"/>
    <s v="Deepak Rao"/>
    <n v="2586.29"/>
    <n v="2"/>
    <n v="5172.58"/>
    <n v="15.9"/>
    <n v="4350.1400000000003"/>
    <n v="64.900000000000006"/>
    <n v="2823.24"/>
    <s v="Fulfilled"/>
  </r>
  <r>
    <s v="ORD-2026-0350"/>
    <s v="2026-08-21"/>
    <x v="8"/>
    <s v="Q3"/>
    <s v="Gaming Console"/>
    <s v="Electronics"/>
    <x v="0"/>
    <s v="Patna"/>
    <s v="SMB"/>
    <s v="Direct"/>
    <s v="Rahul Mehta"/>
    <n v="83612.160000000003"/>
    <n v="4"/>
    <n v="334448.64000000001"/>
    <n v="1.9"/>
    <n v="328094.12"/>
    <n v="22"/>
    <n v="72180.710000000006"/>
    <s v="Fulfilled"/>
  </r>
  <r>
    <s v="ORD-2026-0351"/>
    <s v="2026-07-28"/>
    <x v="5"/>
    <s v="Q3"/>
    <s v="Olive Oil 1L"/>
    <s v="Food"/>
    <x v="0"/>
    <s v="Patna"/>
    <s v="Retail"/>
    <s v="B2B"/>
    <s v="Kavya Bhat"/>
    <n v="899.39"/>
    <n v="6"/>
    <n v="5396.34"/>
    <n v="3.6"/>
    <n v="5202.07"/>
    <n v="26.2"/>
    <n v="1362.94"/>
    <s v="Cancelled"/>
  </r>
  <r>
    <s v="ORD-2026-0352"/>
    <s v="2026-08-11"/>
    <x v="8"/>
    <s v="Q3"/>
    <s v="Winter Jacket"/>
    <s v="Apparel"/>
    <x v="3"/>
    <s v="Pune"/>
    <s v="SMB"/>
    <s v="Online"/>
    <s v="Amit Joshi"/>
    <n v="567.79999999999995"/>
    <n v="24"/>
    <n v="13627.2"/>
    <n v="14.6"/>
    <n v="11637.63"/>
    <n v="50.8"/>
    <n v="5911.92"/>
    <s v="Returned"/>
  </r>
  <r>
    <s v="ORD-2026-0353"/>
    <s v="2026-01-29"/>
    <x v="7"/>
    <s v="Q1"/>
    <s v="Sports Shorts"/>
    <s v="Apparel"/>
    <x v="2"/>
    <s v="Bhopal"/>
    <s v="Enterprise"/>
    <s v="Online"/>
    <s v="Neha Patel"/>
    <n v="3030.7"/>
    <n v="17"/>
    <n v="51521.9"/>
    <n v="22.4"/>
    <n v="39980.99"/>
    <n v="45.1"/>
    <n v="18031.43"/>
    <s v="Fulfilled"/>
  </r>
  <r>
    <s v="ORD-2026-0354"/>
    <s v="2026-01-31"/>
    <x v="7"/>
    <s v="Q1"/>
    <s v="Winter Jacket"/>
    <s v="Apparel"/>
    <x v="1"/>
    <s v="Kochi"/>
    <s v="Online"/>
    <s v="Partner"/>
    <s v="Amit Joshi"/>
    <n v="1526.1"/>
    <n v="21"/>
    <n v="32048.1"/>
    <n v="9.1"/>
    <n v="29131.72"/>
    <n v="40.4"/>
    <n v="11769.21"/>
    <s v="Returned"/>
  </r>
  <r>
    <s v="ORD-2026-0355"/>
    <s v="2026-08-30"/>
    <x v="8"/>
    <s v="Q3"/>
    <s v="Study Table"/>
    <s v="Furniture"/>
    <x v="0"/>
    <s v="Guwahati"/>
    <s v="Enterprise"/>
    <s v="Online"/>
    <s v="Rohit Das"/>
    <n v="7635.45"/>
    <n v="3"/>
    <n v="22906.35"/>
    <n v="17.100000000000001"/>
    <n v="18989.36"/>
    <n v="41.7"/>
    <n v="7918.56"/>
    <s v="Pending"/>
  </r>
  <r>
    <s v="ORD-2026-0356"/>
    <s v="2026-12-23"/>
    <x v="1"/>
    <s v="Q4"/>
    <s v="Formal Shirt"/>
    <s v="Apparel"/>
    <x v="1"/>
    <s v="Chennai"/>
    <s v="Online"/>
    <s v="Direct"/>
    <s v="Kavya Bhat"/>
    <n v="1008.84"/>
    <n v="24"/>
    <n v="24212.16"/>
    <n v="22.1"/>
    <n v="18861.27"/>
    <n v="48.1"/>
    <n v="9072.27"/>
    <s v="Fulfilled"/>
  </r>
  <r>
    <s v="ORD-2026-0357"/>
    <s v="2026-12-31"/>
    <x v="1"/>
    <s v="Q4"/>
    <s v="Quinoa 1kg"/>
    <s v="Food"/>
    <x v="3"/>
    <s v="Pune"/>
    <s v="Online"/>
    <s v="Online"/>
    <s v="Vikram Tiwari"/>
    <n v="1196.82"/>
    <n v="6"/>
    <n v="7180.92"/>
    <n v="12.6"/>
    <n v="6276.12"/>
    <n v="40.1"/>
    <n v="2516.7199999999998"/>
    <s v="Fulfilled"/>
  </r>
  <r>
    <s v="ORD-2026-0358"/>
    <s v="2026-01-24"/>
    <x v="7"/>
    <s v="Q1"/>
    <s v="Protein Powder"/>
    <s v="Food"/>
    <x v="1"/>
    <s v="Chennai"/>
    <s v="Wholesale"/>
    <s v="B2B"/>
    <s v="Amit Joshi"/>
    <n v="272.36"/>
    <n v="23"/>
    <n v="6264.28"/>
    <n v="8.3000000000000007"/>
    <n v="5744.34"/>
    <n v="37.5"/>
    <n v="2154.13"/>
    <s v="Cancelled"/>
  </r>
  <r>
    <s v="ORD-2026-0359"/>
    <s v="2026-07-08"/>
    <x v="5"/>
    <s v="Q3"/>
    <s v="Resistance Bands"/>
    <s v="Sports"/>
    <x v="3"/>
    <s v="Surat"/>
    <s v="Wholesale"/>
    <s v="Partner"/>
    <s v="Deepak Rao"/>
    <n v="5351.17"/>
    <n v="13"/>
    <n v="69565.210000000006"/>
    <n v="21.6"/>
    <n v="54539.12"/>
    <n v="30.9"/>
    <n v="16852.59"/>
    <s v="Fulfilled"/>
  </r>
  <r>
    <s v="ORD-2026-0360"/>
    <s v="2026-01-12"/>
    <x v="7"/>
    <s v="Q1"/>
    <s v="Office Chair"/>
    <s v="Furniture"/>
    <x v="3"/>
    <s v="Pune"/>
    <s v="Online"/>
    <s v="Direct"/>
    <s v="Priya Sharma"/>
    <n v="8178.48"/>
    <n v="17"/>
    <n v="139034.16"/>
    <n v="16.100000000000001"/>
    <n v="116649.66"/>
    <n v="38.700000000000003"/>
    <n v="45143.42"/>
    <s v="Fulfilled"/>
  </r>
  <r>
    <s v="ORD-2026-0361"/>
    <s v="2026-08-15"/>
    <x v="8"/>
    <s v="Q3"/>
    <s v="Foundation Kit"/>
    <s v="Cosmetics"/>
    <x v="2"/>
    <s v="Raipur"/>
    <s v="SMB"/>
    <s v="B2B"/>
    <s v="Neha Patel"/>
    <n v="928.1"/>
    <n v="24"/>
    <n v="22274.400000000001"/>
    <n v="25"/>
    <n v="16705.8"/>
    <n v="65.3"/>
    <n v="10908.89"/>
    <s v="Fulfilled"/>
  </r>
  <r>
    <s v="ORD-2026-0362"/>
    <s v="2026-04-10"/>
    <x v="4"/>
    <s v="Q2"/>
    <s v="Olive Oil 1L"/>
    <s v="Food"/>
    <x v="3"/>
    <s v="Surat"/>
    <s v="Enterprise"/>
    <s v="Direct"/>
    <s v="Rahul Mehta"/>
    <n v="560.42999999999995"/>
    <n v="21"/>
    <n v="11769.03"/>
    <n v="1.3"/>
    <n v="11616.03"/>
    <n v="36.1"/>
    <n v="4193.3900000000003"/>
    <s v="Fulfilled"/>
  </r>
  <r>
    <s v="ORD-2026-0363"/>
    <s v="2026-02-16"/>
    <x v="6"/>
    <s v="Q1"/>
    <s v="Hair Oil 200ml"/>
    <s v="Cosmetics"/>
    <x v="4"/>
    <s v="Lucknow"/>
    <s v="Wholesale"/>
    <s v="Direct"/>
    <s v="Rahul Mehta"/>
    <n v="2597.2399999999998"/>
    <n v="3"/>
    <n v="7791.72"/>
    <n v="11.6"/>
    <n v="6887.88"/>
    <n v="64.900000000000006"/>
    <n v="4470.2299999999996"/>
    <s v="Fulfilled"/>
  </r>
  <r>
    <s v="ORD-2026-0364"/>
    <s v="2026-07-23"/>
    <x v="5"/>
    <s v="Q3"/>
    <s v="Cotton T-Shirt"/>
    <s v="Apparel"/>
    <x v="4"/>
    <s v="Delhi"/>
    <s v="Retail"/>
    <s v="B2B"/>
    <s v="Sunita Lal"/>
    <n v="2059.67"/>
    <n v="15"/>
    <n v="30895.05"/>
    <n v="13.3"/>
    <n v="26786.01"/>
    <n v="40.6"/>
    <n v="10875.12"/>
    <s v="Fulfilled"/>
  </r>
  <r>
    <s v="ORD-2026-0365"/>
    <s v="2026-08-20"/>
    <x v="8"/>
    <s v="Q3"/>
    <s v="Sports Shorts"/>
    <s v="Apparel"/>
    <x v="1"/>
    <s v="Chennai"/>
    <s v="Retail"/>
    <s v="Partner"/>
    <s v="Aisha Khan"/>
    <n v="1465.37"/>
    <n v="10"/>
    <n v="14653.7"/>
    <n v="2"/>
    <n v="14360.63"/>
    <n v="45.5"/>
    <n v="6534.09"/>
    <s v="Fulfilled"/>
  </r>
  <r>
    <s v="ORD-2026-0366"/>
    <s v="2026-08-19"/>
    <x v="8"/>
    <s v="Q3"/>
    <s v="Sports Shorts"/>
    <s v="Apparel"/>
    <x v="1"/>
    <s v="Hyderabad"/>
    <s v="Retail"/>
    <s v="B2B"/>
    <s v="Neha Patel"/>
    <n v="939.65"/>
    <n v="25"/>
    <n v="23491.25"/>
    <n v="12.9"/>
    <n v="20460.88"/>
    <n v="49.4"/>
    <n v="10107.67"/>
    <s v="Returned"/>
  </r>
  <r>
    <s v="ORD-2026-0367"/>
    <s v="2026-06-13"/>
    <x v="10"/>
    <s v="Q2"/>
    <s v="Smart Watch S3"/>
    <s v="Electronics"/>
    <x v="3"/>
    <s v="Surat"/>
    <s v="Wholesale"/>
    <s v="Partner"/>
    <s v="Rohit Das"/>
    <n v="54020.36"/>
    <n v="16"/>
    <n v="864325.76"/>
    <n v="3.2"/>
    <n v="836667.34"/>
    <n v="15.6"/>
    <n v="130520.11"/>
    <s v="Fulfilled"/>
  </r>
  <r>
    <s v="ORD-2026-0368"/>
    <s v="2026-04-10"/>
    <x v="4"/>
    <s v="Q2"/>
    <s v="Book Shelf 5-tier"/>
    <s v="Furniture"/>
    <x v="1"/>
    <s v="Bengaluru"/>
    <s v="Online"/>
    <s v="Online"/>
    <s v="Amit Joshi"/>
    <n v="12511.69"/>
    <n v="5"/>
    <n v="62558.45"/>
    <n v="9.9"/>
    <n v="56365.16"/>
    <n v="29.7"/>
    <n v="16740.45"/>
    <s v="Fulfilled"/>
  </r>
  <r>
    <s v="ORD-2026-0369"/>
    <s v="2026-11-23"/>
    <x v="0"/>
    <s v="Q4"/>
    <s v="Sofa 3-seater"/>
    <s v="Furniture"/>
    <x v="0"/>
    <s v="Guwahati"/>
    <s v="Enterprise"/>
    <s v="Direct"/>
    <s v="Deepak Rao"/>
    <n v="20881.71"/>
    <n v="17"/>
    <n v="354989.07"/>
    <n v="6.7"/>
    <n v="331204.8"/>
    <n v="49.5"/>
    <n v="163946.38"/>
    <s v="Fulfilled"/>
  </r>
  <r>
    <s v="ORD-2026-0370"/>
    <s v="2026-06-08"/>
    <x v="10"/>
    <s v="Q2"/>
    <s v="Bed Frame Queen"/>
    <s v="Furniture"/>
    <x v="3"/>
    <s v="Surat"/>
    <s v="Enterprise"/>
    <s v="Partner"/>
    <s v="Deepak Rao"/>
    <n v="33551.9"/>
    <n v="9"/>
    <n v="301967.09999999998"/>
    <n v="1.1000000000000001"/>
    <n v="298645.46000000002"/>
    <n v="30.7"/>
    <n v="91684.160000000003"/>
    <s v="Fulfilled"/>
  </r>
  <r>
    <s v="ORD-2026-0371"/>
    <s v="2026-08-28"/>
    <x v="8"/>
    <s v="Q3"/>
    <s v="Book Shelf 5-tier"/>
    <s v="Furniture"/>
    <x v="2"/>
    <s v="Raipur"/>
    <s v="Wholesale"/>
    <s v="Direct"/>
    <s v="Sunita Lal"/>
    <n v="42797.18"/>
    <n v="12"/>
    <n v="513566.16"/>
    <n v="23.3"/>
    <n v="393905.24"/>
    <n v="30.3"/>
    <n v="119353.29"/>
    <s v="Fulfilled"/>
  </r>
  <r>
    <s v="ORD-2026-0372"/>
    <s v="2026-04-15"/>
    <x v="4"/>
    <s v="Q2"/>
    <s v="Running Shoes"/>
    <s v="Apparel"/>
    <x v="0"/>
    <s v="Kolkata"/>
    <s v="SMB"/>
    <s v="B2B"/>
    <s v="Amit Joshi"/>
    <n v="1252.8900000000001"/>
    <n v="14"/>
    <n v="17540.46"/>
    <n v="10.1"/>
    <n v="15768.87"/>
    <n v="60.4"/>
    <n v="9524.4"/>
    <s v="Fulfilled"/>
  </r>
  <r>
    <s v="ORD-2026-0373"/>
    <s v="2026-07-31"/>
    <x v="5"/>
    <s v="Q3"/>
    <s v="Kurti Set"/>
    <s v="Apparel"/>
    <x v="2"/>
    <s v="Nagpur"/>
    <s v="Wholesale"/>
    <s v="B2B"/>
    <s v="Priya Sharma"/>
    <n v="916.77"/>
    <n v="10"/>
    <n v="9167.7000000000007"/>
    <n v="12.9"/>
    <n v="7985.07"/>
    <n v="49.6"/>
    <n v="3960.59"/>
    <s v="Fulfilled"/>
  </r>
  <r>
    <s v="ORD-2026-0374"/>
    <s v="2026-09-24"/>
    <x v="3"/>
    <s v="Q3"/>
    <s v="Nut Mix 500g"/>
    <s v="Food"/>
    <x v="3"/>
    <s v="Ahmedabad"/>
    <s v="Wholesale"/>
    <s v="Direct"/>
    <s v="Neha Patel"/>
    <n v="373.2"/>
    <n v="14"/>
    <n v="5224.8"/>
    <n v="5.9"/>
    <n v="4916.54"/>
    <n v="40.9"/>
    <n v="2010.86"/>
    <s v="Pending"/>
  </r>
  <r>
    <s v="ORD-2026-0375"/>
    <s v="2026-08-06"/>
    <x v="8"/>
    <s v="Q3"/>
    <s v="Kurti Set"/>
    <s v="Apparel"/>
    <x v="3"/>
    <s v="Ahmedabad"/>
    <s v="Retail"/>
    <s v="Direct"/>
    <s v="Vikram Tiwari"/>
    <n v="2533.65"/>
    <n v="2"/>
    <n v="5067.3"/>
    <n v="25"/>
    <n v="3800.48"/>
    <n v="52"/>
    <n v="1976.25"/>
    <s v="Fulfilled"/>
  </r>
  <r>
    <s v="ORD-2026-0376"/>
    <s v="2026-09-14"/>
    <x v="3"/>
    <s v="Q3"/>
    <s v="Dumbbells 5kg"/>
    <s v="Sports"/>
    <x v="0"/>
    <s v="Bhubaneswar"/>
    <s v="Retail"/>
    <s v="Direct"/>
    <s v="Rahul Mehta"/>
    <n v="1085.1500000000001"/>
    <n v="22"/>
    <n v="23873.3"/>
    <n v="5"/>
    <n v="22679.63"/>
    <n v="23.3"/>
    <n v="5284.35"/>
    <s v="Fulfilled"/>
  </r>
  <r>
    <s v="ORD-2026-0377"/>
    <s v="2026-01-04"/>
    <x v="7"/>
    <s v="Q1"/>
    <s v="Cycling Helmet"/>
    <s v="Sports"/>
    <x v="4"/>
    <s v="Lucknow"/>
    <s v="Wholesale"/>
    <s v="Direct"/>
    <s v="Kavya Bhat"/>
    <n v="6335.26"/>
    <n v="22"/>
    <n v="139375.72"/>
    <n v="23.9"/>
    <n v="106064.92"/>
    <n v="25.7"/>
    <n v="27258.68"/>
    <s v="Fulfilled"/>
  </r>
  <r>
    <s v="ORD-2026-0378"/>
    <s v="2026-07-07"/>
    <x v="5"/>
    <s v="Q3"/>
    <s v="Denim Jeans"/>
    <s v="Apparel"/>
    <x v="2"/>
    <s v="Raipur"/>
    <s v="Wholesale"/>
    <s v="Online"/>
    <s v="Priya Sharma"/>
    <n v="334.58"/>
    <n v="17"/>
    <n v="5687.86"/>
    <n v="3.4"/>
    <n v="5494.47"/>
    <n v="47.3"/>
    <n v="2598.88"/>
    <s v="Fulfilled"/>
  </r>
  <r>
    <s v="ORD-2026-0379"/>
    <s v="2026-01-30"/>
    <x v="7"/>
    <s v="Q1"/>
    <s v="Cycling Helmet"/>
    <s v="Sports"/>
    <x v="1"/>
    <s v="Chennai"/>
    <s v="Enterprise"/>
    <s v="Online"/>
    <s v="Priya Sharma"/>
    <n v="1228.3900000000001"/>
    <n v="18"/>
    <n v="22111.02"/>
    <n v="14.6"/>
    <n v="18882.810000000001"/>
    <n v="23.6"/>
    <n v="4456.34"/>
    <s v="Fulfilled"/>
  </r>
  <r>
    <s v="ORD-2026-0380"/>
    <s v="2026-12-22"/>
    <x v="1"/>
    <s v="Q4"/>
    <s v="Smart TV 55&quot;"/>
    <s v="Electronics"/>
    <x v="3"/>
    <s v="Mumbai"/>
    <s v="Enterprise"/>
    <s v="Direct"/>
    <s v="Amit Joshi"/>
    <n v="12174.32"/>
    <n v="14"/>
    <n v="170440.48"/>
    <n v="17"/>
    <n v="141465.60000000001"/>
    <n v="20.399999999999999"/>
    <n v="28858.98"/>
    <s v="Fulfilled"/>
  </r>
  <r>
    <s v="ORD-2026-0381"/>
    <s v="2026-07-12"/>
    <x v="5"/>
    <s v="Q3"/>
    <s v="Skipping Rope"/>
    <s v="Sports"/>
    <x v="3"/>
    <s v="Pune"/>
    <s v="Retail"/>
    <s v="Direct"/>
    <s v="Deepak Rao"/>
    <n v="2646.96"/>
    <n v="3"/>
    <n v="7940.88"/>
    <n v="8.1999999999999993"/>
    <n v="7289.73"/>
    <n v="24.3"/>
    <n v="1771.4"/>
    <s v="Fulfilled"/>
  </r>
  <r>
    <s v="ORD-2026-0382"/>
    <s v="2026-07-28"/>
    <x v="5"/>
    <s v="Q3"/>
    <s v="Green Tea Pack"/>
    <s v="Food"/>
    <x v="4"/>
    <s v="Chandigarh"/>
    <s v="Wholesale"/>
    <s v="B2B"/>
    <s v="Rohit Das"/>
    <n v="306.73"/>
    <n v="23"/>
    <n v="7054.79"/>
    <n v="22.8"/>
    <n v="5446.3"/>
    <n v="27.1"/>
    <n v="1475.95"/>
    <s v="Fulfilled"/>
  </r>
  <r>
    <s v="ORD-2026-0383"/>
    <s v="2026-08-30"/>
    <x v="8"/>
    <s v="Q3"/>
    <s v="Protein Powder"/>
    <s v="Food"/>
    <x v="1"/>
    <s v="Hyderabad"/>
    <s v="Wholesale"/>
    <s v="Direct"/>
    <s v="Sunita Lal"/>
    <n v="275.10000000000002"/>
    <n v="1"/>
    <n v="275.10000000000002"/>
    <n v="11.8"/>
    <n v="242.64"/>
    <n v="39.4"/>
    <n v="95.6"/>
    <s v="Fulfilled"/>
  </r>
  <r>
    <s v="ORD-2026-0384"/>
    <s v="2026-02-08"/>
    <x v="6"/>
    <s v="Q1"/>
    <s v="Cotton T-Shirt"/>
    <s v="Apparel"/>
    <x v="4"/>
    <s v="Delhi"/>
    <s v="Wholesale"/>
    <s v="Online"/>
    <s v="Amit Joshi"/>
    <n v="1881.06"/>
    <n v="9"/>
    <n v="16929.54"/>
    <n v="6.7"/>
    <n v="15795.26"/>
    <n v="46.1"/>
    <n v="7281.61"/>
    <s v="Fulfilled"/>
  </r>
  <r>
    <s v="ORD-2026-0385"/>
    <s v="2026-04-06"/>
    <x v="4"/>
    <s v="Q2"/>
    <s v="Cotton T-Shirt"/>
    <s v="Apparel"/>
    <x v="3"/>
    <s v="Pune"/>
    <s v="Retail"/>
    <s v="Direct"/>
    <s v="Kavya Bhat"/>
    <n v="334.09"/>
    <n v="23"/>
    <n v="7684.07"/>
    <n v="19.899999999999999"/>
    <n v="6154.94"/>
    <n v="42.8"/>
    <n v="2634.31"/>
    <s v="Returned"/>
  </r>
  <r>
    <s v="ORD-2026-0386"/>
    <s v="2026-09-02"/>
    <x v="3"/>
    <s v="Q3"/>
    <s v="Cotton T-Shirt"/>
    <s v="Apparel"/>
    <x v="1"/>
    <s v="Kochi"/>
    <s v="Online"/>
    <s v="Online"/>
    <s v="Aisha Khan"/>
    <n v="3827.52"/>
    <n v="5"/>
    <n v="19137.599999999999"/>
    <n v="15.6"/>
    <n v="16152.13"/>
    <n v="43.6"/>
    <n v="7042.33"/>
    <s v="Fulfilled"/>
  </r>
  <r>
    <s v="ORD-2026-0387"/>
    <s v="2026-12-24"/>
    <x v="1"/>
    <s v="Q4"/>
    <s v="Tablet Ultra"/>
    <s v="Electronics"/>
    <x v="2"/>
    <s v="Indore"/>
    <s v="Retail"/>
    <s v="Direct"/>
    <s v="Rohit Das"/>
    <n v="47110.82"/>
    <n v="11"/>
    <n v="518219.02"/>
    <n v="0.5"/>
    <n v="515627.92"/>
    <n v="23.7"/>
    <n v="122203.82"/>
    <s v="Fulfilled"/>
  </r>
  <r>
    <s v="ORD-2026-0388"/>
    <s v="2026-09-18"/>
    <x v="3"/>
    <s v="Q3"/>
    <s v="Nut Mix 500g"/>
    <s v="Food"/>
    <x v="2"/>
    <s v="Raipur"/>
    <s v="Enterprise"/>
    <s v="B2B"/>
    <s v="Sunita Lal"/>
    <n v="350.26"/>
    <n v="8"/>
    <n v="2802.08"/>
    <n v="18.2"/>
    <n v="2292.1"/>
    <n v="35.6"/>
    <n v="815.99"/>
    <s v="Fulfilled"/>
  </r>
  <r>
    <s v="ORD-2026-0389"/>
    <s v="2026-08-26"/>
    <x v="8"/>
    <s v="Q3"/>
    <s v="Kurti Set"/>
    <s v="Apparel"/>
    <x v="0"/>
    <s v="Bhubaneswar"/>
    <s v="SMB"/>
    <s v="B2B"/>
    <s v="Rohit Das"/>
    <n v="579.94000000000005"/>
    <n v="1"/>
    <n v="579.94000000000005"/>
    <n v="1.7"/>
    <n v="570.08000000000004"/>
    <n v="61.4"/>
    <n v="350.03"/>
    <s v="Fulfilled"/>
  </r>
  <r>
    <s v="ORD-2026-0390"/>
    <s v="2026-09-14"/>
    <x v="3"/>
    <s v="Q3"/>
    <s v="Smart TV 55&quot;"/>
    <s v="Electronics"/>
    <x v="4"/>
    <s v="Chandigarh"/>
    <s v="SMB"/>
    <s v="Online"/>
    <s v="Neha Patel"/>
    <n v="36272.129999999997"/>
    <n v="5"/>
    <n v="181360.65"/>
    <n v="10.8"/>
    <n v="161773.70000000001"/>
    <n v="31.3"/>
    <n v="50635.17"/>
    <s v="Fulfilled"/>
  </r>
  <r>
    <s v="ORD-2026-0391"/>
    <s v="2026-05-15"/>
    <x v="11"/>
    <s v="Q2"/>
    <s v="Yoga Mat"/>
    <s v="Sports"/>
    <x v="4"/>
    <s v="Chandigarh"/>
    <s v="Enterprise"/>
    <s v="Direct"/>
    <s v="Aisha Khan"/>
    <n v="6443.9"/>
    <n v="23"/>
    <n v="148209.70000000001"/>
    <n v="5.3"/>
    <n v="140354.59"/>
    <n v="43.3"/>
    <n v="60773.54"/>
    <s v="Fulfilled"/>
  </r>
  <r>
    <s v="ORD-2026-0392"/>
    <s v="2026-02-22"/>
    <x v="6"/>
    <s v="Q1"/>
    <s v="Running Shoes"/>
    <s v="Apparel"/>
    <x v="1"/>
    <s v="Kochi"/>
    <s v="Online"/>
    <s v="Online"/>
    <s v="Amit Joshi"/>
    <n v="3800.84"/>
    <n v="8"/>
    <n v="30406.720000000001"/>
    <n v="22.9"/>
    <n v="23443.58"/>
    <n v="42.4"/>
    <n v="9940.08"/>
    <s v="Fulfilled"/>
  </r>
  <r>
    <s v="ORD-2026-0393"/>
    <s v="2026-10-02"/>
    <x v="2"/>
    <s v="Q4"/>
    <s v="Cotton T-Shirt"/>
    <s v="Apparel"/>
    <x v="3"/>
    <s v="Ahmedabad"/>
    <s v="Retail"/>
    <s v="Partner"/>
    <s v="Priya Sharma"/>
    <n v="2334.62"/>
    <n v="7"/>
    <n v="16342.34"/>
    <n v="18.5"/>
    <n v="13319.01"/>
    <n v="52.4"/>
    <n v="6979.16"/>
    <s v="Fulfilled"/>
  </r>
  <r>
    <s v="ORD-2026-0394"/>
    <s v="2026-08-30"/>
    <x v="8"/>
    <s v="Q3"/>
    <s v="Nut Mix 500g"/>
    <s v="Food"/>
    <x v="2"/>
    <s v="Bhopal"/>
    <s v="SMB"/>
    <s v="Online"/>
    <s v="Priya Sharma"/>
    <n v="292.31"/>
    <n v="11"/>
    <n v="3215.41"/>
    <n v="2.2999999999999998"/>
    <n v="3141.46"/>
    <n v="36"/>
    <n v="1130.93"/>
    <s v="Pending"/>
  </r>
  <r>
    <s v="ORD-2026-0395"/>
    <s v="2026-12-11"/>
    <x v="1"/>
    <s v="Q4"/>
    <s v="Green Tea Pack"/>
    <s v="Food"/>
    <x v="3"/>
    <s v="Mumbai"/>
    <s v="Wholesale"/>
    <s v="Online"/>
    <s v="Rahul Mehta"/>
    <n v="734.06"/>
    <n v="15"/>
    <n v="11010.9"/>
    <n v="9.3000000000000007"/>
    <n v="9986.89"/>
    <n v="27.2"/>
    <n v="2716.43"/>
    <s v="Fulfilled"/>
  </r>
  <r>
    <s v="ORD-2026-0396"/>
    <s v="2026-10-26"/>
    <x v="2"/>
    <s v="Q4"/>
    <s v="Book Shelf 5-tier"/>
    <s v="Furniture"/>
    <x v="4"/>
    <s v="Jaipur"/>
    <s v="SMB"/>
    <s v="Direct"/>
    <s v="Rahul Mehta"/>
    <n v="33567.46"/>
    <n v="24"/>
    <n v="805619.04"/>
    <n v="20.399999999999999"/>
    <n v="641272.76"/>
    <n v="50.9"/>
    <n v="326407.83"/>
    <s v="Returned"/>
  </r>
  <r>
    <s v="ORD-2026-0397"/>
    <s v="2026-03-11"/>
    <x v="9"/>
    <s v="Q1"/>
    <s v="Muesli Box"/>
    <s v="Food"/>
    <x v="2"/>
    <s v="Nagpur"/>
    <s v="Online"/>
    <s v="Direct"/>
    <s v="Priya Sharma"/>
    <n v="609.66999999999996"/>
    <n v="14"/>
    <n v="8535.3799999999992"/>
    <n v="4.4000000000000004"/>
    <n v="8159.82"/>
    <n v="19"/>
    <n v="1550.37"/>
    <s v="Fulfilled"/>
  </r>
  <r>
    <s v="ORD-2026-0398"/>
    <s v="2026-10-24"/>
    <x v="2"/>
    <s v="Q4"/>
    <s v="Book Shelf 5-tier"/>
    <s v="Furniture"/>
    <x v="0"/>
    <s v="Kolkata"/>
    <s v="Online"/>
    <s v="Online"/>
    <s v="Rohit Das"/>
    <n v="13453.87"/>
    <n v="11"/>
    <n v="147992.57"/>
    <n v="18.8"/>
    <n v="120169.97"/>
    <n v="35.299999999999997"/>
    <n v="42420"/>
    <s v="Fulfilled"/>
  </r>
  <r>
    <s v="ORD-2026-0399"/>
    <s v="2026-03-22"/>
    <x v="9"/>
    <s v="Q1"/>
    <s v="Formal Shirt"/>
    <s v="Apparel"/>
    <x v="4"/>
    <s v="Chandigarh"/>
    <s v="Wholesale"/>
    <s v="B2B"/>
    <s v="Sunita Lal"/>
    <n v="1464.69"/>
    <n v="1"/>
    <n v="1464.69"/>
    <n v="15.8"/>
    <n v="1233.27"/>
    <n v="55.4"/>
    <n v="683.23"/>
    <s v="Pending"/>
  </r>
  <r>
    <s v="ORD-2026-0400"/>
    <s v="2026-11-04"/>
    <x v="0"/>
    <s v="Q4"/>
    <s v="Badminton Set"/>
    <s v="Sports"/>
    <x v="2"/>
    <s v="Nagpur"/>
    <s v="Retail"/>
    <s v="Partner"/>
    <s v="Vikram Tiwari"/>
    <n v="4197.1000000000004"/>
    <n v="12"/>
    <n v="50365.2"/>
    <n v="12.5"/>
    <n v="44069.55"/>
    <n v="34.1"/>
    <n v="15027.72"/>
    <s v="Fulfilled"/>
  </r>
  <r>
    <s v="ORD-2026-0401"/>
    <s v="2026-07-01"/>
    <x v="5"/>
    <s v="Q3"/>
    <s v="Cycling Helmet"/>
    <s v="Sports"/>
    <x v="0"/>
    <s v="Patna"/>
    <s v="Online"/>
    <s v="Online"/>
    <s v="Rohit Das"/>
    <n v="1645.44"/>
    <n v="16"/>
    <n v="26327.040000000001"/>
    <n v="22.3"/>
    <n v="20456.11"/>
    <n v="23"/>
    <n v="4704.91"/>
    <s v="Pending"/>
  </r>
  <r>
    <s v="ORD-2026-0402"/>
    <s v="2026-04-21"/>
    <x v="4"/>
    <s v="Q2"/>
    <s v="Gaming Console"/>
    <s v="Electronics"/>
    <x v="0"/>
    <s v="Patna"/>
    <s v="Enterprise"/>
    <s v="B2B"/>
    <s v="Kavya Bhat"/>
    <n v="62270.35"/>
    <n v="13"/>
    <n v="809514.55"/>
    <n v="7.9"/>
    <n v="745562.9"/>
    <n v="24.2"/>
    <n v="180426.22"/>
    <s v="Fulfilled"/>
  </r>
  <r>
    <s v="ORD-2026-0403"/>
    <s v="2026-01-22"/>
    <x v="7"/>
    <s v="Q1"/>
    <s v="Cotton T-Shirt"/>
    <s v="Apparel"/>
    <x v="1"/>
    <s v="Bengaluru"/>
    <s v="Wholesale"/>
    <s v="Direct"/>
    <s v="Kavya Bhat"/>
    <n v="4327.97"/>
    <n v="23"/>
    <n v="99543.31"/>
    <n v="0.8"/>
    <n v="98746.96"/>
    <n v="49.5"/>
    <n v="48879.75"/>
    <s v="Fulfilled"/>
  </r>
  <r>
    <s v="ORD-2026-0404"/>
    <s v="2026-05-06"/>
    <x v="11"/>
    <s v="Q2"/>
    <s v="Kurti Set"/>
    <s v="Apparel"/>
    <x v="4"/>
    <s v="Jaipur"/>
    <s v="Retail"/>
    <s v="B2B"/>
    <s v="Neha Patel"/>
    <n v="818.02"/>
    <n v="22"/>
    <n v="17996.439999999999"/>
    <n v="7.7"/>
    <n v="16610.71"/>
    <n v="53.6"/>
    <n v="8903.34"/>
    <s v="Pending"/>
  </r>
  <r>
    <s v="ORD-2026-0405"/>
    <s v="2026-08-27"/>
    <x v="8"/>
    <s v="Q3"/>
    <s v="Olive Oil 1L"/>
    <s v="Food"/>
    <x v="3"/>
    <s v="Ahmedabad"/>
    <s v="Enterprise"/>
    <s v="Online"/>
    <s v="Neha Patel"/>
    <n v="1056.27"/>
    <n v="3"/>
    <n v="3168.81"/>
    <n v="4.7"/>
    <n v="3019.88"/>
    <n v="26.2"/>
    <n v="791.21"/>
    <s v="Fulfilled"/>
  </r>
  <r>
    <s v="ORD-2026-0406"/>
    <s v="2026-03-25"/>
    <x v="9"/>
    <s v="Q1"/>
    <s v="Olive Oil 1L"/>
    <s v="Food"/>
    <x v="3"/>
    <s v="Surat"/>
    <s v="Wholesale"/>
    <s v="Direct"/>
    <s v="Kavya Bhat"/>
    <n v="802.18"/>
    <n v="14"/>
    <n v="11230.52"/>
    <n v="16.100000000000001"/>
    <n v="9422.41"/>
    <n v="34.6"/>
    <n v="3260.15"/>
    <s v="Fulfilled"/>
  </r>
  <r>
    <s v="ORD-2026-0407"/>
    <s v="2026-01-24"/>
    <x v="7"/>
    <s v="Q1"/>
    <s v="Skipping Rope"/>
    <s v="Sports"/>
    <x v="0"/>
    <s v="Guwahati"/>
    <s v="Retail"/>
    <s v="B2B"/>
    <s v="Priya Sharma"/>
    <n v="2193.81"/>
    <n v="21"/>
    <n v="46070.01"/>
    <n v="24.4"/>
    <n v="34828.93"/>
    <n v="44.8"/>
    <n v="15603.36"/>
    <s v="Fulfilled"/>
  </r>
  <r>
    <s v="ORD-2026-0408"/>
    <s v="2026-08-25"/>
    <x v="8"/>
    <s v="Q3"/>
    <s v="DSLR Camera"/>
    <s v="Electronics"/>
    <x v="0"/>
    <s v="Bhubaneswar"/>
    <s v="Retail"/>
    <s v="Direct"/>
    <s v="Priya Sharma"/>
    <n v="62956.94"/>
    <n v="14"/>
    <n v="881397.16"/>
    <n v="9.1"/>
    <n v="801190.02"/>
    <n v="28.2"/>
    <n v="225935.59"/>
    <s v="Fulfilled"/>
  </r>
  <r>
    <s v="ORD-2026-0409"/>
    <s v="2026-01-27"/>
    <x v="7"/>
    <s v="Q1"/>
    <s v="Badminton Set"/>
    <s v="Sports"/>
    <x v="0"/>
    <s v="Kolkata"/>
    <s v="Retail"/>
    <s v="Partner"/>
    <s v="Deepak Rao"/>
    <n v="5373.97"/>
    <n v="21"/>
    <n v="112853.37"/>
    <n v="13.8"/>
    <n v="97279.6"/>
    <n v="28.1"/>
    <n v="27335.57"/>
    <s v="Returned"/>
  </r>
  <r>
    <s v="ORD-2026-0410"/>
    <s v="2026-06-23"/>
    <x v="10"/>
    <s v="Q2"/>
    <s v="Body Lotion"/>
    <s v="Cosmetics"/>
    <x v="1"/>
    <s v="Kochi"/>
    <s v="Wholesale"/>
    <s v="Online"/>
    <s v="Amit Joshi"/>
    <n v="1339.67"/>
    <n v="17"/>
    <n v="22774.39"/>
    <n v="16.899999999999999"/>
    <n v="18925.52"/>
    <n v="55.7"/>
    <n v="10541.51"/>
    <s v="Fulfilled"/>
  </r>
  <r>
    <s v="ORD-2026-0411"/>
    <s v="2026-11-27"/>
    <x v="0"/>
    <s v="Q4"/>
    <s v="Badminton Set"/>
    <s v="Sports"/>
    <x v="4"/>
    <s v="Lucknow"/>
    <s v="SMB"/>
    <s v="B2B"/>
    <s v="Vikram Tiwari"/>
    <n v="8100.15"/>
    <n v="6"/>
    <n v="48600.9"/>
    <n v="1.7"/>
    <n v="47774.68"/>
    <n v="44.2"/>
    <n v="21116.41"/>
    <s v="Fulfilled"/>
  </r>
  <r>
    <s v="ORD-2026-0412"/>
    <s v="2026-12-01"/>
    <x v="1"/>
    <s v="Q4"/>
    <s v="Yoga Mat"/>
    <s v="Sports"/>
    <x v="0"/>
    <s v="Bhubaneswar"/>
    <s v="Online"/>
    <s v="Online"/>
    <s v="Neha Patel"/>
    <n v="3378.48"/>
    <n v="13"/>
    <n v="43920.24"/>
    <n v="7.2"/>
    <n v="40757.980000000003"/>
    <n v="30.8"/>
    <n v="12553.46"/>
    <s v="Fulfilled"/>
  </r>
  <r>
    <s v="ORD-2026-0413"/>
    <s v="2026-03-26"/>
    <x v="9"/>
    <s v="Q1"/>
    <s v="Face Serum"/>
    <s v="Cosmetics"/>
    <x v="3"/>
    <s v="Ahmedabad"/>
    <s v="Enterprise"/>
    <s v="Online"/>
    <s v="Deepak Rao"/>
    <n v="2372.02"/>
    <n v="23"/>
    <n v="54556.46"/>
    <n v="7.3"/>
    <n v="50573.84"/>
    <n v="56.8"/>
    <n v="28725.94"/>
    <s v="Fulfilled"/>
  </r>
  <r>
    <s v="ORD-2026-0414"/>
    <s v="2026-09-19"/>
    <x v="3"/>
    <s v="Q3"/>
    <s v="Running Shoes"/>
    <s v="Apparel"/>
    <x v="4"/>
    <s v="Delhi"/>
    <s v="Wholesale"/>
    <s v="Direct"/>
    <s v="Rahul Mehta"/>
    <n v="1361.71"/>
    <n v="18"/>
    <n v="24510.78"/>
    <n v="19.7"/>
    <n v="19682.16"/>
    <n v="59.5"/>
    <n v="11710.89"/>
    <s v="Fulfilled"/>
  </r>
  <r>
    <s v="ORD-2026-0415"/>
    <s v="2026-10-18"/>
    <x v="2"/>
    <s v="Q4"/>
    <s v="Formal Shirt"/>
    <s v="Apparel"/>
    <x v="4"/>
    <s v="Delhi"/>
    <s v="Wholesale"/>
    <s v="B2B"/>
    <s v="Rohit Das"/>
    <n v="4929.1000000000004"/>
    <n v="14"/>
    <n v="69007.399999999994"/>
    <n v="14.1"/>
    <n v="59277.36"/>
    <n v="40.9"/>
    <n v="24244.44"/>
    <s v="Fulfilled"/>
  </r>
  <r>
    <s v="ORD-2026-0416"/>
    <s v="2026-11-22"/>
    <x v="0"/>
    <s v="Q4"/>
    <s v="Resistance Bands"/>
    <s v="Sports"/>
    <x v="0"/>
    <s v="Kolkata"/>
    <s v="Online"/>
    <s v="Direct"/>
    <s v="Rahul Mehta"/>
    <n v="6869.73"/>
    <n v="7"/>
    <n v="48088.11"/>
    <n v="1"/>
    <n v="47607.23"/>
    <n v="45.1"/>
    <n v="21470.86"/>
    <s v="Fulfilled"/>
  </r>
  <r>
    <s v="ORD-2026-0417"/>
    <s v="2026-11-14"/>
    <x v="0"/>
    <s v="Q4"/>
    <s v="DSLR Camera"/>
    <s v="Electronics"/>
    <x v="3"/>
    <s v="Ahmedabad"/>
    <s v="Retail"/>
    <s v="Partner"/>
    <s v="Deepak Rao"/>
    <n v="61380.55"/>
    <n v="19"/>
    <n v="1166230.45"/>
    <n v="6"/>
    <n v="1096256.6200000001"/>
    <n v="28.4"/>
    <n v="311336.88"/>
    <s v="Fulfilled"/>
  </r>
  <r>
    <s v="ORD-2026-0418"/>
    <s v="2026-06-14"/>
    <x v="10"/>
    <s v="Q2"/>
    <s v="Lip Gloss Set"/>
    <s v="Cosmetics"/>
    <x v="1"/>
    <s v="Hyderabad"/>
    <s v="Enterprise"/>
    <s v="B2B"/>
    <s v="Vikram Tiwari"/>
    <n v="1408.64"/>
    <n v="21"/>
    <n v="29581.439999999999"/>
    <n v="6.8"/>
    <n v="27569.9"/>
    <n v="70.5"/>
    <n v="19436.78"/>
    <s v="Fulfilled"/>
  </r>
  <r>
    <s v="ORD-2026-0419"/>
    <s v="2026-03-02"/>
    <x v="9"/>
    <s v="Q1"/>
    <s v="Kurti Set"/>
    <s v="Apparel"/>
    <x v="0"/>
    <s v="Kolkata"/>
    <s v="Online"/>
    <s v="Online"/>
    <s v="Deepak Rao"/>
    <n v="1959.97"/>
    <n v="18"/>
    <n v="35279.46"/>
    <n v="17.3"/>
    <n v="29176.11"/>
    <n v="59"/>
    <n v="17213.900000000001"/>
    <s v="Fulfilled"/>
  </r>
  <r>
    <s v="ORD-2026-0420"/>
    <s v="2026-09-01"/>
    <x v="3"/>
    <s v="Q3"/>
    <s v="Office Chair"/>
    <s v="Furniture"/>
    <x v="0"/>
    <s v="Kolkata"/>
    <s v="Online"/>
    <s v="Partner"/>
    <s v="Rahul Mehta"/>
    <n v="9789.93"/>
    <n v="24"/>
    <n v="234958.32"/>
    <n v="5.3"/>
    <n v="222505.53"/>
    <n v="33.4"/>
    <n v="74316.850000000006"/>
    <s v="Fulfilled"/>
  </r>
  <r>
    <s v="ORD-2026-0421"/>
    <s v="2026-04-16"/>
    <x v="4"/>
    <s v="Q2"/>
    <s v="Eye Shadow Palette"/>
    <s v="Cosmetics"/>
    <x v="4"/>
    <s v="Lucknow"/>
    <s v="SMB"/>
    <s v="B2B"/>
    <s v="Rahul Mehta"/>
    <n v="1536.53"/>
    <n v="6"/>
    <n v="9219.18"/>
    <n v="11.6"/>
    <n v="8149.76"/>
    <n v="59.8"/>
    <n v="4873.5600000000004"/>
    <s v="Cancelled"/>
  </r>
  <r>
    <s v="ORD-2026-0422"/>
    <s v="2026-09-03"/>
    <x v="3"/>
    <s v="Q3"/>
    <s v="Dumbbells 5kg"/>
    <s v="Sports"/>
    <x v="0"/>
    <s v="Kolkata"/>
    <s v="Wholesale"/>
    <s v="Direct"/>
    <s v="Sunita Lal"/>
    <n v="3297.04"/>
    <n v="16"/>
    <n v="52752.639999999999"/>
    <n v="21.6"/>
    <n v="41358.07"/>
    <n v="47.3"/>
    <n v="19562.37"/>
    <s v="Fulfilled"/>
  </r>
  <r>
    <s v="ORD-2026-0423"/>
    <s v="2026-03-15"/>
    <x v="9"/>
    <s v="Q1"/>
    <s v="Green Tea Pack"/>
    <s v="Food"/>
    <x v="1"/>
    <s v="Chennai"/>
    <s v="Enterprise"/>
    <s v="Direct"/>
    <s v="Neha Patel"/>
    <n v="684.22"/>
    <n v="13"/>
    <n v="8894.86"/>
    <n v="3.5"/>
    <n v="8583.5400000000009"/>
    <n v="18.2"/>
    <n v="1562.2"/>
    <s v="Fulfilled"/>
  </r>
  <r>
    <s v="ORD-2026-0424"/>
    <s v="2026-05-10"/>
    <x v="11"/>
    <s v="Q2"/>
    <s v="Dumbbells 5kg"/>
    <s v="Sports"/>
    <x v="0"/>
    <s v="Bhubaneswar"/>
    <s v="SMB"/>
    <s v="Partner"/>
    <s v="Neha Patel"/>
    <n v="980"/>
    <n v="7"/>
    <n v="6860"/>
    <n v="8.1999999999999993"/>
    <n v="6297.48"/>
    <n v="28.8"/>
    <n v="1813.67"/>
    <s v="Fulfilled"/>
  </r>
  <r>
    <s v="ORD-2026-0425"/>
    <s v="2026-06-12"/>
    <x v="10"/>
    <s v="Q2"/>
    <s v="Body Lotion"/>
    <s v="Cosmetics"/>
    <x v="2"/>
    <s v="Nagpur"/>
    <s v="Wholesale"/>
    <s v="Partner"/>
    <s v="Priya Sharma"/>
    <n v="2615.56"/>
    <n v="25"/>
    <n v="65389"/>
    <n v="23.9"/>
    <n v="49761.03"/>
    <n v="51.4"/>
    <n v="25577.17"/>
    <s v="Fulfilled"/>
  </r>
  <r>
    <s v="ORD-2026-0426"/>
    <s v="2026-08-20"/>
    <x v="8"/>
    <s v="Q3"/>
    <s v="Badminton Set"/>
    <s v="Sports"/>
    <x v="4"/>
    <s v="Delhi"/>
    <s v="Online"/>
    <s v="B2B"/>
    <s v="Vikram Tiwari"/>
    <n v="783.92"/>
    <n v="21"/>
    <n v="16462.32"/>
    <n v="24.7"/>
    <n v="12396.13"/>
    <n v="38.299999999999997"/>
    <n v="4747.72"/>
    <s v="Returned"/>
  </r>
  <r>
    <s v="ORD-2026-0427"/>
    <s v="2026-09-04"/>
    <x v="3"/>
    <s v="Q3"/>
    <s v="Wardrobe 3-door"/>
    <s v="Furniture"/>
    <x v="0"/>
    <s v="Kolkata"/>
    <s v="Retail"/>
    <s v="B2B"/>
    <s v="Priya Sharma"/>
    <n v="21709.599999999999"/>
    <n v="1"/>
    <n v="21709.599999999999"/>
    <n v="6.7"/>
    <n v="20255.060000000001"/>
    <n v="33.200000000000003"/>
    <n v="6724.68"/>
    <s v="Cancelled"/>
  </r>
  <r>
    <s v="ORD-2026-0428"/>
    <s v="2026-01-10"/>
    <x v="7"/>
    <s v="Q1"/>
    <s v="Nut Mix 500g"/>
    <s v="Food"/>
    <x v="4"/>
    <s v="Jaipur"/>
    <s v="Wholesale"/>
    <s v="Direct"/>
    <s v="Rohit Das"/>
    <n v="253.53"/>
    <n v="25"/>
    <n v="6338.25"/>
    <n v="2.2999999999999998"/>
    <n v="6192.47"/>
    <n v="34.200000000000003"/>
    <n v="2117.8200000000002"/>
    <s v="Fulfilled"/>
  </r>
  <r>
    <s v="ORD-2026-0429"/>
    <s v="2026-03-27"/>
    <x v="9"/>
    <s v="Q1"/>
    <s v="Wardrobe 3-door"/>
    <s v="Furniture"/>
    <x v="1"/>
    <s v="Chennai"/>
    <s v="Enterprise"/>
    <s v="Online"/>
    <s v="Neha Patel"/>
    <n v="9941.34"/>
    <n v="7"/>
    <n v="69589.38"/>
    <n v="7.6"/>
    <n v="64300.59"/>
    <n v="46"/>
    <n v="29578.27"/>
    <s v="Cancelled"/>
  </r>
  <r>
    <s v="ORD-2026-0430"/>
    <s v="2026-12-27"/>
    <x v="1"/>
    <s v="Q4"/>
    <s v="Gaming Console"/>
    <s v="Electronics"/>
    <x v="3"/>
    <s v="Mumbai"/>
    <s v="Retail"/>
    <s v="Online"/>
    <s v="Rohit Das"/>
    <n v="79060.94"/>
    <n v="16"/>
    <n v="1264975.04"/>
    <n v="10.7"/>
    <n v="1129622.71"/>
    <n v="13.5"/>
    <n v="152499.07"/>
    <s v="Cancelled"/>
  </r>
  <r>
    <s v="ORD-2026-0431"/>
    <s v="2026-02-03"/>
    <x v="6"/>
    <s v="Q1"/>
    <s v="Yoga Mat"/>
    <s v="Sports"/>
    <x v="3"/>
    <s v="Mumbai"/>
    <s v="SMB"/>
    <s v="Direct"/>
    <s v="Kavya Bhat"/>
    <n v="2835.5"/>
    <n v="12"/>
    <n v="34026"/>
    <n v="20.9"/>
    <n v="26914.57"/>
    <n v="37.1"/>
    <n v="9985.31"/>
    <s v="Fulfilled"/>
  </r>
  <r>
    <s v="ORD-2026-0432"/>
    <s v="2026-05-13"/>
    <x v="11"/>
    <s v="Q2"/>
    <s v="Badminton Set"/>
    <s v="Sports"/>
    <x v="3"/>
    <s v="Mumbai"/>
    <s v="Wholesale"/>
    <s v="Partner"/>
    <s v="Sunita Lal"/>
    <n v="1487.97"/>
    <n v="5"/>
    <n v="7439.85"/>
    <n v="8.9"/>
    <n v="6777.7"/>
    <n v="25.7"/>
    <n v="1741.87"/>
    <s v="Fulfilled"/>
  </r>
  <r>
    <s v="ORD-2026-0433"/>
    <s v="2026-11-15"/>
    <x v="0"/>
    <s v="Q4"/>
    <s v="Olive Oil 1L"/>
    <s v="Food"/>
    <x v="0"/>
    <s v="Kolkata"/>
    <s v="Online"/>
    <s v="Partner"/>
    <s v="Neha Patel"/>
    <n v="690.32"/>
    <n v="25"/>
    <n v="17258"/>
    <n v="4.8"/>
    <n v="16429.62"/>
    <n v="25.2"/>
    <n v="4140.26"/>
    <s v="Fulfilled"/>
  </r>
  <r>
    <s v="ORD-2026-0434"/>
    <s v="2026-07-28"/>
    <x v="5"/>
    <s v="Q3"/>
    <s v="Study Table"/>
    <s v="Furniture"/>
    <x v="4"/>
    <s v="Jaipur"/>
    <s v="Enterprise"/>
    <s v="Direct"/>
    <s v="Aisha Khan"/>
    <n v="31327.39"/>
    <n v="1"/>
    <n v="31327.39"/>
    <n v="21.2"/>
    <n v="24685.98"/>
    <n v="42.5"/>
    <n v="10491.54"/>
    <s v="Returned"/>
  </r>
  <r>
    <s v="ORD-2026-0435"/>
    <s v="2026-10-12"/>
    <x v="2"/>
    <s v="Q4"/>
    <s v="Yoga Mat"/>
    <s v="Sports"/>
    <x v="2"/>
    <s v="Raipur"/>
    <s v="Online"/>
    <s v="Online"/>
    <s v="Kavya Bhat"/>
    <n v="1373.9"/>
    <n v="6"/>
    <n v="8243.4"/>
    <n v="2.2999999999999998"/>
    <n v="8053.8"/>
    <n v="37.299999999999997"/>
    <n v="3004.07"/>
    <s v="Returned"/>
  </r>
  <r>
    <s v="ORD-2026-0436"/>
    <s v="2026-06-07"/>
    <x v="10"/>
    <s v="Q2"/>
    <s v="Bed Frame Queen"/>
    <s v="Furniture"/>
    <x v="4"/>
    <s v="Delhi"/>
    <s v="SMB"/>
    <s v="Partner"/>
    <s v="Deepak Rao"/>
    <n v="43605.2"/>
    <n v="1"/>
    <n v="43605.2"/>
    <n v="13.5"/>
    <n v="37718.5"/>
    <n v="34.5"/>
    <n v="13012.88"/>
    <s v="Pending"/>
  </r>
  <r>
    <s v="ORD-2026-0437"/>
    <s v="2026-07-11"/>
    <x v="5"/>
    <s v="Q3"/>
    <s v="Denim Jeans"/>
    <s v="Apparel"/>
    <x v="1"/>
    <s v="Kochi"/>
    <s v="SMB"/>
    <s v="Online"/>
    <s v="Neha Patel"/>
    <n v="4645.82"/>
    <n v="12"/>
    <n v="55749.84"/>
    <n v="16.899999999999999"/>
    <n v="46328.12"/>
    <n v="42.3"/>
    <n v="19596.79"/>
    <s v="Returned"/>
  </r>
  <r>
    <s v="ORD-2026-0438"/>
    <s v="2026-03-28"/>
    <x v="9"/>
    <s v="Q1"/>
    <s v="Tablet Ultra"/>
    <s v="Electronics"/>
    <x v="4"/>
    <s v="Lucknow"/>
    <s v="SMB"/>
    <s v="Direct"/>
    <s v="Neha Patel"/>
    <n v="79216.509999999995"/>
    <n v="15"/>
    <n v="1188247.6499999999"/>
    <n v="14.1"/>
    <n v="1020704.73"/>
    <n v="13.3"/>
    <n v="135753.73000000001"/>
    <s v="Fulfilled"/>
  </r>
  <r>
    <s v="ORD-2026-0439"/>
    <s v="2026-07-03"/>
    <x v="5"/>
    <s v="Q3"/>
    <s v="Football Pro"/>
    <s v="Sports"/>
    <x v="1"/>
    <s v="Kochi"/>
    <s v="SMB"/>
    <s v="Direct"/>
    <s v="Neha Patel"/>
    <n v="6867.01"/>
    <n v="25"/>
    <n v="171675.25"/>
    <n v="16.2"/>
    <n v="143863.85999999999"/>
    <n v="23.8"/>
    <n v="34239.599999999999"/>
    <s v="Returned"/>
  </r>
  <r>
    <s v="ORD-2026-0440"/>
    <s v="2026-10-03"/>
    <x v="2"/>
    <s v="Q4"/>
    <s v="Denim Jeans"/>
    <s v="Apparel"/>
    <x v="1"/>
    <s v="Hyderabad"/>
    <s v="Enterprise"/>
    <s v="Partner"/>
    <s v="Priya Sharma"/>
    <n v="3223.8"/>
    <n v="15"/>
    <n v="48357"/>
    <n v="5.9"/>
    <n v="45503.94"/>
    <n v="44.2"/>
    <n v="20112.740000000002"/>
    <s v="Fulfilled"/>
  </r>
  <r>
    <s v="ORD-2026-0441"/>
    <s v="2026-08-13"/>
    <x v="8"/>
    <s v="Q3"/>
    <s v="Smart Watch S3"/>
    <s v="Electronics"/>
    <x v="1"/>
    <s v="Chennai"/>
    <s v="SMB"/>
    <s v="B2B"/>
    <s v="Sunita Lal"/>
    <n v="40108.230000000003"/>
    <n v="16"/>
    <n v="641731.68000000005"/>
    <n v="19.399999999999999"/>
    <n v="517235.73"/>
    <n v="17.3"/>
    <n v="89481.78"/>
    <s v="Fulfilled"/>
  </r>
  <r>
    <s v="ORD-2026-0442"/>
    <s v="2026-07-27"/>
    <x v="5"/>
    <s v="Q3"/>
    <s v="Running Shoes"/>
    <s v="Apparel"/>
    <x v="0"/>
    <s v="Kolkata"/>
    <s v="SMB"/>
    <s v="Direct"/>
    <s v="Aisha Khan"/>
    <n v="3756.62"/>
    <n v="6"/>
    <n v="22539.72"/>
    <n v="2.6"/>
    <n v="21953.69"/>
    <n v="45"/>
    <n v="9879.16"/>
    <s v="Fulfilled"/>
  </r>
  <r>
    <s v="ORD-2026-0443"/>
    <s v="2026-10-02"/>
    <x v="2"/>
    <s v="Q4"/>
    <s v="Smart Watch S3"/>
    <s v="Electronics"/>
    <x v="3"/>
    <s v="Ahmedabad"/>
    <s v="Wholesale"/>
    <s v="Partner"/>
    <s v="Rahul Mehta"/>
    <n v="45146.94"/>
    <n v="21"/>
    <n v="948085.74"/>
    <n v="17.899999999999999"/>
    <n v="778378.39"/>
    <n v="26.4"/>
    <n v="205491.89"/>
    <s v="Fulfilled"/>
  </r>
  <r>
    <s v="ORD-2026-0444"/>
    <s v="2026-09-18"/>
    <x v="3"/>
    <s v="Q3"/>
    <s v="Cotton T-Shirt"/>
    <s v="Apparel"/>
    <x v="3"/>
    <s v="Ahmedabad"/>
    <s v="Online"/>
    <s v="Direct"/>
    <s v="Neha Patel"/>
    <n v="2642.49"/>
    <n v="14"/>
    <n v="36994.86"/>
    <n v="3"/>
    <n v="35885.01"/>
    <n v="46.7"/>
    <n v="16758.3"/>
    <s v="Fulfilled"/>
  </r>
  <r>
    <s v="ORD-2026-0445"/>
    <s v="2026-05-29"/>
    <x v="11"/>
    <s v="Q2"/>
    <s v="Eye Shadow Palette"/>
    <s v="Cosmetics"/>
    <x v="0"/>
    <s v="Kolkata"/>
    <s v="Wholesale"/>
    <s v="Direct"/>
    <s v="Aisha Khan"/>
    <n v="259.86"/>
    <n v="3"/>
    <n v="779.58"/>
    <n v="7.2"/>
    <n v="723.45"/>
    <n v="54.8"/>
    <n v="396.45"/>
    <s v="Pending"/>
  </r>
  <r>
    <s v="ORD-2026-0446"/>
    <s v="2026-03-21"/>
    <x v="9"/>
    <s v="Q1"/>
    <s v="Body Lotion"/>
    <s v="Cosmetics"/>
    <x v="3"/>
    <s v="Ahmedabad"/>
    <s v="Wholesale"/>
    <s v="B2B"/>
    <s v="Rohit Das"/>
    <n v="764.8"/>
    <n v="25"/>
    <n v="19120"/>
    <n v="22.7"/>
    <n v="14779.76"/>
    <n v="49.1"/>
    <n v="7256.86"/>
    <s v="Fulfilled"/>
  </r>
  <r>
    <s v="ORD-2026-0447"/>
    <s v="2026-10-27"/>
    <x v="2"/>
    <s v="Q4"/>
    <s v="Formal Shirt"/>
    <s v="Apparel"/>
    <x v="4"/>
    <s v="Lucknow"/>
    <s v="Wholesale"/>
    <s v="B2B"/>
    <s v="Amit Joshi"/>
    <n v="4512.97"/>
    <n v="3"/>
    <n v="13538.91"/>
    <n v="22.1"/>
    <n v="10546.81"/>
    <n v="38.5"/>
    <n v="4060.52"/>
    <s v="Fulfilled"/>
  </r>
  <r>
    <s v="ORD-2026-0448"/>
    <s v="2026-04-18"/>
    <x v="4"/>
    <s v="Q2"/>
    <s v="Smart Watch S3"/>
    <s v="Electronics"/>
    <x v="3"/>
    <s v="Mumbai"/>
    <s v="SMB"/>
    <s v="Partner"/>
    <s v="Aisha Khan"/>
    <n v="91809.46"/>
    <n v="5"/>
    <n v="459047.3"/>
    <n v="1.6"/>
    <n v="451702.54"/>
    <n v="28.4"/>
    <n v="128283.52"/>
    <s v="Returned"/>
  </r>
  <r>
    <s v="ORD-2026-0449"/>
    <s v="2026-11-20"/>
    <x v="0"/>
    <s v="Q4"/>
    <s v="Wireless Earbuds"/>
    <s v="Electronics"/>
    <x v="2"/>
    <s v="Bhopal"/>
    <s v="Enterprise"/>
    <s v="Direct"/>
    <s v="Rahul Mehta"/>
    <n v="63275.93"/>
    <n v="8"/>
    <n v="506207.44"/>
    <n v="1"/>
    <n v="501145.37"/>
    <n v="28.2"/>
    <n v="141322.99"/>
    <s v="Fulfilled"/>
  </r>
  <r>
    <s v="ORD-2026-0450"/>
    <s v="2026-12-04"/>
    <x v="1"/>
    <s v="Q4"/>
    <s v="Football Pro"/>
    <s v="Sports"/>
    <x v="1"/>
    <s v="Hyderabad"/>
    <s v="SMB"/>
    <s v="B2B"/>
    <s v="Amit Joshi"/>
    <n v="6277.76"/>
    <n v="23"/>
    <n v="144388.48000000001"/>
    <n v="9.3000000000000007"/>
    <n v="130960.35"/>
    <n v="25.5"/>
    <n v="33394.89"/>
    <s v="Pending"/>
  </r>
  <r>
    <s v="ORD-2026-0451"/>
    <s v="2026-08-28"/>
    <x v="8"/>
    <s v="Q3"/>
    <s v="Running Shoes"/>
    <s v="Apparel"/>
    <x v="1"/>
    <s v="Kochi"/>
    <s v="Online"/>
    <s v="Direct"/>
    <s v="Neha Patel"/>
    <n v="3423.71"/>
    <n v="18"/>
    <n v="61626.78"/>
    <n v="2.8"/>
    <n v="59901.23"/>
    <n v="47.3"/>
    <n v="28333.279999999999"/>
    <s v="Fulfilled"/>
  </r>
  <r>
    <s v="ORD-2026-0452"/>
    <s v="2026-12-21"/>
    <x v="1"/>
    <s v="Q4"/>
    <s v="Face Serum"/>
    <s v="Cosmetics"/>
    <x v="3"/>
    <s v="Surat"/>
    <s v="Wholesale"/>
    <s v="Online"/>
    <s v="Neha Patel"/>
    <n v="1419.21"/>
    <n v="3"/>
    <n v="4257.63"/>
    <n v="9.4"/>
    <n v="3857.41"/>
    <n v="51.1"/>
    <n v="1971.14"/>
    <s v="Fulfilled"/>
  </r>
  <r>
    <s v="ORD-2026-0453"/>
    <s v="2026-07-01"/>
    <x v="5"/>
    <s v="Q3"/>
    <s v="Sports Shorts"/>
    <s v="Apparel"/>
    <x v="3"/>
    <s v="Pune"/>
    <s v="Retail"/>
    <s v="Partner"/>
    <s v="Rohit Das"/>
    <n v="1940.2"/>
    <n v="3"/>
    <n v="5820.6"/>
    <n v="21.6"/>
    <n v="4563.3500000000004"/>
    <n v="61.3"/>
    <n v="2797.33"/>
    <s v="Fulfilled"/>
  </r>
  <r>
    <s v="ORD-2026-0454"/>
    <s v="2026-10-04"/>
    <x v="2"/>
    <s v="Q4"/>
    <s v="Bed Frame Queen"/>
    <s v="Furniture"/>
    <x v="2"/>
    <s v="Raipur"/>
    <s v="Retail"/>
    <s v="Partner"/>
    <s v="Vikram Tiwari"/>
    <n v="8157.26"/>
    <n v="13"/>
    <n v="106044.38"/>
    <n v="16.8"/>
    <n v="88228.92"/>
    <n v="51.8"/>
    <n v="45702.58"/>
    <s v="Fulfilled"/>
  </r>
  <r>
    <s v="ORD-2026-0455"/>
    <s v="2026-05-08"/>
    <x v="11"/>
    <s v="Q2"/>
    <s v="Skipping Rope"/>
    <s v="Sports"/>
    <x v="2"/>
    <s v="Bhopal"/>
    <s v="Enterprise"/>
    <s v="Direct"/>
    <s v="Kavya Bhat"/>
    <n v="2209.16"/>
    <n v="8"/>
    <n v="17673.28"/>
    <n v="3.5"/>
    <n v="17054.72"/>
    <n v="44.7"/>
    <n v="7623.46"/>
    <s v="Fulfilled"/>
  </r>
  <r>
    <s v="ORD-2026-0456"/>
    <s v="2026-03-22"/>
    <x v="9"/>
    <s v="Q1"/>
    <s v="Wardrobe 3-door"/>
    <s v="Furniture"/>
    <x v="1"/>
    <s v="Bengaluru"/>
    <s v="Enterprise"/>
    <s v="Partner"/>
    <s v="Neha Patel"/>
    <n v="36636.57"/>
    <n v="3"/>
    <n v="109909.71"/>
    <n v="20.7"/>
    <n v="87158.399999999994"/>
    <n v="52"/>
    <n v="45322.37"/>
    <s v="Fulfilled"/>
  </r>
  <r>
    <s v="ORD-2026-0457"/>
    <s v="2026-04-17"/>
    <x v="4"/>
    <s v="Q2"/>
    <s v="Sofa 3-seater"/>
    <s v="Furniture"/>
    <x v="1"/>
    <s v="Bengaluru"/>
    <s v="Retail"/>
    <s v="Online"/>
    <s v="Rohit Das"/>
    <n v="17742.52"/>
    <n v="2"/>
    <n v="35485.040000000001"/>
    <n v="15.7"/>
    <n v="29913.89"/>
    <n v="49.8"/>
    <n v="14897.12"/>
    <s v="Pending"/>
  </r>
  <r>
    <s v="ORD-2026-0458"/>
    <s v="2026-08-15"/>
    <x v="8"/>
    <s v="Q3"/>
    <s v="Smart TV 55&quot;"/>
    <s v="Electronics"/>
    <x v="1"/>
    <s v="Hyderabad"/>
    <s v="Enterprise"/>
    <s v="B2B"/>
    <s v="Deepak Rao"/>
    <n v="69123.58"/>
    <n v="1"/>
    <n v="69123.58"/>
    <n v="3.6"/>
    <n v="66635.13"/>
    <n v="22.6"/>
    <n v="15059.54"/>
    <s v="Fulfilled"/>
  </r>
  <r>
    <s v="ORD-2026-0459"/>
    <s v="2026-01-29"/>
    <x v="7"/>
    <s v="Q1"/>
    <s v="Body Lotion"/>
    <s v="Cosmetics"/>
    <x v="2"/>
    <s v="Nagpur"/>
    <s v="SMB"/>
    <s v="B2B"/>
    <s v="Rohit Das"/>
    <n v="1901.17"/>
    <n v="9"/>
    <n v="17110.53"/>
    <n v="10.1"/>
    <n v="15382.37"/>
    <n v="48.1"/>
    <n v="7398.92"/>
    <s v="Returned"/>
  </r>
  <r>
    <s v="ORD-2026-0460"/>
    <s v="2026-07-26"/>
    <x v="5"/>
    <s v="Q3"/>
    <s v="Winter Jacket"/>
    <s v="Apparel"/>
    <x v="1"/>
    <s v="Kochi"/>
    <s v="Online"/>
    <s v="Direct"/>
    <s v="Priya Sharma"/>
    <n v="2173.46"/>
    <n v="15"/>
    <n v="32601.9"/>
    <n v="0.9"/>
    <n v="32308.48"/>
    <n v="43.4"/>
    <n v="14021.88"/>
    <s v="Returned"/>
  </r>
  <r>
    <s v="ORD-2026-0461"/>
    <s v="2026-06-16"/>
    <x v="10"/>
    <s v="Q2"/>
    <s v="Smart Watch S3"/>
    <s v="Electronics"/>
    <x v="2"/>
    <s v="Nagpur"/>
    <s v="SMB"/>
    <s v="Partner"/>
    <s v="Kavya Bhat"/>
    <n v="87428.23"/>
    <n v="8"/>
    <n v="699425.84"/>
    <n v="3.1"/>
    <n v="677743.64"/>
    <n v="22.4"/>
    <n v="151814.57999999999"/>
    <s v="Cancelled"/>
  </r>
  <r>
    <s v="ORD-2026-0462"/>
    <s v="2026-10-11"/>
    <x v="2"/>
    <s v="Q4"/>
    <s v="Cotton T-Shirt"/>
    <s v="Apparel"/>
    <x v="3"/>
    <s v="Surat"/>
    <s v="Retail"/>
    <s v="B2B"/>
    <s v="Neha Patel"/>
    <n v="4158.33"/>
    <n v="1"/>
    <n v="4158.33"/>
    <n v="12.1"/>
    <n v="3655.17"/>
    <n v="43.2"/>
    <n v="1579.03"/>
    <s v="Fulfilled"/>
  </r>
  <r>
    <s v="ORD-2026-0463"/>
    <s v="2026-05-22"/>
    <x v="11"/>
    <s v="Q2"/>
    <s v="Coffee Table"/>
    <s v="Furniture"/>
    <x v="1"/>
    <s v="Bengaluru"/>
    <s v="Online"/>
    <s v="B2B"/>
    <s v="Vikram Tiwari"/>
    <n v="4386.37"/>
    <n v="14"/>
    <n v="61409.18"/>
    <n v="5.7"/>
    <n v="57908.86"/>
    <n v="48.2"/>
    <n v="27912.07"/>
    <s v="Fulfilled"/>
  </r>
  <r>
    <s v="ORD-2026-0464"/>
    <s v="2026-01-08"/>
    <x v="7"/>
    <s v="Q1"/>
    <s v="Dumbbells 5kg"/>
    <s v="Sports"/>
    <x v="0"/>
    <s v="Kolkata"/>
    <s v="Enterprise"/>
    <s v="B2B"/>
    <s v="Vikram Tiwari"/>
    <n v="6340.64"/>
    <n v="7"/>
    <n v="44384.480000000003"/>
    <n v="19.899999999999999"/>
    <n v="35551.97"/>
    <n v="32.700000000000003"/>
    <n v="11625.49"/>
    <s v="Pending"/>
  </r>
  <r>
    <s v="ORD-2026-0465"/>
    <s v="2026-11-14"/>
    <x v="0"/>
    <s v="Q4"/>
    <s v="Laptop Pro X1"/>
    <s v="Electronics"/>
    <x v="2"/>
    <s v="Raipur"/>
    <s v="SMB"/>
    <s v="Direct"/>
    <s v="Amit Joshi"/>
    <n v="72615.31"/>
    <n v="19"/>
    <n v="1379690.89"/>
    <n v="12"/>
    <n v="1214127.98"/>
    <n v="22.5"/>
    <n v="273178.8"/>
    <s v="Fulfilled"/>
  </r>
  <r>
    <s v="ORD-2026-0466"/>
    <s v="2026-12-03"/>
    <x v="1"/>
    <s v="Q4"/>
    <s v="Face Serum"/>
    <s v="Cosmetics"/>
    <x v="0"/>
    <s v="Kolkata"/>
    <s v="Online"/>
    <s v="Online"/>
    <s v="Amit Joshi"/>
    <n v="1464.13"/>
    <n v="6"/>
    <n v="8784.7800000000007"/>
    <n v="21.5"/>
    <n v="6896.05"/>
    <n v="49.2"/>
    <n v="3392.86"/>
    <s v="Fulfilled"/>
  </r>
  <r>
    <s v="ORD-2026-0467"/>
    <s v="2026-04-03"/>
    <x v="4"/>
    <s v="Q2"/>
    <s v="Organic Honey"/>
    <s v="Food"/>
    <x v="0"/>
    <s v="Kolkata"/>
    <s v="Wholesale"/>
    <s v="B2B"/>
    <s v="Neha Patel"/>
    <n v="655.35"/>
    <n v="16"/>
    <n v="10485.6"/>
    <n v="8.9"/>
    <n v="9552.3799999999992"/>
    <n v="32.6"/>
    <n v="3114.08"/>
    <s v="Fulfilled"/>
  </r>
  <r>
    <s v="ORD-2026-0468"/>
    <s v="2026-12-11"/>
    <x v="1"/>
    <s v="Q4"/>
    <s v="Cotton T-Shirt"/>
    <s v="Apparel"/>
    <x v="0"/>
    <s v="Kolkata"/>
    <s v="Wholesale"/>
    <s v="Online"/>
    <s v="Rahul Mehta"/>
    <n v="4188.05"/>
    <n v="10"/>
    <n v="41880.5"/>
    <n v="9.9"/>
    <n v="37734.33"/>
    <n v="40.9"/>
    <n v="15433.34"/>
    <s v="Pending"/>
  </r>
  <r>
    <s v="ORD-2026-0469"/>
    <s v="2026-09-04"/>
    <x v="3"/>
    <s v="Q3"/>
    <s v="Gaming Console"/>
    <s v="Electronics"/>
    <x v="3"/>
    <s v="Surat"/>
    <s v="SMB"/>
    <s v="Partner"/>
    <s v="Vikram Tiwari"/>
    <n v="91938.19"/>
    <n v="6"/>
    <n v="551629.14"/>
    <n v="6.2"/>
    <n v="517428.13"/>
    <n v="26.1"/>
    <n v="135048.74"/>
    <s v="Fulfilled"/>
  </r>
  <r>
    <s v="ORD-2026-0470"/>
    <s v="2026-01-29"/>
    <x v="7"/>
    <s v="Q1"/>
    <s v="Sofa 3-seater"/>
    <s v="Furniture"/>
    <x v="0"/>
    <s v="Guwahati"/>
    <s v="Online"/>
    <s v="Direct"/>
    <s v="Amit Joshi"/>
    <n v="33578.5"/>
    <n v="13"/>
    <n v="436520.5"/>
    <n v="22.9"/>
    <n v="336557.31"/>
    <n v="30.9"/>
    <n v="103996.21"/>
    <s v="Fulfilled"/>
  </r>
  <r>
    <s v="ORD-2026-0471"/>
    <s v="2026-04-22"/>
    <x v="4"/>
    <s v="Q2"/>
    <s v="Running Shoes"/>
    <s v="Apparel"/>
    <x v="2"/>
    <s v="Indore"/>
    <s v="Enterprise"/>
    <s v="B2B"/>
    <s v="Sunita Lal"/>
    <n v="1266.3499999999999"/>
    <n v="3"/>
    <n v="3799.05"/>
    <n v="19.600000000000001"/>
    <n v="3054.44"/>
    <n v="45.9"/>
    <n v="1401.99"/>
    <s v="Returned"/>
  </r>
  <r>
    <s v="ORD-2026-0472"/>
    <s v="2026-12-26"/>
    <x v="1"/>
    <s v="Q4"/>
    <s v="Quinoa 1kg"/>
    <s v="Food"/>
    <x v="4"/>
    <s v="Delhi"/>
    <s v="Online"/>
    <s v="Partner"/>
    <s v="Rohit Das"/>
    <n v="1023.8"/>
    <n v="10"/>
    <n v="10238"/>
    <n v="19"/>
    <n v="8292.7800000000007"/>
    <n v="22.3"/>
    <n v="1849.29"/>
    <s v="Fulfilled"/>
  </r>
  <r>
    <s v="ORD-2026-0473"/>
    <s v="2026-11-18"/>
    <x v="0"/>
    <s v="Q4"/>
    <s v="Skipping Rope"/>
    <s v="Sports"/>
    <x v="3"/>
    <s v="Ahmedabad"/>
    <s v="Enterprise"/>
    <s v="Direct"/>
    <s v="Amit Joshi"/>
    <n v="7278.81"/>
    <n v="13"/>
    <n v="94624.53"/>
    <n v="5.7"/>
    <n v="89230.93"/>
    <n v="32.799999999999997"/>
    <n v="29267.75"/>
    <s v="Fulfilled"/>
  </r>
  <r>
    <s v="ORD-2026-0474"/>
    <s v="2026-04-25"/>
    <x v="4"/>
    <s v="Q2"/>
    <s v="Smart TV 55&quot;"/>
    <s v="Electronics"/>
    <x v="0"/>
    <s v="Kolkata"/>
    <s v="SMB"/>
    <s v="Direct"/>
    <s v="Rohit Das"/>
    <n v="52543.15"/>
    <n v="10"/>
    <n v="525431.5"/>
    <n v="19.600000000000001"/>
    <n v="422446.93"/>
    <n v="30.1"/>
    <n v="127156.53"/>
    <s v="Cancelled"/>
  </r>
  <r>
    <s v="ORD-2026-0475"/>
    <s v="2026-08-26"/>
    <x v="8"/>
    <s v="Q3"/>
    <s v="Badminton Set"/>
    <s v="Sports"/>
    <x v="3"/>
    <s v="Pune"/>
    <s v="Enterprise"/>
    <s v="Online"/>
    <s v="Deepak Rao"/>
    <n v="5833.49"/>
    <n v="21"/>
    <n v="122503.29"/>
    <n v="3.4"/>
    <n v="118338.18"/>
    <n v="23.3"/>
    <n v="27572.799999999999"/>
    <s v="Fulfilled"/>
  </r>
  <r>
    <s v="ORD-2026-0476"/>
    <s v="2026-07-11"/>
    <x v="5"/>
    <s v="Q3"/>
    <s v="Laptop Pro X1"/>
    <s v="Electronics"/>
    <x v="0"/>
    <s v="Guwahati"/>
    <s v="Online"/>
    <s v="Online"/>
    <s v="Rohit Das"/>
    <n v="94488.66"/>
    <n v="21"/>
    <n v="1984261.86"/>
    <n v="15.8"/>
    <n v="1670748.49"/>
    <n v="28.3"/>
    <n v="472821.82"/>
    <s v="Fulfilled"/>
  </r>
  <r>
    <s v="ORD-2026-0477"/>
    <s v="2026-05-21"/>
    <x v="11"/>
    <s v="Q2"/>
    <s v="Body Lotion"/>
    <s v="Cosmetics"/>
    <x v="4"/>
    <s v="Lucknow"/>
    <s v="Online"/>
    <s v="Partner"/>
    <s v="Vikram Tiwari"/>
    <n v="960.24"/>
    <n v="17"/>
    <n v="16324.08"/>
    <n v="3.6"/>
    <n v="15736.41"/>
    <n v="70.7"/>
    <n v="11125.64"/>
    <s v="Fulfilled"/>
  </r>
  <r>
    <s v="ORD-2026-0478"/>
    <s v="2026-01-15"/>
    <x v="7"/>
    <s v="Q1"/>
    <s v="Smart TV 55&quot;"/>
    <s v="Electronics"/>
    <x v="0"/>
    <s v="Kolkata"/>
    <s v="SMB"/>
    <s v="B2B"/>
    <s v="Deepak Rao"/>
    <n v="17113.240000000002"/>
    <n v="14"/>
    <n v="239585.36"/>
    <n v="24"/>
    <n v="182084.87"/>
    <n v="31.4"/>
    <n v="57174.65"/>
    <s v="Pending"/>
  </r>
  <r>
    <s v="ORD-2026-0479"/>
    <s v="2026-04-19"/>
    <x v="4"/>
    <s v="Q2"/>
    <s v="Nut Mix 500g"/>
    <s v="Food"/>
    <x v="1"/>
    <s v="Kochi"/>
    <s v="Wholesale"/>
    <s v="Direct"/>
    <s v="Kavya Bhat"/>
    <n v="1076.1300000000001"/>
    <n v="6"/>
    <n v="6456.78"/>
    <n v="7.4"/>
    <n v="5978.98"/>
    <n v="18.5"/>
    <n v="1106.1099999999999"/>
    <s v="Pending"/>
  </r>
  <r>
    <s v="ORD-2026-0480"/>
    <s v="2026-08-19"/>
    <x v="8"/>
    <s v="Q3"/>
    <s v="Denim Jeans"/>
    <s v="Apparel"/>
    <x v="4"/>
    <s v="Lucknow"/>
    <s v="Enterprise"/>
    <s v="B2B"/>
    <s v="Rahul Mehta"/>
    <n v="4565.62"/>
    <n v="4"/>
    <n v="18262.48"/>
    <n v="11.1"/>
    <n v="16235.34"/>
    <n v="41.5"/>
    <n v="6737.67"/>
    <s v="Fulfilled"/>
  </r>
  <r>
    <s v="ORD-2026-0481"/>
    <s v="2026-04-21"/>
    <x v="4"/>
    <s v="Q2"/>
    <s v="Quinoa 1kg"/>
    <s v="Food"/>
    <x v="3"/>
    <s v="Pune"/>
    <s v="Retail"/>
    <s v="Partner"/>
    <s v="Priya Sharma"/>
    <n v="1270.0999999999999"/>
    <n v="13"/>
    <n v="16511.3"/>
    <n v="16.600000000000001"/>
    <n v="13770.42"/>
    <n v="22"/>
    <n v="3029.49"/>
    <s v="Cancelled"/>
  </r>
  <r>
    <s v="ORD-2026-0482"/>
    <s v="2026-08-23"/>
    <x v="8"/>
    <s v="Q3"/>
    <s v="Tablet Ultra"/>
    <s v="Electronics"/>
    <x v="2"/>
    <s v="Bhopal"/>
    <s v="Retail"/>
    <s v="B2B"/>
    <s v="Aisha Khan"/>
    <n v="49073.89"/>
    <n v="9"/>
    <n v="441665.01"/>
    <n v="23.4"/>
    <n v="338315.4"/>
    <n v="29.2"/>
    <n v="98788.1"/>
    <s v="Fulfilled"/>
  </r>
  <r>
    <s v="ORD-2026-0483"/>
    <s v="2026-01-05"/>
    <x v="7"/>
    <s v="Q1"/>
    <s v="Sofa 3-seater"/>
    <s v="Furniture"/>
    <x v="2"/>
    <s v="Indore"/>
    <s v="Retail"/>
    <s v="Direct"/>
    <s v="Vikram Tiwari"/>
    <n v="13235.49"/>
    <n v="15"/>
    <n v="198532.35"/>
    <n v="10.4"/>
    <n v="177884.99"/>
    <n v="46.1"/>
    <n v="82004.98"/>
    <s v="Pending"/>
  </r>
  <r>
    <s v="ORD-2026-0484"/>
    <s v="2026-10-02"/>
    <x v="2"/>
    <s v="Q4"/>
    <s v="Olive Oil 1L"/>
    <s v="Food"/>
    <x v="1"/>
    <s v="Bengaluru"/>
    <s v="Enterprise"/>
    <s v="Online"/>
    <s v="Vikram Tiwari"/>
    <n v="1192.49"/>
    <n v="17"/>
    <n v="20272.330000000002"/>
    <n v="19.8"/>
    <n v="16258.41"/>
    <n v="22.3"/>
    <n v="3625.63"/>
    <s v="Returned"/>
  </r>
  <r>
    <s v="ORD-2026-0485"/>
    <s v="2026-04-28"/>
    <x v="4"/>
    <s v="Q2"/>
    <s v="Resistance Bands"/>
    <s v="Sports"/>
    <x v="3"/>
    <s v="Pune"/>
    <s v="Wholesale"/>
    <s v="Online"/>
    <s v="Aisha Khan"/>
    <n v="2138.4899999999998"/>
    <n v="14"/>
    <n v="29938.86"/>
    <n v="24.4"/>
    <n v="22633.78"/>
    <n v="47.7"/>
    <n v="10796.31"/>
    <s v="Fulfilled"/>
  </r>
  <r>
    <s v="ORD-2026-0486"/>
    <s v="2026-04-24"/>
    <x v="4"/>
    <s v="Q2"/>
    <s v="Laptop Pro X1"/>
    <s v="Electronics"/>
    <x v="3"/>
    <s v="Ahmedabad"/>
    <s v="Enterprise"/>
    <s v="Partner"/>
    <s v="Deepak Rao"/>
    <n v="43417.24"/>
    <n v="12"/>
    <n v="521006.88"/>
    <n v="21.2"/>
    <n v="410553.42"/>
    <n v="21.6"/>
    <n v="88679.54"/>
    <s v="Returned"/>
  </r>
  <r>
    <s v="ORD-2026-0487"/>
    <s v="2026-10-23"/>
    <x v="2"/>
    <s v="Q4"/>
    <s v="Green Tea Pack"/>
    <s v="Food"/>
    <x v="1"/>
    <s v="Hyderabad"/>
    <s v="SMB"/>
    <s v="B2B"/>
    <s v="Neha Patel"/>
    <n v="465.79"/>
    <n v="21"/>
    <n v="9781.59"/>
    <n v="23"/>
    <n v="7531.82"/>
    <n v="39.5"/>
    <n v="2975.07"/>
    <s v="Fulfilled"/>
  </r>
  <r>
    <s v="ORD-2026-0488"/>
    <s v="2026-12-10"/>
    <x v="1"/>
    <s v="Q4"/>
    <s v="Foundation Kit"/>
    <s v="Cosmetics"/>
    <x v="1"/>
    <s v="Hyderabad"/>
    <s v="Wholesale"/>
    <s v="Online"/>
    <s v="Priya Sharma"/>
    <n v="1075.26"/>
    <n v="24"/>
    <n v="25806.240000000002"/>
    <n v="24.6"/>
    <n v="19457.900000000001"/>
    <n v="49.7"/>
    <n v="9670.58"/>
    <s v="Fulfilled"/>
  </r>
  <r>
    <s v="ORD-2026-0489"/>
    <s v="2026-11-06"/>
    <x v="0"/>
    <s v="Q4"/>
    <s v="Quinoa 1kg"/>
    <s v="Food"/>
    <x v="0"/>
    <s v="Patna"/>
    <s v="Retail"/>
    <s v="B2B"/>
    <s v="Rahul Mehta"/>
    <n v="1484.07"/>
    <n v="18"/>
    <n v="26713.26"/>
    <n v="5.6"/>
    <n v="25217.32"/>
    <n v="39.799999999999997"/>
    <n v="10036.49"/>
    <s v="Fulfilled"/>
  </r>
  <r>
    <s v="ORD-2026-0490"/>
    <s v="2026-10-03"/>
    <x v="2"/>
    <s v="Q4"/>
    <s v="Lip Gloss Set"/>
    <s v="Cosmetics"/>
    <x v="4"/>
    <s v="Chandigarh"/>
    <s v="SMB"/>
    <s v="Online"/>
    <s v="Sunita Lal"/>
    <n v="2722.01"/>
    <n v="14"/>
    <n v="38108.14"/>
    <n v="9.1999999999999993"/>
    <n v="34602.19"/>
    <n v="52.2"/>
    <n v="18062.34"/>
    <s v="Fulfilled"/>
  </r>
  <r>
    <s v="ORD-2026-0491"/>
    <s v="2026-01-16"/>
    <x v="7"/>
    <s v="Q1"/>
    <s v="Kurti Set"/>
    <s v="Apparel"/>
    <x v="0"/>
    <s v="Bhubaneswar"/>
    <s v="Online"/>
    <s v="Direct"/>
    <s v="Aisha Khan"/>
    <n v="3099.73"/>
    <n v="17"/>
    <n v="52695.41"/>
    <n v="11.2"/>
    <n v="46793.52"/>
    <n v="51"/>
    <n v="23864.7"/>
    <s v="Fulfilled"/>
  </r>
  <r>
    <s v="ORD-2026-0492"/>
    <s v="2026-04-12"/>
    <x v="4"/>
    <s v="Q2"/>
    <s v="Skipping Rope"/>
    <s v="Sports"/>
    <x v="2"/>
    <s v="Bhopal"/>
    <s v="SMB"/>
    <s v="B2B"/>
    <s v="Neha Patel"/>
    <n v="6498.27"/>
    <n v="23"/>
    <n v="149460.21"/>
    <n v="17.899999999999999"/>
    <n v="122706.83"/>
    <n v="29"/>
    <n v="35584.980000000003"/>
    <s v="Pending"/>
  </r>
  <r>
    <s v="ORD-2026-0493"/>
    <s v="2026-11-04"/>
    <x v="0"/>
    <s v="Q4"/>
    <s v="Face Serum"/>
    <s v="Cosmetics"/>
    <x v="4"/>
    <s v="Lucknow"/>
    <s v="Online"/>
    <s v="Direct"/>
    <s v="Aisha Khan"/>
    <n v="3989.43"/>
    <n v="2"/>
    <n v="7978.86"/>
    <n v="10.5"/>
    <n v="7141.08"/>
    <n v="63.4"/>
    <n v="4527.4399999999996"/>
    <s v="Fulfilled"/>
  </r>
  <r>
    <s v="ORD-2026-0494"/>
    <s v="2026-01-01"/>
    <x v="7"/>
    <s v="Q1"/>
    <s v="Book Shelf 5-tier"/>
    <s v="Furniture"/>
    <x v="0"/>
    <s v="Patna"/>
    <s v="Online"/>
    <s v="Online"/>
    <s v="Kavya Bhat"/>
    <n v="34764.57"/>
    <n v="13"/>
    <n v="451939.41"/>
    <n v="23.2"/>
    <n v="347089.47"/>
    <n v="42.8"/>
    <n v="148554.29"/>
    <s v="Fulfilled"/>
  </r>
  <r>
    <s v="ORD-2026-0495"/>
    <s v="2026-02-03"/>
    <x v="6"/>
    <s v="Q1"/>
    <s v="Skipping Rope"/>
    <s v="Sports"/>
    <x v="3"/>
    <s v="Surat"/>
    <s v="Online"/>
    <s v="Direct"/>
    <s v="Rahul Mehta"/>
    <n v="2572.6"/>
    <n v="2"/>
    <n v="5145.2"/>
    <n v="5.5"/>
    <n v="4862.21"/>
    <n v="40.6"/>
    <n v="1974.06"/>
    <s v="Returned"/>
  </r>
  <r>
    <s v="ORD-2026-0496"/>
    <s v="2026-10-16"/>
    <x v="2"/>
    <s v="Q4"/>
    <s v="Lip Gloss Set"/>
    <s v="Cosmetics"/>
    <x v="4"/>
    <s v="Chandigarh"/>
    <s v="SMB"/>
    <s v="Direct"/>
    <s v="Amit Joshi"/>
    <n v="2983.8"/>
    <n v="7"/>
    <n v="20886.599999999999"/>
    <n v="3.7"/>
    <n v="20113.8"/>
    <n v="51.6"/>
    <n v="10378.719999999999"/>
    <s v="Fulfilled"/>
  </r>
  <r>
    <s v="ORD-2026-0497"/>
    <s v="2026-09-15"/>
    <x v="3"/>
    <s v="Q3"/>
    <s v="Dumbbells 5kg"/>
    <s v="Sports"/>
    <x v="4"/>
    <s v="Jaipur"/>
    <s v="SMB"/>
    <s v="B2B"/>
    <s v="Sunita Lal"/>
    <n v="8387.52"/>
    <n v="22"/>
    <n v="184525.44"/>
    <n v="2.9"/>
    <n v="179174.2"/>
    <n v="35.1"/>
    <n v="62890.14"/>
    <s v="Fulfilled"/>
  </r>
  <r>
    <s v="ORD-2026-0498"/>
    <s v="2026-04-26"/>
    <x v="4"/>
    <s v="Q2"/>
    <s v="Running Shoes"/>
    <s v="Apparel"/>
    <x v="2"/>
    <s v="Raipur"/>
    <s v="Enterprise"/>
    <s v="Online"/>
    <s v="Aisha Khan"/>
    <n v="1800.4"/>
    <n v="7"/>
    <n v="12602.8"/>
    <n v="9.1999999999999993"/>
    <n v="11443.34"/>
    <n v="58.6"/>
    <n v="6705.8"/>
    <s v="Cancelled"/>
  </r>
  <r>
    <s v="ORD-2026-0499"/>
    <s v="2026-12-22"/>
    <x v="1"/>
    <s v="Q4"/>
    <s v="Bed Frame Queen"/>
    <s v="Furniture"/>
    <x v="2"/>
    <s v="Bhopal"/>
    <s v="Wholesale"/>
    <s v="Partner"/>
    <s v="Priya Sharma"/>
    <n v="10316.75"/>
    <n v="6"/>
    <n v="61900.5"/>
    <n v="20.2"/>
    <n v="49396.6"/>
    <n v="29.9"/>
    <n v="14769.58"/>
    <s v="Pending"/>
  </r>
  <r>
    <s v="ORD-2026-0500"/>
    <s v="2026-08-27"/>
    <x v="8"/>
    <s v="Q3"/>
    <s v="Dumbbells 5kg"/>
    <s v="Sports"/>
    <x v="1"/>
    <s v="Chennai"/>
    <s v="Wholesale"/>
    <s v="B2B"/>
    <s v="Vikram Tiwari"/>
    <n v="7281.04"/>
    <n v="2"/>
    <n v="14562.08"/>
    <n v="0.7"/>
    <n v="14460.15"/>
    <n v="25.4"/>
    <n v="3672.88"/>
    <s v="Fulfilled"/>
  </r>
  <r>
    <s v="ORD-2026-0501"/>
    <s v="2026-04-20"/>
    <x v="4"/>
    <s v="Q2"/>
    <s v="Sunscreen SPF50"/>
    <s v="Cosmetics"/>
    <x v="3"/>
    <s v="Pune"/>
    <s v="Wholesale"/>
    <s v="Online"/>
    <s v="Vikram Tiwari"/>
    <n v="2519.2399999999998"/>
    <n v="5"/>
    <n v="12596.2"/>
    <n v="8.5"/>
    <n v="11525.52"/>
    <n v="51.6"/>
    <n v="5947.17"/>
    <s v="Fulfilled"/>
  </r>
  <r>
    <s v="ORD-2026-0502"/>
    <s v="2026-06-09"/>
    <x v="10"/>
    <s v="Q2"/>
    <s v="Face Serum"/>
    <s v="Cosmetics"/>
    <x v="1"/>
    <s v="Hyderabad"/>
    <s v="SMB"/>
    <s v="Partner"/>
    <s v="Vikram Tiwari"/>
    <n v="1076.8900000000001"/>
    <n v="12"/>
    <n v="12922.68"/>
    <n v="12.1"/>
    <n v="11359.04"/>
    <n v="61.9"/>
    <n v="7031.25"/>
    <s v="Fulfilled"/>
  </r>
  <r>
    <s v="ORD-2026-0503"/>
    <s v="2026-01-12"/>
    <x v="7"/>
    <s v="Q1"/>
    <s v="Winter Jacket"/>
    <s v="Apparel"/>
    <x v="3"/>
    <s v="Mumbai"/>
    <s v="Online"/>
    <s v="B2B"/>
    <s v="Rohit Das"/>
    <n v="4218.3599999999997"/>
    <n v="1"/>
    <n v="4218.3599999999997"/>
    <n v="9.6"/>
    <n v="3813.4"/>
    <n v="47.9"/>
    <n v="1826.62"/>
    <s v="Pending"/>
  </r>
  <r>
    <s v="ORD-2026-0504"/>
    <s v="2026-07-31"/>
    <x v="5"/>
    <s v="Q3"/>
    <s v="Study Table"/>
    <s v="Furniture"/>
    <x v="3"/>
    <s v="Mumbai"/>
    <s v="SMB"/>
    <s v="Direct"/>
    <s v="Rohit Das"/>
    <n v="24476.23"/>
    <n v="7"/>
    <n v="171333.61"/>
    <n v="16.7"/>
    <n v="142720.9"/>
    <n v="45.6"/>
    <n v="65080.73"/>
    <s v="Pending"/>
  </r>
  <r>
    <s v="ORD-2026-0505"/>
    <s v="2026-11-04"/>
    <x v="0"/>
    <s v="Q4"/>
    <s v="Eye Shadow Palette"/>
    <s v="Cosmetics"/>
    <x v="3"/>
    <s v="Surat"/>
    <s v="Online"/>
    <s v="B2B"/>
    <s v="Kavya Bhat"/>
    <n v="3166.2"/>
    <n v="20"/>
    <n v="63324"/>
    <n v="9"/>
    <n v="57624.84"/>
    <n v="50"/>
    <n v="28812.42"/>
    <s v="Fulfilled"/>
  </r>
  <r>
    <s v="ORD-2026-0506"/>
    <s v="2026-12-15"/>
    <x v="1"/>
    <s v="Q4"/>
    <s v="Sunscreen SPF50"/>
    <s v="Cosmetics"/>
    <x v="0"/>
    <s v="Guwahati"/>
    <s v="Wholesale"/>
    <s v="B2B"/>
    <s v="Rohit Das"/>
    <n v="340.89"/>
    <n v="3"/>
    <n v="1022.67"/>
    <n v="6.8"/>
    <n v="953.13"/>
    <n v="61.4"/>
    <n v="585.22"/>
    <s v="Cancelled"/>
  </r>
  <r>
    <s v="ORD-2026-0507"/>
    <s v="2026-10-08"/>
    <x v="2"/>
    <s v="Q4"/>
    <s v="Hair Oil 200ml"/>
    <s v="Cosmetics"/>
    <x v="0"/>
    <s v="Patna"/>
    <s v="Retail"/>
    <s v="Online"/>
    <s v="Neha Patel"/>
    <n v="1395.27"/>
    <n v="2"/>
    <n v="2790.54"/>
    <n v="3"/>
    <n v="2706.82"/>
    <n v="57.6"/>
    <n v="1559.13"/>
    <s v="Cancelled"/>
  </r>
  <r>
    <s v="ORD-2026-0508"/>
    <s v="2026-09-27"/>
    <x v="3"/>
    <s v="Q3"/>
    <s v="Formal Shirt"/>
    <s v="Apparel"/>
    <x v="1"/>
    <s v="Hyderabad"/>
    <s v="Online"/>
    <s v="Online"/>
    <s v="Deepak Rao"/>
    <n v="2289.42"/>
    <n v="12"/>
    <n v="27473.040000000001"/>
    <n v="14.8"/>
    <n v="23407.03"/>
    <n v="51.2"/>
    <n v="11984.4"/>
    <s v="Fulfilled"/>
  </r>
  <r>
    <s v="ORD-2026-0509"/>
    <s v="2026-08-16"/>
    <x v="8"/>
    <s v="Q3"/>
    <s v="Wardrobe 3-door"/>
    <s v="Furniture"/>
    <x v="1"/>
    <s v="Chennai"/>
    <s v="Online"/>
    <s v="Partner"/>
    <s v="Amit Joshi"/>
    <n v="39195.97"/>
    <n v="24"/>
    <n v="940703.28"/>
    <n v="19"/>
    <n v="761969.66"/>
    <n v="33.9"/>
    <n v="258307.71"/>
    <s v="Fulfilled"/>
  </r>
  <r>
    <s v="ORD-2026-0510"/>
    <s v="2026-10-18"/>
    <x v="2"/>
    <s v="Q4"/>
    <s v="Muesli Box"/>
    <s v="Food"/>
    <x v="2"/>
    <s v="Nagpur"/>
    <s v="Online"/>
    <s v="Partner"/>
    <s v="Aisha Khan"/>
    <n v="1377.7"/>
    <n v="4"/>
    <n v="5510.8"/>
    <n v="22.5"/>
    <n v="4270.87"/>
    <n v="34.4"/>
    <n v="1469.18"/>
    <s v="Fulfilled"/>
  </r>
  <r>
    <s v="ORD-2026-0511"/>
    <s v="2026-03-31"/>
    <x v="9"/>
    <s v="Q1"/>
    <s v="Green Tea Pack"/>
    <s v="Food"/>
    <x v="3"/>
    <s v="Ahmedabad"/>
    <s v="Wholesale"/>
    <s v="Online"/>
    <s v="Priya Sharma"/>
    <n v="286.48"/>
    <n v="4"/>
    <n v="1145.92"/>
    <n v="16.899999999999999"/>
    <n v="952.26"/>
    <n v="37.1"/>
    <n v="353.29"/>
    <s v="Pending"/>
  </r>
  <r>
    <s v="ORD-2026-0512"/>
    <s v="2026-07-08"/>
    <x v="5"/>
    <s v="Q3"/>
    <s v="DSLR Camera"/>
    <s v="Electronics"/>
    <x v="1"/>
    <s v="Bengaluru"/>
    <s v="Wholesale"/>
    <s v="B2B"/>
    <s v="Neha Patel"/>
    <n v="46175.26"/>
    <n v="12"/>
    <n v="554103.12"/>
    <n v="24.1"/>
    <n v="420564.27"/>
    <n v="14.4"/>
    <n v="60561.25"/>
    <s v="Cancelled"/>
  </r>
  <r>
    <s v="ORD-2026-0513"/>
    <s v="2026-08-06"/>
    <x v="8"/>
    <s v="Q3"/>
    <s v="Eye Shadow Palette"/>
    <s v="Cosmetics"/>
    <x v="4"/>
    <s v="Lucknow"/>
    <s v="Retail"/>
    <s v="Partner"/>
    <s v="Kavya Bhat"/>
    <n v="1505.14"/>
    <n v="1"/>
    <n v="1505.14"/>
    <n v="6.6"/>
    <n v="1405.8"/>
    <n v="56.2"/>
    <n v="790.06"/>
    <s v="Fulfilled"/>
  </r>
  <r>
    <s v="ORD-2026-0514"/>
    <s v="2026-11-27"/>
    <x v="0"/>
    <s v="Q4"/>
    <s v="Face Serum"/>
    <s v="Cosmetics"/>
    <x v="2"/>
    <s v="Bhopal"/>
    <s v="Wholesale"/>
    <s v="Online"/>
    <s v="Sunita Lal"/>
    <n v="3965.23"/>
    <n v="2"/>
    <n v="7930.46"/>
    <n v="13.6"/>
    <n v="6851.92"/>
    <n v="56.4"/>
    <n v="3864.48"/>
    <s v="Fulfilled"/>
  </r>
  <r>
    <s v="ORD-2026-0515"/>
    <s v="2026-12-13"/>
    <x v="1"/>
    <s v="Q4"/>
    <s v="Organic Honey"/>
    <s v="Food"/>
    <x v="1"/>
    <s v="Chennai"/>
    <s v="Retail"/>
    <s v="Direct"/>
    <s v="Rahul Mehta"/>
    <n v="1466.08"/>
    <n v="24"/>
    <n v="35185.919999999998"/>
    <n v="11.8"/>
    <n v="31033.98"/>
    <n v="27.9"/>
    <n v="8658.48"/>
    <s v="Fulfilled"/>
  </r>
  <r>
    <s v="ORD-2026-0516"/>
    <s v="2026-09-12"/>
    <x v="3"/>
    <s v="Q3"/>
    <s v="Tablet Ultra"/>
    <s v="Electronics"/>
    <x v="2"/>
    <s v="Nagpur"/>
    <s v="Retail"/>
    <s v="Partner"/>
    <s v="Deepak Rao"/>
    <n v="75656.84"/>
    <n v="6"/>
    <n v="453941.04"/>
    <n v="10.5"/>
    <n v="406277.23"/>
    <n v="23.9"/>
    <n v="97100.26"/>
    <s v="Cancelled"/>
  </r>
  <r>
    <s v="ORD-2026-0517"/>
    <s v="2026-07-29"/>
    <x v="5"/>
    <s v="Q3"/>
    <s v="Protein Powder"/>
    <s v="Food"/>
    <x v="3"/>
    <s v="Surat"/>
    <s v="SMB"/>
    <s v="Online"/>
    <s v="Kavya Bhat"/>
    <n v="865.98"/>
    <n v="18"/>
    <n v="15587.64"/>
    <n v="6.7"/>
    <n v="14543.27"/>
    <n v="19.399999999999999"/>
    <n v="2821.39"/>
    <s v="Pending"/>
  </r>
  <r>
    <s v="ORD-2026-0518"/>
    <s v="2026-03-06"/>
    <x v="9"/>
    <s v="Q1"/>
    <s v="Cotton T-Shirt"/>
    <s v="Apparel"/>
    <x v="2"/>
    <s v="Indore"/>
    <s v="Enterprise"/>
    <s v="Partner"/>
    <s v="Vikram Tiwari"/>
    <n v="4039.5"/>
    <n v="3"/>
    <n v="12118.5"/>
    <n v="11.7"/>
    <n v="10700.64"/>
    <n v="44.5"/>
    <n v="4761.78"/>
    <s v="Fulfilled"/>
  </r>
  <r>
    <s v="ORD-2026-0519"/>
    <s v="2026-06-27"/>
    <x v="10"/>
    <s v="Q2"/>
    <s v="Wireless Earbuds"/>
    <s v="Electronics"/>
    <x v="4"/>
    <s v="Lucknow"/>
    <s v="Enterprise"/>
    <s v="Partner"/>
    <s v="Kavya Bhat"/>
    <n v="30034.49"/>
    <n v="6"/>
    <n v="180206.94"/>
    <n v="7.2"/>
    <n v="167232.04"/>
    <n v="25.5"/>
    <n v="42644.17"/>
    <s v="Fulfilled"/>
  </r>
  <r>
    <s v="ORD-2026-0520"/>
    <s v="2026-08-05"/>
    <x v="8"/>
    <s v="Q3"/>
    <s v="Green Tea Pack"/>
    <s v="Food"/>
    <x v="1"/>
    <s v="Chennai"/>
    <s v="Online"/>
    <s v="Online"/>
    <s v="Sunita Lal"/>
    <n v="1344.14"/>
    <n v="15"/>
    <n v="20162.099999999999"/>
    <n v="11.7"/>
    <n v="17803.13"/>
    <n v="20.3"/>
    <n v="3614.04"/>
    <s v="Fulfilled"/>
  </r>
  <r>
    <s v="ORD-2026-0521"/>
    <s v="2026-12-27"/>
    <x v="1"/>
    <s v="Q4"/>
    <s v="DSLR Camera"/>
    <s v="Electronics"/>
    <x v="4"/>
    <s v="Delhi"/>
    <s v="Retail"/>
    <s v="Direct"/>
    <s v="Sunita Lal"/>
    <n v="88427.77"/>
    <n v="22"/>
    <n v="1945410.94"/>
    <n v="24.1"/>
    <n v="1476566.9"/>
    <n v="17.5"/>
    <n v="258399.21"/>
    <s v="Pending"/>
  </r>
  <r>
    <s v="ORD-2026-0522"/>
    <s v="2026-09-21"/>
    <x v="3"/>
    <s v="Q3"/>
    <s v="Foundation Kit"/>
    <s v="Cosmetics"/>
    <x v="1"/>
    <s v="Bengaluru"/>
    <s v="Online"/>
    <s v="Direct"/>
    <s v="Deepak Rao"/>
    <n v="528.27"/>
    <n v="25"/>
    <n v="13206.75"/>
    <n v="11.9"/>
    <n v="11635.15"/>
    <n v="52"/>
    <n v="6050.28"/>
    <s v="Pending"/>
  </r>
  <r>
    <s v="ORD-2026-0523"/>
    <s v="2026-12-24"/>
    <x v="1"/>
    <s v="Q4"/>
    <s v="Foundation Kit"/>
    <s v="Cosmetics"/>
    <x v="4"/>
    <s v="Delhi"/>
    <s v="Online"/>
    <s v="Online"/>
    <s v="Rahul Mehta"/>
    <n v="613.78"/>
    <n v="10"/>
    <n v="6137.8"/>
    <n v="4.3"/>
    <n v="5873.87"/>
    <n v="62.4"/>
    <n v="3665.29"/>
    <s v="Fulfilled"/>
  </r>
  <r>
    <s v="ORD-2026-0524"/>
    <s v="2026-05-08"/>
    <x v="11"/>
    <s v="Q2"/>
    <s v="Cycling Helmet"/>
    <s v="Sports"/>
    <x v="1"/>
    <s v="Bengaluru"/>
    <s v="Enterprise"/>
    <s v="B2B"/>
    <s v="Rahul Mehta"/>
    <n v="7679.23"/>
    <n v="24"/>
    <n v="184301.52"/>
    <n v="4.5999999999999996"/>
    <n v="175823.65"/>
    <n v="37.6"/>
    <n v="66109.69"/>
    <s v="Pending"/>
  </r>
  <r>
    <s v="ORD-2026-0525"/>
    <s v="2026-06-18"/>
    <x v="10"/>
    <s v="Q2"/>
    <s v="Skipping Rope"/>
    <s v="Sports"/>
    <x v="4"/>
    <s v="Delhi"/>
    <s v="Wholesale"/>
    <s v="Online"/>
    <s v="Deepak Rao"/>
    <n v="7607.62"/>
    <n v="5"/>
    <n v="38038.1"/>
    <n v="20.7"/>
    <n v="30164.21"/>
    <n v="36.700000000000003"/>
    <n v="11070.27"/>
    <s v="Pending"/>
  </r>
  <r>
    <s v="ORD-2026-0526"/>
    <s v="2026-11-22"/>
    <x v="0"/>
    <s v="Q4"/>
    <s v="Cycling Helmet"/>
    <s v="Sports"/>
    <x v="4"/>
    <s v="Jaipur"/>
    <s v="SMB"/>
    <s v="Partner"/>
    <s v="Rahul Mehta"/>
    <n v="2326.31"/>
    <n v="22"/>
    <n v="51178.82"/>
    <n v="12.5"/>
    <n v="44781.47"/>
    <n v="40.700000000000003"/>
    <n v="18226.060000000001"/>
    <s v="Fulfilled"/>
  </r>
  <r>
    <s v="ORD-2026-0527"/>
    <s v="2026-06-09"/>
    <x v="10"/>
    <s v="Q2"/>
    <s v="Cotton T-Shirt"/>
    <s v="Apparel"/>
    <x v="4"/>
    <s v="Delhi"/>
    <s v="Retail"/>
    <s v="Online"/>
    <s v="Deepak Rao"/>
    <n v="4918.3599999999997"/>
    <n v="3"/>
    <n v="14755.08"/>
    <n v="16"/>
    <n v="12394.27"/>
    <n v="52.6"/>
    <n v="6519.39"/>
    <s v="Fulfilled"/>
  </r>
  <r>
    <s v="ORD-2026-0528"/>
    <s v="2026-11-26"/>
    <x v="0"/>
    <s v="Q4"/>
    <s v="Running Shoes"/>
    <s v="Apparel"/>
    <x v="4"/>
    <s v="Delhi"/>
    <s v="Retail"/>
    <s v="Direct"/>
    <s v="Sunita Lal"/>
    <n v="897.31"/>
    <n v="12"/>
    <n v="10767.72"/>
    <n v="12.8"/>
    <n v="9389.4500000000007"/>
    <n v="52.6"/>
    <n v="4938.8500000000004"/>
    <s v="Fulfilled"/>
  </r>
  <r>
    <s v="ORD-2026-0529"/>
    <s v="2026-04-30"/>
    <x v="4"/>
    <s v="Q2"/>
    <s v="Bed Frame Queen"/>
    <s v="Furniture"/>
    <x v="4"/>
    <s v="Chandigarh"/>
    <s v="Enterprise"/>
    <s v="Online"/>
    <s v="Kavya Bhat"/>
    <n v="7626.42"/>
    <n v="18"/>
    <n v="137275.56"/>
    <n v="10.1"/>
    <n v="123410.73"/>
    <n v="28.8"/>
    <n v="35542.29"/>
    <s v="Fulfilled"/>
  </r>
  <r>
    <s v="ORD-2026-0530"/>
    <s v="2026-04-06"/>
    <x v="4"/>
    <s v="Q2"/>
    <s v="Coffee Table"/>
    <s v="Furniture"/>
    <x v="3"/>
    <s v="Ahmedabad"/>
    <s v="SMB"/>
    <s v="Partner"/>
    <s v="Aisha Khan"/>
    <n v="2773.73"/>
    <n v="2"/>
    <n v="5547.46"/>
    <n v="3"/>
    <n v="5381.04"/>
    <n v="49.1"/>
    <n v="2642.09"/>
    <s v="Fulfilled"/>
  </r>
  <r>
    <s v="ORD-2026-0531"/>
    <s v="2026-02-12"/>
    <x v="6"/>
    <s v="Q1"/>
    <s v="Badminton Set"/>
    <s v="Sports"/>
    <x v="3"/>
    <s v="Ahmedabad"/>
    <s v="Enterprise"/>
    <s v="B2B"/>
    <s v="Priya Sharma"/>
    <n v="6965.06"/>
    <n v="11"/>
    <n v="76615.66"/>
    <n v="17.8"/>
    <n v="62978.07"/>
    <n v="34.9"/>
    <n v="21979.35"/>
    <s v="Fulfilled"/>
  </r>
  <r>
    <s v="ORD-2026-0532"/>
    <s v="2026-03-23"/>
    <x v="9"/>
    <s v="Q1"/>
    <s v="Study Table"/>
    <s v="Furniture"/>
    <x v="1"/>
    <s v="Hyderabad"/>
    <s v="Retail"/>
    <s v="B2B"/>
    <s v="Vikram Tiwari"/>
    <n v="9224.98"/>
    <n v="22"/>
    <n v="202949.56"/>
    <n v="16.5"/>
    <n v="169462.88"/>
    <n v="49.7"/>
    <n v="84223.05"/>
    <s v="Fulfilled"/>
  </r>
  <r>
    <s v="ORD-2026-0533"/>
    <s v="2026-11-17"/>
    <x v="0"/>
    <s v="Q4"/>
    <s v="Eye Shadow Palette"/>
    <s v="Cosmetics"/>
    <x v="3"/>
    <s v="Surat"/>
    <s v="Retail"/>
    <s v="Partner"/>
    <s v="Vikram Tiwari"/>
    <n v="1126.72"/>
    <n v="15"/>
    <n v="16900.8"/>
    <n v="7.7"/>
    <n v="15599.44"/>
    <n v="56.2"/>
    <n v="8766.89"/>
    <s v="Cancelled"/>
  </r>
  <r>
    <s v="ORD-2026-0534"/>
    <s v="2026-06-01"/>
    <x v="10"/>
    <s v="Q2"/>
    <s v="Sports Shorts"/>
    <s v="Apparel"/>
    <x v="2"/>
    <s v="Indore"/>
    <s v="Online"/>
    <s v="Partner"/>
    <s v="Aisha Khan"/>
    <n v="2344.9"/>
    <n v="8"/>
    <n v="18759.2"/>
    <n v="13.6"/>
    <n v="16207.95"/>
    <n v="42.5"/>
    <n v="6888.38"/>
    <s v="Cancelled"/>
  </r>
  <r>
    <s v="ORD-2026-0535"/>
    <s v="2026-03-08"/>
    <x v="9"/>
    <s v="Q1"/>
    <s v="Face Serum"/>
    <s v="Cosmetics"/>
    <x v="0"/>
    <s v="Bhubaneswar"/>
    <s v="Wholesale"/>
    <s v="Partner"/>
    <s v="Kavya Bhat"/>
    <n v="1013.66"/>
    <n v="11"/>
    <n v="11150.26"/>
    <n v="3.8"/>
    <n v="10726.55"/>
    <n v="58.9"/>
    <n v="6317.94"/>
    <s v="Fulfilled"/>
  </r>
  <r>
    <s v="ORD-2026-0536"/>
    <s v="2026-10-14"/>
    <x v="2"/>
    <s v="Q4"/>
    <s v="Dumbbells 5kg"/>
    <s v="Sports"/>
    <x v="2"/>
    <s v="Nagpur"/>
    <s v="Online"/>
    <s v="Online"/>
    <s v="Rahul Mehta"/>
    <n v="4067.71"/>
    <n v="18"/>
    <n v="73218.78"/>
    <n v="0.9"/>
    <n v="72559.81"/>
    <n v="24.1"/>
    <n v="17486.91"/>
    <s v="Fulfilled"/>
  </r>
  <r>
    <s v="ORD-2026-0537"/>
    <s v="2026-06-26"/>
    <x v="10"/>
    <s v="Q2"/>
    <s v="Coffee Table"/>
    <s v="Furniture"/>
    <x v="0"/>
    <s v="Guwahati"/>
    <s v="Online"/>
    <s v="Online"/>
    <s v="Rahul Mehta"/>
    <n v="36388.400000000001"/>
    <n v="16"/>
    <n v="582214.40000000002"/>
    <n v="6.1"/>
    <n v="546699.31999999995"/>
    <n v="40"/>
    <n v="218679.73"/>
    <s v="Fulfilled"/>
  </r>
  <r>
    <s v="ORD-2026-0538"/>
    <s v="2026-04-07"/>
    <x v="4"/>
    <s v="Q2"/>
    <s v="Wardrobe 3-door"/>
    <s v="Furniture"/>
    <x v="4"/>
    <s v="Chandigarh"/>
    <s v="Online"/>
    <s v="Online"/>
    <s v="Vikram Tiwari"/>
    <n v="39921.339999999997"/>
    <n v="18"/>
    <n v="718584.12"/>
    <n v="1.4"/>
    <n v="708523.94"/>
    <n v="42.4"/>
    <n v="300414.15000000002"/>
    <s v="Fulfilled"/>
  </r>
  <r>
    <s v="ORD-2026-0539"/>
    <s v="2026-03-29"/>
    <x v="9"/>
    <s v="Q1"/>
    <s v="Laptop Pro X1"/>
    <s v="Electronics"/>
    <x v="2"/>
    <s v="Nagpur"/>
    <s v="SMB"/>
    <s v="Online"/>
    <s v="Deepak Rao"/>
    <n v="8369.34"/>
    <n v="6"/>
    <n v="50216.04"/>
    <n v="18.2"/>
    <n v="41076.720000000001"/>
    <n v="31.4"/>
    <n v="12898.09"/>
    <s v="Fulfilled"/>
  </r>
  <r>
    <s v="ORD-2026-0540"/>
    <s v="2026-07-11"/>
    <x v="5"/>
    <s v="Q3"/>
    <s v="Face Serum"/>
    <s v="Cosmetics"/>
    <x v="2"/>
    <s v="Raipur"/>
    <s v="Enterprise"/>
    <s v="B2B"/>
    <s v="Rohit Das"/>
    <n v="1881.18"/>
    <n v="3"/>
    <n v="5643.54"/>
    <n v="7.9"/>
    <n v="5197.7"/>
    <n v="66.8"/>
    <n v="3472.06"/>
    <s v="Fulfilled"/>
  </r>
  <r>
    <s v="ORD-2026-0541"/>
    <s v="2026-06-21"/>
    <x v="10"/>
    <s v="Q2"/>
    <s v="Coffee Table"/>
    <s v="Furniture"/>
    <x v="3"/>
    <s v="Ahmedabad"/>
    <s v="Wholesale"/>
    <s v="B2B"/>
    <s v="Vikram Tiwari"/>
    <n v="25449.25"/>
    <n v="12"/>
    <n v="305391"/>
    <n v="21.8"/>
    <n v="238815.76"/>
    <n v="41"/>
    <n v="97914.46"/>
    <s v="Fulfilled"/>
  </r>
  <r>
    <s v="ORD-2026-0542"/>
    <s v="2026-05-13"/>
    <x v="11"/>
    <s v="Q2"/>
    <s v="Protein Powder"/>
    <s v="Food"/>
    <x v="3"/>
    <s v="Mumbai"/>
    <s v="Wholesale"/>
    <s v="Direct"/>
    <s v="Neha Patel"/>
    <n v="784.62"/>
    <n v="22"/>
    <n v="17261.64"/>
    <n v="16"/>
    <n v="14499.78"/>
    <n v="35.1"/>
    <n v="5089.42"/>
    <s v="Pending"/>
  </r>
  <r>
    <s v="ORD-2026-0543"/>
    <s v="2026-09-19"/>
    <x v="3"/>
    <s v="Q3"/>
    <s v="DSLR Camera"/>
    <s v="Electronics"/>
    <x v="4"/>
    <s v="Delhi"/>
    <s v="Online"/>
    <s v="Partner"/>
    <s v="Deepak Rao"/>
    <n v="47852.3"/>
    <n v="3"/>
    <n v="143556.9"/>
    <n v="7.6"/>
    <n v="132646.57999999999"/>
    <n v="19.3"/>
    <n v="25600.79"/>
    <s v="Fulfilled"/>
  </r>
  <r>
    <s v="ORD-2026-0544"/>
    <s v="2026-12-24"/>
    <x v="1"/>
    <s v="Q4"/>
    <s v="Running Shoes"/>
    <s v="Apparel"/>
    <x v="4"/>
    <s v="Lucknow"/>
    <s v="Online"/>
    <s v="Partner"/>
    <s v="Deepak Rao"/>
    <n v="3327.06"/>
    <n v="12"/>
    <n v="39924.720000000001"/>
    <n v="24.8"/>
    <n v="30023.39"/>
    <n v="47.3"/>
    <n v="14201.06"/>
    <s v="Pending"/>
  </r>
  <r>
    <s v="ORD-2026-0545"/>
    <s v="2026-06-12"/>
    <x v="10"/>
    <s v="Q2"/>
    <s v="Hair Oil 200ml"/>
    <s v="Cosmetics"/>
    <x v="2"/>
    <s v="Indore"/>
    <s v="Wholesale"/>
    <s v="Online"/>
    <s v="Aisha Khan"/>
    <n v="3543.32"/>
    <n v="22"/>
    <n v="77953.039999999994"/>
    <n v="20.8"/>
    <n v="61738.81"/>
    <n v="57.1"/>
    <n v="35252.86"/>
    <s v="Returned"/>
  </r>
  <r>
    <s v="ORD-2026-0546"/>
    <s v="2026-03-03"/>
    <x v="9"/>
    <s v="Q1"/>
    <s v="Gaming Console"/>
    <s v="Electronics"/>
    <x v="2"/>
    <s v="Bhopal"/>
    <s v="Enterprise"/>
    <s v="Partner"/>
    <s v="Rahul Mehta"/>
    <n v="89171"/>
    <n v="3"/>
    <n v="267513"/>
    <n v="16.899999999999999"/>
    <n v="222303.3"/>
    <n v="28.3"/>
    <n v="62911.83"/>
    <s v="Fulfilled"/>
  </r>
  <r>
    <s v="ORD-2026-0547"/>
    <s v="2026-08-20"/>
    <x v="8"/>
    <s v="Q3"/>
    <s v="Sports Shorts"/>
    <s v="Apparel"/>
    <x v="0"/>
    <s v="Patna"/>
    <s v="Online"/>
    <s v="B2B"/>
    <s v="Vikram Tiwari"/>
    <n v="4890.21"/>
    <n v="11"/>
    <n v="53792.31"/>
    <n v="22.6"/>
    <n v="41635.25"/>
    <n v="46.7"/>
    <n v="19443.66"/>
    <s v="Fulfilled"/>
  </r>
  <r>
    <s v="ORD-2026-0548"/>
    <s v="2026-05-16"/>
    <x v="11"/>
    <s v="Q2"/>
    <s v="Cotton T-Shirt"/>
    <s v="Apparel"/>
    <x v="4"/>
    <s v="Lucknow"/>
    <s v="Online"/>
    <s v="Direct"/>
    <s v="Kavya Bhat"/>
    <n v="2132.5700000000002"/>
    <n v="12"/>
    <n v="25590.84"/>
    <n v="7.3"/>
    <n v="23722.71"/>
    <n v="44.2"/>
    <n v="10485.44"/>
    <s v="Fulfilled"/>
  </r>
  <r>
    <s v="ORD-2026-0549"/>
    <s v="2026-12-15"/>
    <x v="1"/>
    <s v="Q4"/>
    <s v="Office Chair"/>
    <s v="Furniture"/>
    <x v="1"/>
    <s v="Kochi"/>
    <s v="Wholesale"/>
    <s v="Direct"/>
    <s v="Sunita Lal"/>
    <n v="19396.79"/>
    <n v="14"/>
    <n v="271555.06"/>
    <n v="20.399999999999999"/>
    <n v="216157.83"/>
    <n v="43.9"/>
    <n v="94893.29"/>
    <s v="Fulfilled"/>
  </r>
  <r>
    <s v="ORD-2026-0550"/>
    <s v="2026-04-02"/>
    <x v="4"/>
    <s v="Q2"/>
    <s v="Skipping Rope"/>
    <s v="Sports"/>
    <x v="1"/>
    <s v="Hyderabad"/>
    <s v="Wholesale"/>
    <s v="B2B"/>
    <s v="Vikram Tiwari"/>
    <n v="8302.2900000000009"/>
    <n v="18"/>
    <n v="149441.22"/>
    <n v="5.8"/>
    <n v="140773.63"/>
    <n v="36.700000000000003"/>
    <n v="51663.92"/>
    <s v="Pending"/>
  </r>
  <r>
    <s v="ORD-2026-0551"/>
    <s v="2026-11-02"/>
    <x v="0"/>
    <s v="Q4"/>
    <s v="Quinoa 1kg"/>
    <s v="Food"/>
    <x v="1"/>
    <s v="Kochi"/>
    <s v="Enterprise"/>
    <s v="Partner"/>
    <s v="Rahul Mehta"/>
    <n v="106"/>
    <n v="3"/>
    <n v="318"/>
    <n v="22.8"/>
    <n v="245.5"/>
    <n v="39.799999999999997"/>
    <n v="97.71"/>
    <s v="Fulfilled"/>
  </r>
  <r>
    <s v="ORD-2026-0552"/>
    <s v="2026-07-04"/>
    <x v="5"/>
    <s v="Q3"/>
    <s v="Coffee Table"/>
    <s v="Furniture"/>
    <x v="2"/>
    <s v="Nagpur"/>
    <s v="Retail"/>
    <s v="B2B"/>
    <s v="Aisha Khan"/>
    <n v="19412.62"/>
    <n v="4"/>
    <n v="77650.48"/>
    <n v="9"/>
    <n v="70661.94"/>
    <n v="48.9"/>
    <n v="34553.69"/>
    <s v="Fulfilled"/>
  </r>
  <r>
    <s v="ORD-2026-0553"/>
    <s v="2026-02-20"/>
    <x v="6"/>
    <s v="Q1"/>
    <s v="Muesli Box"/>
    <s v="Food"/>
    <x v="3"/>
    <s v="Ahmedabad"/>
    <s v="SMB"/>
    <s v="Direct"/>
    <s v="Aisha Khan"/>
    <n v="341.66"/>
    <n v="1"/>
    <n v="341.66"/>
    <n v="13.5"/>
    <n v="295.54000000000002"/>
    <n v="22"/>
    <n v="65.02"/>
    <s v="Fulfilled"/>
  </r>
  <r>
    <s v="ORD-2026-0554"/>
    <s v="2026-07-27"/>
    <x v="5"/>
    <s v="Q3"/>
    <s v="Winter Jacket"/>
    <s v="Apparel"/>
    <x v="2"/>
    <s v="Bhopal"/>
    <s v="SMB"/>
    <s v="Partner"/>
    <s v="Vikram Tiwari"/>
    <n v="3921.16"/>
    <n v="21"/>
    <n v="82344.36"/>
    <n v="23.1"/>
    <n v="63322.81"/>
    <n v="39.5"/>
    <n v="25012.51"/>
    <s v="Fulfilled"/>
  </r>
  <r>
    <s v="ORD-2026-0555"/>
    <s v="2026-04-26"/>
    <x v="4"/>
    <s v="Q2"/>
    <s v="DSLR Camera"/>
    <s v="Electronics"/>
    <x v="3"/>
    <s v="Mumbai"/>
    <s v="Wholesale"/>
    <s v="Partner"/>
    <s v="Priya Sharma"/>
    <n v="40188.769999999997"/>
    <n v="10"/>
    <n v="401887.7"/>
    <n v="16.399999999999999"/>
    <n v="335978.12"/>
    <n v="22.6"/>
    <n v="75931.06"/>
    <s v="Fulfilled"/>
  </r>
  <r>
    <s v="ORD-2026-0556"/>
    <s v="2026-10-29"/>
    <x v="2"/>
    <s v="Q4"/>
    <s v="Skipping Rope"/>
    <s v="Sports"/>
    <x v="2"/>
    <s v="Indore"/>
    <s v="Wholesale"/>
    <s v="Partner"/>
    <s v="Deepak Rao"/>
    <n v="2865.84"/>
    <n v="17"/>
    <n v="48719.28"/>
    <n v="12"/>
    <n v="42872.97"/>
    <n v="30.6"/>
    <n v="13119.13"/>
    <s v="Fulfilled"/>
  </r>
  <r>
    <s v="ORD-2026-0557"/>
    <s v="2026-06-13"/>
    <x v="10"/>
    <s v="Q2"/>
    <s v="Office Chair"/>
    <s v="Furniture"/>
    <x v="2"/>
    <s v="Indore"/>
    <s v="Online"/>
    <s v="Partner"/>
    <s v="Priya Sharma"/>
    <n v="9579.16"/>
    <n v="2"/>
    <n v="19158.32"/>
    <n v="0"/>
    <n v="19158.32"/>
    <n v="38.799999999999997"/>
    <n v="7433.43"/>
    <s v="Fulfilled"/>
  </r>
  <r>
    <s v="ORD-2026-0558"/>
    <s v="2026-06-28"/>
    <x v="10"/>
    <s v="Q2"/>
    <s v="Resistance Bands"/>
    <s v="Sports"/>
    <x v="3"/>
    <s v="Mumbai"/>
    <s v="SMB"/>
    <s v="Online"/>
    <s v="Vikram Tiwari"/>
    <n v="880.85"/>
    <n v="18"/>
    <n v="15855.3"/>
    <n v="7.3"/>
    <n v="14697.86"/>
    <n v="36"/>
    <n v="5291.23"/>
    <s v="Fulfilled"/>
  </r>
  <r>
    <s v="ORD-2026-0559"/>
    <s v="2026-02-02"/>
    <x v="6"/>
    <s v="Q1"/>
    <s v="Sofa 3-seater"/>
    <s v="Furniture"/>
    <x v="0"/>
    <s v="Patna"/>
    <s v="Wholesale"/>
    <s v="Online"/>
    <s v="Rohit Das"/>
    <n v="35630.230000000003"/>
    <n v="15"/>
    <n v="534453.44999999995"/>
    <n v="23"/>
    <n v="411529.16"/>
    <n v="32.299999999999997"/>
    <n v="132923.92000000001"/>
    <s v="Fulfilled"/>
  </r>
  <r>
    <s v="ORD-2026-0560"/>
    <s v="2026-10-26"/>
    <x v="2"/>
    <s v="Q4"/>
    <s v="Foundation Kit"/>
    <s v="Cosmetics"/>
    <x v="3"/>
    <s v="Pune"/>
    <s v="Enterprise"/>
    <s v="B2B"/>
    <s v="Priya Sharma"/>
    <n v="2095.38"/>
    <n v="25"/>
    <n v="52384.5"/>
    <n v="6.2"/>
    <n v="49136.66"/>
    <n v="55.5"/>
    <n v="27270.85"/>
    <s v="Pending"/>
  </r>
  <r>
    <s v="ORD-2026-0561"/>
    <s v="2026-09-03"/>
    <x v="3"/>
    <s v="Q3"/>
    <s v="Nut Mix 500g"/>
    <s v="Food"/>
    <x v="3"/>
    <s v="Ahmedabad"/>
    <s v="Retail"/>
    <s v="Direct"/>
    <s v="Kavya Bhat"/>
    <n v="847.96"/>
    <n v="14"/>
    <n v="11871.44"/>
    <n v="0.3"/>
    <n v="11835.83"/>
    <n v="22.9"/>
    <n v="2710.41"/>
    <s v="Fulfilled"/>
  </r>
  <r>
    <s v="ORD-2026-0562"/>
    <s v="2026-03-10"/>
    <x v="9"/>
    <s v="Q1"/>
    <s v="Sofa 3-seater"/>
    <s v="Furniture"/>
    <x v="2"/>
    <s v="Bhopal"/>
    <s v="Enterprise"/>
    <s v="Online"/>
    <s v="Rohit Das"/>
    <n v="3112.03"/>
    <n v="9"/>
    <n v="28008.27"/>
    <n v="17.5"/>
    <n v="23106.82"/>
    <n v="39.6"/>
    <n v="9150.2999999999993"/>
    <s v="Cancelled"/>
  </r>
  <r>
    <s v="ORD-2026-0563"/>
    <s v="2026-01-04"/>
    <x v="7"/>
    <s v="Q1"/>
    <s v="Green Tea Pack"/>
    <s v="Food"/>
    <x v="2"/>
    <s v="Raipur"/>
    <s v="Wholesale"/>
    <s v="Direct"/>
    <s v="Sunita Lal"/>
    <n v="715.12"/>
    <n v="3"/>
    <n v="2145.36"/>
    <n v="3.4"/>
    <n v="2072.42"/>
    <n v="29.4"/>
    <n v="609.29"/>
    <s v="Pending"/>
  </r>
  <r>
    <s v="ORD-2026-0564"/>
    <s v="2026-10-05"/>
    <x v="2"/>
    <s v="Q4"/>
    <s v="Lip Gloss Set"/>
    <s v="Cosmetics"/>
    <x v="0"/>
    <s v="Patna"/>
    <s v="Online"/>
    <s v="Online"/>
    <s v="Amit Joshi"/>
    <n v="2606.04"/>
    <n v="11"/>
    <n v="28666.44"/>
    <n v="5.9"/>
    <n v="26975.119999999999"/>
    <n v="65.900000000000006"/>
    <n v="17776.599999999999"/>
    <s v="Fulfilled"/>
  </r>
  <r>
    <s v="ORD-2026-0565"/>
    <s v="2026-06-16"/>
    <x v="10"/>
    <s v="Q2"/>
    <s v="Sofa 3-seater"/>
    <s v="Furniture"/>
    <x v="1"/>
    <s v="Kochi"/>
    <s v="Online"/>
    <s v="Direct"/>
    <s v="Rohit Das"/>
    <n v="31834.69"/>
    <n v="5"/>
    <n v="159173.45000000001"/>
    <n v="17.399999999999999"/>
    <n v="131477.26999999999"/>
    <n v="42.8"/>
    <n v="56272.27"/>
    <s v="Fulfilled"/>
  </r>
  <r>
    <s v="ORD-2026-0566"/>
    <s v="2026-05-01"/>
    <x v="11"/>
    <s v="Q2"/>
    <s v="Nut Mix 500g"/>
    <s v="Food"/>
    <x v="1"/>
    <s v="Bengaluru"/>
    <s v="SMB"/>
    <s v="Partner"/>
    <s v="Sunita Lal"/>
    <n v="856.65"/>
    <n v="1"/>
    <n v="856.65"/>
    <n v="4.5"/>
    <n v="818.1"/>
    <n v="39.299999999999997"/>
    <n v="321.51"/>
    <s v="Fulfilled"/>
  </r>
  <r>
    <s v="ORD-2026-0567"/>
    <s v="2026-03-16"/>
    <x v="9"/>
    <s v="Q1"/>
    <s v="Protein Powder"/>
    <s v="Food"/>
    <x v="3"/>
    <s v="Surat"/>
    <s v="Enterprise"/>
    <s v="B2B"/>
    <s v="Kavya Bhat"/>
    <n v="1366.52"/>
    <n v="22"/>
    <n v="30063.439999999999"/>
    <n v="4.9000000000000004"/>
    <n v="28590.33"/>
    <n v="18.899999999999999"/>
    <n v="5403.57"/>
    <s v="Fulfilled"/>
  </r>
  <r>
    <s v="ORD-2026-0568"/>
    <s v="2026-07-04"/>
    <x v="5"/>
    <s v="Q3"/>
    <s v="Cycling Helmet"/>
    <s v="Sports"/>
    <x v="1"/>
    <s v="Kochi"/>
    <s v="Retail"/>
    <s v="Partner"/>
    <s v="Neha Patel"/>
    <n v="1989.62"/>
    <n v="15"/>
    <n v="29844.3"/>
    <n v="5.6"/>
    <n v="28173.02"/>
    <n v="24.3"/>
    <n v="6846.04"/>
    <s v="Fulfilled"/>
  </r>
  <r>
    <s v="ORD-2026-0569"/>
    <s v="2026-11-30"/>
    <x v="0"/>
    <s v="Q4"/>
    <s v="Lip Gloss Set"/>
    <s v="Cosmetics"/>
    <x v="1"/>
    <s v="Chennai"/>
    <s v="Retail"/>
    <s v="Partner"/>
    <s v="Priya Sharma"/>
    <n v="3465.39"/>
    <n v="16"/>
    <n v="55446.239999999998"/>
    <n v="1.5"/>
    <n v="54614.55"/>
    <n v="52.3"/>
    <n v="28563.41"/>
    <s v="Returned"/>
  </r>
  <r>
    <s v="ORD-2026-0570"/>
    <s v="2026-01-08"/>
    <x v="7"/>
    <s v="Q1"/>
    <s v="Cotton T-Shirt"/>
    <s v="Apparel"/>
    <x v="4"/>
    <s v="Lucknow"/>
    <s v="Online"/>
    <s v="B2B"/>
    <s v="Deepak Rao"/>
    <n v="1738.39"/>
    <n v="15"/>
    <n v="26075.85"/>
    <n v="20.3"/>
    <n v="20782.45"/>
    <n v="59.2"/>
    <n v="12303.21"/>
    <s v="Fulfilled"/>
  </r>
  <r>
    <s v="ORD-2026-0571"/>
    <s v="2026-10-22"/>
    <x v="2"/>
    <s v="Q4"/>
    <s v="Gaming Console"/>
    <s v="Electronics"/>
    <x v="0"/>
    <s v="Bhubaneswar"/>
    <s v="Enterprise"/>
    <s v="B2B"/>
    <s v="Priya Sharma"/>
    <n v="92021.7"/>
    <n v="12"/>
    <n v="1104260.3999999999"/>
    <n v="23.9"/>
    <n v="840342.16"/>
    <n v="12.8"/>
    <n v="107563.8"/>
    <s v="Fulfilled"/>
  </r>
  <r>
    <s v="ORD-2026-0572"/>
    <s v="2026-10-23"/>
    <x v="2"/>
    <s v="Q4"/>
    <s v="Olive Oil 1L"/>
    <s v="Food"/>
    <x v="3"/>
    <s v="Mumbai"/>
    <s v="Wholesale"/>
    <s v="Direct"/>
    <s v="Rohit Das"/>
    <n v="926.01"/>
    <n v="12"/>
    <n v="11112.12"/>
    <n v="21.6"/>
    <n v="8711.9"/>
    <n v="21.6"/>
    <n v="1881.77"/>
    <s v="Cancelled"/>
  </r>
  <r>
    <s v="ORD-2026-0573"/>
    <s v="2026-12-10"/>
    <x v="1"/>
    <s v="Q4"/>
    <s v="Tablet Ultra"/>
    <s v="Electronics"/>
    <x v="4"/>
    <s v="Delhi"/>
    <s v="Retail"/>
    <s v="B2B"/>
    <s v="Rohit Das"/>
    <n v="12165.8"/>
    <n v="1"/>
    <n v="12165.8"/>
    <n v="17"/>
    <n v="10097.61"/>
    <n v="18.8"/>
    <n v="1898.35"/>
    <s v="Fulfilled"/>
  </r>
  <r>
    <s v="ORD-2026-0574"/>
    <s v="2026-06-21"/>
    <x v="10"/>
    <s v="Q2"/>
    <s v="Sports Shorts"/>
    <s v="Apparel"/>
    <x v="2"/>
    <s v="Nagpur"/>
    <s v="SMB"/>
    <s v="Partner"/>
    <s v="Sunita Lal"/>
    <n v="4435.3900000000003"/>
    <n v="25"/>
    <n v="110884.75"/>
    <n v="13.3"/>
    <n v="96137.08"/>
    <n v="51.7"/>
    <n v="49702.87"/>
    <s v="Fulfilled"/>
  </r>
  <r>
    <s v="ORD-2026-0575"/>
    <s v="2026-08-15"/>
    <x v="8"/>
    <s v="Q3"/>
    <s v="Quinoa 1kg"/>
    <s v="Food"/>
    <x v="4"/>
    <s v="Lucknow"/>
    <s v="Wholesale"/>
    <s v="Direct"/>
    <s v="Deepak Rao"/>
    <n v="259.83999999999997"/>
    <n v="4"/>
    <n v="1039.3599999999999"/>
    <n v="7.7"/>
    <n v="959.33"/>
    <n v="27.2"/>
    <n v="260.94"/>
    <s v="Fulfilled"/>
  </r>
  <r>
    <s v="ORD-2026-0576"/>
    <s v="2026-03-05"/>
    <x v="9"/>
    <s v="Q1"/>
    <s v="Green Tea Pack"/>
    <s v="Food"/>
    <x v="2"/>
    <s v="Nagpur"/>
    <s v="Wholesale"/>
    <s v="Partner"/>
    <s v="Neha Patel"/>
    <n v="378.63"/>
    <n v="1"/>
    <n v="378.63"/>
    <n v="5.3"/>
    <n v="358.56"/>
    <n v="21.2"/>
    <n v="76.010000000000005"/>
    <s v="Pending"/>
  </r>
  <r>
    <s v="ORD-2026-0577"/>
    <s v="2026-07-27"/>
    <x v="5"/>
    <s v="Q3"/>
    <s v="Green Tea Pack"/>
    <s v="Food"/>
    <x v="0"/>
    <s v="Guwahati"/>
    <s v="Enterprise"/>
    <s v="Direct"/>
    <s v="Rahul Mehta"/>
    <n v="723.13"/>
    <n v="2"/>
    <n v="1446.26"/>
    <n v="12.3"/>
    <n v="1268.3699999999999"/>
    <n v="31.9"/>
    <n v="404.61"/>
    <s v="Returned"/>
  </r>
  <r>
    <s v="ORD-2026-0578"/>
    <s v="2026-12-11"/>
    <x v="1"/>
    <s v="Q4"/>
    <s v="Protein Powder"/>
    <s v="Food"/>
    <x v="4"/>
    <s v="Delhi"/>
    <s v="Online"/>
    <s v="Online"/>
    <s v="Amit Joshi"/>
    <n v="168.63"/>
    <n v="24"/>
    <n v="4047.12"/>
    <n v="4.8"/>
    <n v="3852.86"/>
    <n v="23.6"/>
    <n v="909.27"/>
    <s v="Cancelled"/>
  </r>
  <r>
    <s v="ORD-2026-0579"/>
    <s v="2026-01-12"/>
    <x v="7"/>
    <s v="Q1"/>
    <s v="Gaming Console"/>
    <s v="Electronics"/>
    <x v="1"/>
    <s v="Chennai"/>
    <s v="Retail"/>
    <s v="B2B"/>
    <s v="Aisha Khan"/>
    <n v="78259.02"/>
    <n v="3"/>
    <n v="234777.06"/>
    <n v="23.6"/>
    <n v="179369.67"/>
    <n v="20.9"/>
    <n v="37488.26"/>
    <s v="Fulfilled"/>
  </r>
  <r>
    <s v="ORD-2026-0580"/>
    <s v="2026-08-04"/>
    <x v="8"/>
    <s v="Q3"/>
    <s v="Cotton T-Shirt"/>
    <s v="Apparel"/>
    <x v="3"/>
    <s v="Surat"/>
    <s v="Enterprise"/>
    <s v="Partner"/>
    <s v="Vikram Tiwari"/>
    <n v="4487.37"/>
    <n v="12"/>
    <n v="53848.44"/>
    <n v="0.5"/>
    <n v="53579.199999999997"/>
    <n v="43.8"/>
    <n v="23467.69"/>
    <s v="Returned"/>
  </r>
  <r>
    <s v="ORD-2026-0581"/>
    <s v="2026-10-04"/>
    <x v="2"/>
    <s v="Q4"/>
    <s v="Tablet Ultra"/>
    <s v="Electronics"/>
    <x v="1"/>
    <s v="Kochi"/>
    <s v="Enterprise"/>
    <s v="B2B"/>
    <s v="Kavya Bhat"/>
    <n v="47878.26"/>
    <n v="9"/>
    <n v="430904.34"/>
    <n v="10.8"/>
    <n v="384366.67"/>
    <n v="13.1"/>
    <n v="50352.03"/>
    <s v="Pending"/>
  </r>
  <r>
    <s v="ORD-2026-0582"/>
    <s v="2026-01-11"/>
    <x v="7"/>
    <s v="Q1"/>
    <s v="Yoga Mat"/>
    <s v="Sports"/>
    <x v="2"/>
    <s v="Bhopal"/>
    <s v="Enterprise"/>
    <s v="Direct"/>
    <s v="Amit Joshi"/>
    <n v="7446.83"/>
    <n v="20"/>
    <n v="148936.6"/>
    <n v="11.7"/>
    <n v="131511.01999999999"/>
    <n v="29.9"/>
    <n v="39321.79"/>
    <s v="Pending"/>
  </r>
  <r>
    <s v="ORD-2026-0583"/>
    <s v="2026-11-24"/>
    <x v="0"/>
    <s v="Q4"/>
    <s v="Running Shoes"/>
    <s v="Apparel"/>
    <x v="1"/>
    <s v="Bengaluru"/>
    <s v="Enterprise"/>
    <s v="Online"/>
    <s v="Deepak Rao"/>
    <n v="1808.66"/>
    <n v="15"/>
    <n v="27129.9"/>
    <n v="4.2"/>
    <n v="25990.44"/>
    <n v="38.700000000000003"/>
    <n v="10058.299999999999"/>
    <s v="Fulfilled"/>
  </r>
  <r>
    <s v="ORD-2026-0584"/>
    <s v="2026-03-07"/>
    <x v="9"/>
    <s v="Q1"/>
    <s v="Football Pro"/>
    <s v="Sports"/>
    <x v="3"/>
    <s v="Ahmedabad"/>
    <s v="Online"/>
    <s v="B2B"/>
    <s v="Amit Joshi"/>
    <n v="6183.79"/>
    <n v="10"/>
    <n v="61837.9"/>
    <n v="16.8"/>
    <n v="51449.13"/>
    <n v="34.700000000000003"/>
    <n v="17852.849999999999"/>
    <s v="Fulfilled"/>
  </r>
  <r>
    <s v="ORD-2026-0585"/>
    <s v="2026-07-15"/>
    <x v="5"/>
    <s v="Q3"/>
    <s v="Skipping Rope"/>
    <s v="Sports"/>
    <x v="4"/>
    <s v="Chandigarh"/>
    <s v="Retail"/>
    <s v="B2B"/>
    <s v="Neha Patel"/>
    <n v="4774.75"/>
    <n v="2"/>
    <n v="9549.5"/>
    <n v="12.7"/>
    <n v="8336.7099999999991"/>
    <n v="26.9"/>
    <n v="2242.5700000000002"/>
    <s v="Fulfilled"/>
  </r>
  <r>
    <s v="ORD-2026-0586"/>
    <s v="2026-02-24"/>
    <x v="6"/>
    <s v="Q1"/>
    <s v="Cycling Helmet"/>
    <s v="Sports"/>
    <x v="3"/>
    <s v="Mumbai"/>
    <s v="Wholesale"/>
    <s v="Online"/>
    <s v="Neha Patel"/>
    <n v="7740.3"/>
    <n v="5"/>
    <n v="38701.5"/>
    <n v="23.8"/>
    <n v="29490.54"/>
    <n v="28.3"/>
    <n v="8345.82"/>
    <s v="Fulfilled"/>
  </r>
  <r>
    <s v="ORD-2026-0587"/>
    <s v="2026-08-06"/>
    <x v="8"/>
    <s v="Q3"/>
    <s v="Wardrobe 3-door"/>
    <s v="Furniture"/>
    <x v="4"/>
    <s v="Jaipur"/>
    <s v="Wholesale"/>
    <s v="Direct"/>
    <s v="Kavya Bhat"/>
    <n v="5453.18"/>
    <n v="17"/>
    <n v="92704.06"/>
    <n v="16.3"/>
    <n v="77593.3"/>
    <n v="32.1"/>
    <n v="24907.45"/>
    <s v="Fulfilled"/>
  </r>
  <r>
    <s v="ORD-2026-0588"/>
    <s v="2026-10-28"/>
    <x v="2"/>
    <s v="Q4"/>
    <s v="Quinoa 1kg"/>
    <s v="Food"/>
    <x v="0"/>
    <s v="Bhubaneswar"/>
    <s v="SMB"/>
    <s v="Online"/>
    <s v="Vikram Tiwari"/>
    <n v="1379.87"/>
    <n v="18"/>
    <n v="24837.66"/>
    <n v="20.5"/>
    <n v="19745.939999999999"/>
    <n v="19.100000000000001"/>
    <n v="3771.47"/>
    <s v="Fulfilled"/>
  </r>
  <r>
    <s v="ORD-2026-0589"/>
    <s v="2026-09-29"/>
    <x v="3"/>
    <s v="Q3"/>
    <s v="Yoga Mat"/>
    <s v="Sports"/>
    <x v="3"/>
    <s v="Mumbai"/>
    <s v="Online"/>
    <s v="Online"/>
    <s v="Vikram Tiwari"/>
    <n v="2442.67"/>
    <n v="15"/>
    <n v="36640.050000000003"/>
    <n v="10.3"/>
    <n v="32866.120000000003"/>
    <n v="43.9"/>
    <n v="14428.23"/>
    <s v="Pending"/>
  </r>
  <r>
    <s v="ORD-2026-0590"/>
    <s v="2026-07-21"/>
    <x v="5"/>
    <s v="Q3"/>
    <s v="Eye Shadow Palette"/>
    <s v="Cosmetics"/>
    <x v="3"/>
    <s v="Pune"/>
    <s v="Enterprise"/>
    <s v="B2B"/>
    <s v="Deepak Rao"/>
    <n v="2695.65"/>
    <n v="20"/>
    <n v="53913"/>
    <n v="7.1"/>
    <n v="50085.18"/>
    <n v="59.5"/>
    <n v="29800.68"/>
    <s v="Returned"/>
  </r>
  <r>
    <s v="ORD-2026-0591"/>
    <s v="2026-12-31"/>
    <x v="1"/>
    <s v="Q4"/>
    <s v="Football Pro"/>
    <s v="Sports"/>
    <x v="1"/>
    <s v="Bengaluru"/>
    <s v="Wholesale"/>
    <s v="Online"/>
    <s v="Rohit Das"/>
    <n v="4019.61"/>
    <n v="15"/>
    <n v="60294.15"/>
    <n v="13.7"/>
    <n v="52033.85"/>
    <n v="24.3"/>
    <n v="12644.23"/>
    <s v="Fulfilled"/>
  </r>
  <r>
    <s v="ORD-2026-0592"/>
    <s v="2026-10-03"/>
    <x v="2"/>
    <s v="Q4"/>
    <s v="Sofa 3-seater"/>
    <s v="Furniture"/>
    <x v="0"/>
    <s v="Kolkata"/>
    <s v="Wholesale"/>
    <s v="B2B"/>
    <s v="Kavya Bhat"/>
    <n v="26205.96"/>
    <n v="18"/>
    <n v="471707.28"/>
    <n v="13.9"/>
    <n v="406139.97"/>
    <n v="48"/>
    <n v="194947.19"/>
    <s v="Fulfilled"/>
  </r>
  <r>
    <s v="ORD-2026-0593"/>
    <s v="2026-05-26"/>
    <x v="11"/>
    <s v="Q2"/>
    <s v="Hair Oil 200ml"/>
    <s v="Cosmetics"/>
    <x v="2"/>
    <s v="Nagpur"/>
    <s v="Retail"/>
    <s v="B2B"/>
    <s v="Neha Patel"/>
    <n v="892.37"/>
    <n v="9"/>
    <n v="8031.33"/>
    <n v="14.5"/>
    <n v="6866.79"/>
    <n v="71.2"/>
    <n v="4889.1499999999996"/>
    <s v="Fulfilled"/>
  </r>
  <r>
    <s v="ORD-2026-0594"/>
    <s v="2026-11-15"/>
    <x v="0"/>
    <s v="Q4"/>
    <s v="Badminton Set"/>
    <s v="Sports"/>
    <x v="4"/>
    <s v="Jaipur"/>
    <s v="Retail"/>
    <s v="Online"/>
    <s v="Neha Patel"/>
    <n v="8205.44"/>
    <n v="14"/>
    <n v="114876.16"/>
    <n v="11.9"/>
    <n v="101205.9"/>
    <n v="45.5"/>
    <n v="46048.68"/>
    <s v="Fulfilled"/>
  </r>
  <r>
    <s v="ORD-2026-0595"/>
    <s v="2026-03-27"/>
    <x v="9"/>
    <s v="Q1"/>
    <s v="Eye Shadow Palette"/>
    <s v="Cosmetics"/>
    <x v="1"/>
    <s v="Bengaluru"/>
    <s v="Retail"/>
    <s v="B2B"/>
    <s v="Priya Sharma"/>
    <n v="2967.66"/>
    <n v="22"/>
    <n v="65288.52"/>
    <n v="4.2"/>
    <n v="62546.400000000001"/>
    <n v="50.7"/>
    <n v="31711.02"/>
    <s v="Fulfilled"/>
  </r>
  <r>
    <s v="ORD-2026-0596"/>
    <s v="2026-05-09"/>
    <x v="11"/>
    <s v="Q2"/>
    <s v="Laptop Pro X1"/>
    <s v="Electronics"/>
    <x v="0"/>
    <s v="Patna"/>
    <s v="Enterprise"/>
    <s v="Online"/>
    <s v="Priya Sharma"/>
    <n v="38003.03"/>
    <n v="16"/>
    <n v="608048.48"/>
    <n v="5.6"/>
    <n v="573997.77"/>
    <n v="28.3"/>
    <n v="162441.37"/>
    <s v="Pending"/>
  </r>
  <r>
    <s v="ORD-2026-0597"/>
    <s v="2026-05-09"/>
    <x v="11"/>
    <s v="Q2"/>
    <s v="Coffee Table"/>
    <s v="Furniture"/>
    <x v="3"/>
    <s v="Surat"/>
    <s v="Enterprise"/>
    <s v="Online"/>
    <s v="Vikram Tiwari"/>
    <n v="20873.830000000002"/>
    <n v="22"/>
    <n v="459224.26"/>
    <n v="9.6"/>
    <n v="415138.73"/>
    <n v="36.700000000000003"/>
    <n v="152355.91"/>
    <s v="Fulfilled"/>
  </r>
  <r>
    <s v="ORD-2026-0598"/>
    <s v="2026-12-13"/>
    <x v="1"/>
    <s v="Q4"/>
    <s v="Denim Jeans"/>
    <s v="Apparel"/>
    <x v="4"/>
    <s v="Jaipur"/>
    <s v="Enterprise"/>
    <s v="Direct"/>
    <s v="Priya Sharma"/>
    <n v="1791.52"/>
    <n v="1"/>
    <n v="1791.52"/>
    <n v="5"/>
    <n v="1701.94"/>
    <n v="53.6"/>
    <n v="912.24"/>
    <s v="Cancelled"/>
  </r>
  <r>
    <s v="ORD-2026-0599"/>
    <s v="2026-01-20"/>
    <x v="7"/>
    <s v="Q1"/>
    <s v="Hair Oil 200ml"/>
    <s v="Cosmetics"/>
    <x v="4"/>
    <s v="Chandigarh"/>
    <s v="SMB"/>
    <s v="B2B"/>
    <s v="Priya Sharma"/>
    <n v="1248.42"/>
    <n v="20"/>
    <n v="24968.400000000001"/>
    <n v="14.9"/>
    <n v="21248.11"/>
    <n v="60.9"/>
    <n v="12940.1"/>
    <s v="Fulfilled"/>
  </r>
  <r>
    <s v="ORD-2026-0600"/>
    <s v="2026-04-24"/>
    <x v="4"/>
    <s v="Q2"/>
    <s v="Wireless Earbuds"/>
    <s v="Electronics"/>
    <x v="0"/>
    <s v="Guwahati"/>
    <s v="Online"/>
    <s v="Online"/>
    <s v="Vikram Tiwari"/>
    <n v="10150.129999999999"/>
    <n v="2"/>
    <n v="20300.259999999998"/>
    <n v="19.5"/>
    <n v="16341.71"/>
    <n v="30.3"/>
    <n v="4951.54"/>
    <s v="Cancelled"/>
  </r>
  <r>
    <s v="ORD-2026-0601"/>
    <s v="2026-09-29"/>
    <x v="3"/>
    <s v="Q3"/>
    <s v="DSLR Camera"/>
    <s v="Electronics"/>
    <x v="2"/>
    <s v="Raipur"/>
    <s v="Retail"/>
    <s v="Direct"/>
    <s v="Kavya Bhat"/>
    <n v="82860.42"/>
    <n v="19"/>
    <n v="1574347.98"/>
    <n v="19.899999999999999"/>
    <n v="1261052.73"/>
    <n v="24.1"/>
    <n v="303913.71000000002"/>
    <s v="Fulfilled"/>
  </r>
  <r>
    <s v="ORD-2026-0602"/>
    <s v="2026-11-12"/>
    <x v="0"/>
    <s v="Q4"/>
    <s v="DSLR Camera"/>
    <s v="Electronics"/>
    <x v="0"/>
    <s v="Patna"/>
    <s v="Enterprise"/>
    <s v="Direct"/>
    <s v="Sunita Lal"/>
    <n v="68192.490000000005"/>
    <n v="3"/>
    <n v="204577.47"/>
    <n v="14.2"/>
    <n v="175527.47"/>
    <n v="19.7"/>
    <n v="34578.910000000003"/>
    <s v="Returned"/>
  </r>
  <r>
    <s v="ORD-2026-0603"/>
    <s v="2026-07-08"/>
    <x v="5"/>
    <s v="Q3"/>
    <s v="Formal Shirt"/>
    <s v="Apparel"/>
    <x v="4"/>
    <s v="Delhi"/>
    <s v="Online"/>
    <s v="Partner"/>
    <s v="Sunita Lal"/>
    <n v="3995.68"/>
    <n v="16"/>
    <n v="63930.879999999997"/>
    <n v="9.4"/>
    <n v="57921.38"/>
    <n v="52.7"/>
    <n v="30524.57"/>
    <s v="Fulfilled"/>
  </r>
  <r>
    <s v="ORD-2026-0604"/>
    <s v="2026-02-05"/>
    <x v="6"/>
    <s v="Q1"/>
    <s v="Lip Gloss Set"/>
    <s v="Cosmetics"/>
    <x v="4"/>
    <s v="Chandigarh"/>
    <s v="Enterprise"/>
    <s v="Direct"/>
    <s v="Aisha Khan"/>
    <n v="3297.07"/>
    <n v="13"/>
    <n v="42861.91"/>
    <n v="10.9"/>
    <n v="38189.96"/>
    <n v="56.6"/>
    <n v="21615.52"/>
    <s v="Fulfilled"/>
  </r>
  <r>
    <s v="ORD-2026-0605"/>
    <s v="2026-01-06"/>
    <x v="7"/>
    <s v="Q1"/>
    <s v="Wireless Earbuds"/>
    <s v="Electronics"/>
    <x v="2"/>
    <s v="Raipur"/>
    <s v="Enterprise"/>
    <s v="B2B"/>
    <s v="Sunita Lal"/>
    <n v="37028.949999999997"/>
    <n v="4"/>
    <n v="148115.79999999999"/>
    <n v="24.5"/>
    <n v="111827.43"/>
    <n v="32"/>
    <n v="35784.78"/>
    <s v="Fulfilled"/>
  </r>
  <r>
    <s v="ORD-2026-0606"/>
    <s v="2026-10-13"/>
    <x v="2"/>
    <s v="Q4"/>
    <s v="Football Pro"/>
    <s v="Sports"/>
    <x v="1"/>
    <s v="Kochi"/>
    <s v="Retail"/>
    <s v="Partner"/>
    <s v="Deepak Rao"/>
    <n v="1158.33"/>
    <n v="21"/>
    <n v="24324.93"/>
    <n v="20.9"/>
    <n v="19241.02"/>
    <n v="22.3"/>
    <n v="4290.75"/>
    <s v="Fulfilled"/>
  </r>
  <r>
    <s v="ORD-2026-0607"/>
    <s v="2026-06-27"/>
    <x v="10"/>
    <s v="Q2"/>
    <s v="Coffee Table"/>
    <s v="Furniture"/>
    <x v="4"/>
    <s v="Delhi"/>
    <s v="SMB"/>
    <s v="Direct"/>
    <s v="Amit Joshi"/>
    <n v="38549.919999999998"/>
    <n v="17"/>
    <n v="655348.64"/>
    <n v="24"/>
    <n v="498064.97"/>
    <n v="42.5"/>
    <n v="211677.61"/>
    <s v="Cancelled"/>
  </r>
  <r>
    <s v="ORD-2026-0608"/>
    <s v="2026-03-12"/>
    <x v="9"/>
    <s v="Q1"/>
    <s v="Book Shelf 5-tier"/>
    <s v="Furniture"/>
    <x v="1"/>
    <s v="Hyderabad"/>
    <s v="Enterprise"/>
    <s v="Online"/>
    <s v="Priya Sharma"/>
    <n v="16546.14"/>
    <n v="11"/>
    <n v="182007.54"/>
    <n v="6.6"/>
    <n v="169995.04"/>
    <n v="50"/>
    <n v="84997.52"/>
    <s v="Fulfilled"/>
  </r>
  <r>
    <s v="ORD-2026-0609"/>
    <s v="2026-08-19"/>
    <x v="8"/>
    <s v="Q3"/>
    <s v="Book Shelf 5-tier"/>
    <s v="Furniture"/>
    <x v="4"/>
    <s v="Chandigarh"/>
    <s v="Retail"/>
    <s v="Partner"/>
    <s v="Vikram Tiwari"/>
    <n v="3953.33"/>
    <n v="10"/>
    <n v="39533.300000000003"/>
    <n v="12.8"/>
    <n v="34473.040000000001"/>
    <n v="48.3"/>
    <n v="16650.48"/>
    <s v="Fulfilled"/>
  </r>
  <r>
    <s v="ORD-2026-0610"/>
    <s v="2026-10-07"/>
    <x v="2"/>
    <s v="Q4"/>
    <s v="Resistance Bands"/>
    <s v="Sports"/>
    <x v="1"/>
    <s v="Bengaluru"/>
    <s v="Online"/>
    <s v="Partner"/>
    <s v="Sunita Lal"/>
    <n v="4867.51"/>
    <n v="24"/>
    <n v="116820.24"/>
    <n v="1.8"/>
    <n v="114717.48"/>
    <n v="29.2"/>
    <n v="33497.5"/>
    <s v="Fulfilled"/>
  </r>
  <r>
    <s v="ORD-2026-0611"/>
    <s v="2026-11-23"/>
    <x v="0"/>
    <s v="Q4"/>
    <s v="Bed Frame Queen"/>
    <s v="Furniture"/>
    <x v="3"/>
    <s v="Ahmedabad"/>
    <s v="Online"/>
    <s v="B2B"/>
    <s v="Kavya Bhat"/>
    <n v="26086.03"/>
    <n v="3"/>
    <n v="78258.09"/>
    <n v="5.3"/>
    <n v="74110.41"/>
    <n v="30.9"/>
    <n v="22900.12"/>
    <s v="Cancelled"/>
  </r>
  <r>
    <s v="ORD-2026-0612"/>
    <s v="2026-03-26"/>
    <x v="9"/>
    <s v="Q1"/>
    <s v="Book Shelf 5-tier"/>
    <s v="Furniture"/>
    <x v="0"/>
    <s v="Guwahati"/>
    <s v="Wholesale"/>
    <s v="Online"/>
    <s v="Vikram Tiwari"/>
    <n v="34432.01"/>
    <n v="8"/>
    <n v="275456.08"/>
    <n v="17.8"/>
    <n v="226424.9"/>
    <n v="48.5"/>
    <n v="109816.08"/>
    <s v="Fulfilled"/>
  </r>
  <r>
    <s v="ORD-2026-0613"/>
    <s v="2026-09-06"/>
    <x v="3"/>
    <s v="Q3"/>
    <s v="Resistance Bands"/>
    <s v="Sports"/>
    <x v="3"/>
    <s v="Surat"/>
    <s v="Retail"/>
    <s v="Online"/>
    <s v="Amit Joshi"/>
    <n v="1380.21"/>
    <n v="20"/>
    <n v="27604.2"/>
    <n v="22.2"/>
    <n v="21476.07"/>
    <n v="35.6"/>
    <n v="7645.48"/>
    <s v="Fulfilled"/>
  </r>
  <r>
    <s v="ORD-2026-0614"/>
    <s v="2026-09-09"/>
    <x v="3"/>
    <s v="Q3"/>
    <s v="Badminton Set"/>
    <s v="Sports"/>
    <x v="0"/>
    <s v="Kolkata"/>
    <s v="Wholesale"/>
    <s v="B2B"/>
    <s v="Deepak Rao"/>
    <n v="5815.23"/>
    <n v="22"/>
    <n v="127935.06"/>
    <n v="19.3"/>
    <n v="103243.59"/>
    <n v="46.1"/>
    <n v="47595.29"/>
    <s v="Fulfilled"/>
  </r>
  <r>
    <s v="ORD-2026-0615"/>
    <s v="2026-12-02"/>
    <x v="1"/>
    <s v="Q4"/>
    <s v="Badminton Set"/>
    <s v="Sports"/>
    <x v="0"/>
    <s v="Kolkata"/>
    <s v="Enterprise"/>
    <s v="Partner"/>
    <s v="Priya Sharma"/>
    <n v="7519.88"/>
    <n v="20"/>
    <n v="150397.6"/>
    <n v="23.2"/>
    <n v="115505.36"/>
    <n v="40"/>
    <n v="46202.14"/>
    <s v="Pending"/>
  </r>
  <r>
    <s v="ORD-2026-0616"/>
    <s v="2026-11-13"/>
    <x v="0"/>
    <s v="Q4"/>
    <s v="Study Table"/>
    <s v="Furniture"/>
    <x v="4"/>
    <s v="Chandigarh"/>
    <s v="SMB"/>
    <s v="Direct"/>
    <s v="Rohit Das"/>
    <n v="6883.13"/>
    <n v="3"/>
    <n v="20649.39"/>
    <n v="21.4"/>
    <n v="16230.42"/>
    <n v="48.4"/>
    <n v="7855.52"/>
    <s v="Fulfilled"/>
  </r>
  <r>
    <s v="ORD-2026-0617"/>
    <s v="2026-10-18"/>
    <x v="2"/>
    <s v="Q4"/>
    <s v="Green Tea Pack"/>
    <s v="Food"/>
    <x v="2"/>
    <s v="Raipur"/>
    <s v="Enterprise"/>
    <s v="Online"/>
    <s v="Amit Joshi"/>
    <n v="1454.31"/>
    <n v="10"/>
    <n v="14543.1"/>
    <n v="1"/>
    <n v="14397.67"/>
    <n v="18.899999999999999"/>
    <n v="2721.16"/>
    <s v="Fulfilled"/>
  </r>
  <r>
    <s v="ORD-2026-0618"/>
    <s v="2026-04-15"/>
    <x v="4"/>
    <s v="Q2"/>
    <s v="Olive Oil 1L"/>
    <s v="Food"/>
    <x v="2"/>
    <s v="Indore"/>
    <s v="SMB"/>
    <s v="Partner"/>
    <s v="Amit Joshi"/>
    <n v="1435.71"/>
    <n v="24"/>
    <n v="34457.040000000001"/>
    <n v="11"/>
    <n v="30666.77"/>
    <n v="27.8"/>
    <n v="8525.36"/>
    <s v="Pending"/>
  </r>
  <r>
    <s v="ORD-2026-0619"/>
    <s v="2026-05-19"/>
    <x v="11"/>
    <s v="Q2"/>
    <s v="Green Tea Pack"/>
    <s v="Food"/>
    <x v="4"/>
    <s v="Jaipur"/>
    <s v="Retail"/>
    <s v="Direct"/>
    <s v="Rahul Mehta"/>
    <n v="1050.22"/>
    <n v="13"/>
    <n v="13652.86"/>
    <n v="21.8"/>
    <n v="10676.54"/>
    <n v="40.4"/>
    <n v="4313.32"/>
    <s v="Fulfilled"/>
  </r>
  <r>
    <s v="ORD-2026-0620"/>
    <s v="2026-03-20"/>
    <x v="9"/>
    <s v="Q1"/>
    <s v="DSLR Camera"/>
    <s v="Electronics"/>
    <x v="2"/>
    <s v="Raipur"/>
    <s v="Wholesale"/>
    <s v="Online"/>
    <s v="Sunita Lal"/>
    <n v="66191.23"/>
    <n v="23"/>
    <n v="1522398.29"/>
    <n v="7.7"/>
    <n v="1405173.62"/>
    <n v="14.6"/>
    <n v="205155.35"/>
    <s v="Fulfilled"/>
  </r>
  <r>
    <s v="ORD-2026-0621"/>
    <s v="2026-07-04"/>
    <x v="5"/>
    <s v="Q3"/>
    <s v="Skipping Rope"/>
    <s v="Sports"/>
    <x v="3"/>
    <s v="Ahmedabad"/>
    <s v="Retail"/>
    <s v="Online"/>
    <s v="Rahul Mehta"/>
    <n v="2464.83"/>
    <n v="7"/>
    <n v="17253.810000000001"/>
    <n v="0.2"/>
    <n v="17219.3"/>
    <n v="25.8"/>
    <n v="4442.58"/>
    <s v="Fulfilled"/>
  </r>
  <r>
    <s v="ORD-2026-0622"/>
    <s v="2026-03-01"/>
    <x v="9"/>
    <s v="Q1"/>
    <s v="Resistance Bands"/>
    <s v="Sports"/>
    <x v="2"/>
    <s v="Nagpur"/>
    <s v="Enterprise"/>
    <s v="Direct"/>
    <s v="Deepak Rao"/>
    <n v="3960.74"/>
    <n v="5"/>
    <n v="19803.7"/>
    <n v="17.7"/>
    <n v="16298.45"/>
    <n v="37.700000000000003"/>
    <n v="6144.52"/>
    <s v="Returned"/>
  </r>
  <r>
    <s v="ORD-2026-0623"/>
    <s v="2026-10-11"/>
    <x v="2"/>
    <s v="Q4"/>
    <s v="Gaming Console"/>
    <s v="Electronics"/>
    <x v="0"/>
    <s v="Patna"/>
    <s v="SMB"/>
    <s v="Direct"/>
    <s v="Deepak Rao"/>
    <n v="16448.09"/>
    <n v="7"/>
    <n v="115136.63"/>
    <n v="7.5"/>
    <n v="106501.38"/>
    <n v="27.8"/>
    <n v="29607.38"/>
    <s v="Fulfilled"/>
  </r>
  <r>
    <s v="ORD-2026-0624"/>
    <s v="2026-10-16"/>
    <x v="2"/>
    <s v="Q4"/>
    <s v="Yoga Mat"/>
    <s v="Sports"/>
    <x v="3"/>
    <s v="Ahmedabad"/>
    <s v="Retail"/>
    <s v="Online"/>
    <s v="Vikram Tiwari"/>
    <n v="1241.1500000000001"/>
    <n v="8"/>
    <n v="9929.2000000000007"/>
    <n v="9.1"/>
    <n v="9025.64"/>
    <n v="25.6"/>
    <n v="2310.56"/>
    <s v="Fulfilled"/>
  </r>
  <r>
    <s v="ORD-2026-0625"/>
    <s v="2026-12-18"/>
    <x v="1"/>
    <s v="Q4"/>
    <s v="Tablet Ultra"/>
    <s v="Electronics"/>
    <x v="2"/>
    <s v="Raipur"/>
    <s v="SMB"/>
    <s v="B2B"/>
    <s v="Amit Joshi"/>
    <n v="42851.39"/>
    <n v="4"/>
    <n v="171405.56"/>
    <n v="13.5"/>
    <n v="148265.81"/>
    <n v="27.9"/>
    <n v="41366.160000000003"/>
    <s v="Fulfilled"/>
  </r>
  <r>
    <s v="ORD-2026-0626"/>
    <s v="2026-03-13"/>
    <x v="9"/>
    <s v="Q1"/>
    <s v="Sunscreen SPF50"/>
    <s v="Cosmetics"/>
    <x v="3"/>
    <s v="Surat"/>
    <s v="Online"/>
    <s v="Direct"/>
    <s v="Priya Sharma"/>
    <n v="1861.05"/>
    <n v="5"/>
    <n v="9305.25"/>
    <n v="10"/>
    <n v="8374.73"/>
    <n v="71.5"/>
    <n v="5987.93"/>
    <s v="Pending"/>
  </r>
  <r>
    <s v="ORD-2026-0627"/>
    <s v="2026-05-18"/>
    <x v="11"/>
    <s v="Q2"/>
    <s v="Yoga Mat"/>
    <s v="Sports"/>
    <x v="1"/>
    <s v="Kochi"/>
    <s v="Enterprise"/>
    <s v="Online"/>
    <s v="Vikram Tiwari"/>
    <n v="961.64"/>
    <n v="3"/>
    <n v="2884.92"/>
    <n v="6.8"/>
    <n v="2688.75"/>
    <n v="39.6"/>
    <n v="1064.74"/>
    <s v="Fulfilled"/>
  </r>
  <r>
    <s v="ORD-2026-0628"/>
    <s v="2026-03-15"/>
    <x v="9"/>
    <s v="Q1"/>
    <s v="Sports Shorts"/>
    <s v="Apparel"/>
    <x v="3"/>
    <s v="Ahmedabad"/>
    <s v="Enterprise"/>
    <s v="Online"/>
    <s v="Rahul Mehta"/>
    <n v="4521.1400000000003"/>
    <n v="2"/>
    <n v="9042.2800000000007"/>
    <n v="10.4"/>
    <n v="8101.88"/>
    <n v="60.8"/>
    <n v="4925.9399999999996"/>
    <s v="Fulfilled"/>
  </r>
  <r>
    <s v="ORD-2026-0629"/>
    <s v="2026-08-14"/>
    <x v="8"/>
    <s v="Q3"/>
    <s v="Resistance Bands"/>
    <s v="Sports"/>
    <x v="0"/>
    <s v="Guwahati"/>
    <s v="Online"/>
    <s v="Partner"/>
    <s v="Rohit Das"/>
    <n v="7045.21"/>
    <n v="7"/>
    <n v="49316.47"/>
    <n v="3.7"/>
    <n v="47491.76"/>
    <n v="28.9"/>
    <n v="13725.12"/>
    <s v="Fulfilled"/>
  </r>
  <r>
    <s v="ORD-2026-0630"/>
    <s v="2026-10-27"/>
    <x v="2"/>
    <s v="Q4"/>
    <s v="Laptop Pro X1"/>
    <s v="Electronics"/>
    <x v="3"/>
    <s v="Mumbai"/>
    <s v="Online"/>
    <s v="B2B"/>
    <s v="Priya Sharma"/>
    <n v="71401.39"/>
    <n v="12"/>
    <n v="856816.68"/>
    <n v="14.3"/>
    <n v="734291.89"/>
    <n v="30.4"/>
    <n v="223224.73"/>
    <s v="Fulfilled"/>
  </r>
  <r>
    <s v="ORD-2026-0631"/>
    <s v="2026-07-19"/>
    <x v="5"/>
    <s v="Q3"/>
    <s v="Sofa 3-seater"/>
    <s v="Furniture"/>
    <x v="3"/>
    <s v="Mumbai"/>
    <s v="Enterprise"/>
    <s v="B2B"/>
    <s v="Kavya Bhat"/>
    <n v="42395.18"/>
    <n v="25"/>
    <n v="1059879.5"/>
    <n v="10"/>
    <n v="953891.55"/>
    <n v="48.7"/>
    <n v="464545.18"/>
    <s v="Cancelled"/>
  </r>
  <r>
    <s v="ORD-2026-0632"/>
    <s v="2026-10-19"/>
    <x v="2"/>
    <s v="Q4"/>
    <s v="Coffee Table"/>
    <s v="Furniture"/>
    <x v="0"/>
    <s v="Guwahati"/>
    <s v="Retail"/>
    <s v="Direct"/>
    <s v="Kavya Bhat"/>
    <n v="14388.93"/>
    <n v="13"/>
    <n v="187056.09"/>
    <n v="15.8"/>
    <n v="157501.23000000001"/>
    <n v="43.6"/>
    <n v="68670.539999999994"/>
    <s v="Fulfilled"/>
  </r>
  <r>
    <s v="ORD-2026-0633"/>
    <s v="2026-10-24"/>
    <x v="2"/>
    <s v="Q4"/>
    <s v="Cotton T-Shirt"/>
    <s v="Apparel"/>
    <x v="2"/>
    <s v="Indore"/>
    <s v="Enterprise"/>
    <s v="Direct"/>
    <s v="Vikram Tiwari"/>
    <n v="1168.6300000000001"/>
    <n v="15"/>
    <n v="17529.45"/>
    <n v="1.3"/>
    <n v="17301.57"/>
    <n v="49.6"/>
    <n v="8581.58"/>
    <s v="Fulfilled"/>
  </r>
  <r>
    <s v="ORD-2026-0634"/>
    <s v="2026-02-04"/>
    <x v="6"/>
    <s v="Q1"/>
    <s v="Football Pro"/>
    <s v="Sports"/>
    <x v="2"/>
    <s v="Bhopal"/>
    <s v="Enterprise"/>
    <s v="B2B"/>
    <s v="Deepak Rao"/>
    <n v="3600.87"/>
    <n v="12"/>
    <n v="43210.44"/>
    <n v="11.2"/>
    <n v="38370.870000000003"/>
    <n v="24.1"/>
    <n v="9247.3799999999992"/>
    <s v="Cancelled"/>
  </r>
  <r>
    <s v="ORD-2026-0635"/>
    <s v="2026-08-01"/>
    <x v="8"/>
    <s v="Q3"/>
    <s v="Face Serum"/>
    <s v="Cosmetics"/>
    <x v="3"/>
    <s v="Ahmedabad"/>
    <s v="SMB"/>
    <s v="B2B"/>
    <s v="Amit Joshi"/>
    <n v="2270.5100000000002"/>
    <n v="5"/>
    <n v="11352.55"/>
    <n v="8"/>
    <n v="10444.35"/>
    <n v="48.2"/>
    <n v="5034.18"/>
    <s v="Cancelled"/>
  </r>
  <r>
    <s v="ORD-2026-0636"/>
    <s v="2026-08-20"/>
    <x v="8"/>
    <s v="Q3"/>
    <s v="Running Shoes"/>
    <s v="Apparel"/>
    <x v="3"/>
    <s v="Mumbai"/>
    <s v="Enterprise"/>
    <s v="Online"/>
    <s v="Amit Joshi"/>
    <n v="4320.74"/>
    <n v="5"/>
    <n v="21603.7"/>
    <n v="12.2"/>
    <n v="18968.05"/>
    <n v="49.5"/>
    <n v="9389.18"/>
    <s v="Fulfilled"/>
  </r>
  <r>
    <s v="ORD-2026-0637"/>
    <s v="2026-09-02"/>
    <x v="3"/>
    <s v="Q3"/>
    <s v="Sofa 3-seater"/>
    <s v="Furniture"/>
    <x v="3"/>
    <s v="Surat"/>
    <s v="Wholesale"/>
    <s v="Direct"/>
    <s v="Priya Sharma"/>
    <n v="28153.84"/>
    <n v="15"/>
    <n v="422307.6"/>
    <n v="23.8"/>
    <n v="321798.39"/>
    <n v="35.200000000000003"/>
    <n v="113273.03"/>
    <s v="Fulfilled"/>
  </r>
  <r>
    <s v="ORD-2026-0638"/>
    <s v="2026-07-04"/>
    <x v="5"/>
    <s v="Q3"/>
    <s v="Tablet Ultra"/>
    <s v="Electronics"/>
    <x v="2"/>
    <s v="Bhopal"/>
    <s v="Wholesale"/>
    <s v="Online"/>
    <s v="Rohit Das"/>
    <n v="36535.03"/>
    <n v="17"/>
    <n v="621095.51"/>
    <n v="15.8"/>
    <n v="522962.42"/>
    <n v="23.3"/>
    <n v="121850.24000000001"/>
    <s v="Pending"/>
  </r>
  <r>
    <s v="ORD-2026-0639"/>
    <s v="2026-09-26"/>
    <x v="3"/>
    <s v="Q3"/>
    <s v="Dumbbells 5kg"/>
    <s v="Sports"/>
    <x v="0"/>
    <s v="Bhubaneswar"/>
    <s v="Retail"/>
    <s v="Partner"/>
    <s v="Rahul Mehta"/>
    <n v="4149.8"/>
    <n v="14"/>
    <n v="58097.2"/>
    <n v="6.9"/>
    <n v="54088.49"/>
    <n v="33.799999999999997"/>
    <n v="18281.91"/>
    <s v="Cancelled"/>
  </r>
  <r>
    <s v="ORD-2026-0640"/>
    <s v="2026-01-26"/>
    <x v="7"/>
    <s v="Q1"/>
    <s v="Quinoa 1kg"/>
    <s v="Food"/>
    <x v="0"/>
    <s v="Bhubaneswar"/>
    <s v="Retail"/>
    <s v="Direct"/>
    <s v="Vikram Tiwari"/>
    <n v="541.58000000000004"/>
    <n v="18"/>
    <n v="9748.44"/>
    <n v="10.6"/>
    <n v="8715.11"/>
    <n v="33.4"/>
    <n v="2910.85"/>
    <s v="Fulfilled"/>
  </r>
  <r>
    <s v="ORD-2026-0641"/>
    <s v="2026-08-16"/>
    <x v="8"/>
    <s v="Q3"/>
    <s v="Dumbbells 5kg"/>
    <s v="Sports"/>
    <x v="2"/>
    <s v="Indore"/>
    <s v="Wholesale"/>
    <s v="B2B"/>
    <s v="Sunita Lal"/>
    <n v="1109.25"/>
    <n v="3"/>
    <n v="3327.75"/>
    <n v="11.1"/>
    <n v="2958.37"/>
    <n v="26.7"/>
    <n v="789.88"/>
    <s v="Pending"/>
  </r>
  <r>
    <s v="ORD-2026-0642"/>
    <s v="2026-01-27"/>
    <x v="7"/>
    <s v="Q1"/>
    <s v="Kurti Set"/>
    <s v="Apparel"/>
    <x v="1"/>
    <s v="Kochi"/>
    <s v="Wholesale"/>
    <s v="Partner"/>
    <s v="Priya Sharma"/>
    <n v="3422.59"/>
    <n v="5"/>
    <n v="17112.95"/>
    <n v="21.5"/>
    <n v="13433.67"/>
    <n v="41.1"/>
    <n v="5521.24"/>
    <s v="Fulfilled"/>
  </r>
  <r>
    <s v="ORD-2026-0643"/>
    <s v="2026-06-12"/>
    <x v="10"/>
    <s v="Q2"/>
    <s v="Hair Oil 200ml"/>
    <s v="Cosmetics"/>
    <x v="2"/>
    <s v="Nagpur"/>
    <s v="Retail"/>
    <s v="B2B"/>
    <s v="Neha Patel"/>
    <n v="2763.27"/>
    <n v="23"/>
    <n v="63555.21"/>
    <n v="9.8000000000000007"/>
    <n v="57326.8"/>
    <n v="69.099999999999994"/>
    <n v="39612.82"/>
    <s v="Pending"/>
  </r>
  <r>
    <s v="ORD-2026-0644"/>
    <s v="2026-03-29"/>
    <x v="9"/>
    <s v="Q1"/>
    <s v="Coffee Table"/>
    <s v="Furniture"/>
    <x v="3"/>
    <s v="Pune"/>
    <s v="Retail"/>
    <s v="Direct"/>
    <s v="Amit Joshi"/>
    <n v="4026.37"/>
    <n v="6"/>
    <n v="24158.22"/>
    <n v="21.8"/>
    <n v="18891.73"/>
    <n v="34"/>
    <n v="6423.19"/>
    <s v="Pending"/>
  </r>
  <r>
    <s v="ORD-2026-0645"/>
    <s v="2026-07-05"/>
    <x v="5"/>
    <s v="Q3"/>
    <s v="Cycling Helmet"/>
    <s v="Sports"/>
    <x v="1"/>
    <s v="Hyderabad"/>
    <s v="SMB"/>
    <s v="Online"/>
    <s v="Vikram Tiwari"/>
    <n v="5754.71"/>
    <n v="20"/>
    <n v="115094.2"/>
    <n v="2.2999999999999998"/>
    <n v="112447.03"/>
    <n v="32.9"/>
    <n v="36995.07"/>
    <s v="Fulfilled"/>
  </r>
  <r>
    <s v="ORD-2026-0646"/>
    <s v="2026-11-10"/>
    <x v="0"/>
    <s v="Q4"/>
    <s v="Cotton T-Shirt"/>
    <s v="Apparel"/>
    <x v="1"/>
    <s v="Kochi"/>
    <s v="Retail"/>
    <s v="Partner"/>
    <s v="Sunita Lal"/>
    <n v="1541.67"/>
    <n v="5"/>
    <n v="7708.35"/>
    <n v="23.2"/>
    <n v="5920.01"/>
    <n v="53.1"/>
    <n v="3143.53"/>
    <s v="Fulfilled"/>
  </r>
  <r>
    <s v="ORD-2026-0647"/>
    <s v="2026-05-02"/>
    <x v="11"/>
    <s v="Q2"/>
    <s v="Protein Powder"/>
    <s v="Food"/>
    <x v="0"/>
    <s v="Bhubaneswar"/>
    <s v="Enterprise"/>
    <s v="Direct"/>
    <s v="Sunita Lal"/>
    <n v="1027.02"/>
    <n v="6"/>
    <n v="6162.12"/>
    <n v="15.7"/>
    <n v="5194.67"/>
    <n v="39.5"/>
    <n v="2051.89"/>
    <s v="Cancelled"/>
  </r>
  <r>
    <s v="ORD-2026-0648"/>
    <s v="2026-03-29"/>
    <x v="9"/>
    <s v="Q1"/>
    <s v="Cycling Helmet"/>
    <s v="Sports"/>
    <x v="0"/>
    <s v="Guwahati"/>
    <s v="Enterprise"/>
    <s v="Online"/>
    <s v="Kavya Bhat"/>
    <n v="3577.08"/>
    <n v="17"/>
    <n v="60810.36"/>
    <n v="4.9000000000000004"/>
    <n v="57830.65"/>
    <n v="32.6"/>
    <n v="18852.79"/>
    <s v="Fulfilled"/>
  </r>
  <r>
    <s v="ORD-2026-0649"/>
    <s v="2026-08-20"/>
    <x v="8"/>
    <s v="Q3"/>
    <s v="Green Tea Pack"/>
    <s v="Food"/>
    <x v="3"/>
    <s v="Ahmedabad"/>
    <s v="SMB"/>
    <s v="Direct"/>
    <s v="Priya Sharma"/>
    <n v="1341.73"/>
    <n v="12"/>
    <n v="16100.76"/>
    <n v="16.399999999999999"/>
    <n v="13460.24"/>
    <n v="24.7"/>
    <n v="3324.68"/>
    <s v="Fulfilled"/>
  </r>
  <r>
    <s v="ORD-2026-0650"/>
    <s v="2026-01-19"/>
    <x v="7"/>
    <s v="Q1"/>
    <s v="Dumbbells 5kg"/>
    <s v="Sports"/>
    <x v="2"/>
    <s v="Raipur"/>
    <s v="SMB"/>
    <s v="Online"/>
    <s v="Vikram Tiwari"/>
    <n v="6244.26"/>
    <n v="12"/>
    <n v="74931.12"/>
    <n v="18.100000000000001"/>
    <n v="61368.59"/>
    <n v="32.4"/>
    <n v="19883.419999999998"/>
    <s v="Fulfilled"/>
  </r>
  <r>
    <s v="ORD-2026-0651"/>
    <s v="2026-07-26"/>
    <x v="5"/>
    <s v="Q3"/>
    <s v="Quinoa 1kg"/>
    <s v="Food"/>
    <x v="0"/>
    <s v="Patna"/>
    <s v="Online"/>
    <s v="Online"/>
    <s v="Vikram Tiwari"/>
    <n v="1452.07"/>
    <n v="19"/>
    <n v="27589.33"/>
    <n v="11.1"/>
    <n v="24526.91"/>
    <n v="20.2"/>
    <n v="4954.4399999999996"/>
    <s v="Fulfilled"/>
  </r>
  <r>
    <s v="ORD-2026-0652"/>
    <s v="2026-07-18"/>
    <x v="5"/>
    <s v="Q3"/>
    <s v="Eye Shadow Palette"/>
    <s v="Cosmetics"/>
    <x v="4"/>
    <s v="Delhi"/>
    <s v="Online"/>
    <s v="Online"/>
    <s v="Vikram Tiwari"/>
    <n v="2888.5"/>
    <n v="7"/>
    <n v="20219.5"/>
    <n v="6.9"/>
    <n v="18824.349999999999"/>
    <n v="48.9"/>
    <n v="9205.11"/>
    <s v="Fulfilled"/>
  </r>
  <r>
    <s v="ORD-2026-0653"/>
    <s v="2026-04-20"/>
    <x v="4"/>
    <s v="Q2"/>
    <s v="Eye Shadow Palette"/>
    <s v="Cosmetics"/>
    <x v="0"/>
    <s v="Patna"/>
    <s v="Online"/>
    <s v="B2B"/>
    <s v="Vikram Tiwari"/>
    <n v="3067.38"/>
    <n v="7"/>
    <n v="21471.66"/>
    <n v="16.7"/>
    <n v="17885.89"/>
    <n v="60"/>
    <n v="10731.53"/>
    <s v="Fulfilled"/>
  </r>
  <r>
    <s v="ORD-2026-0654"/>
    <s v="2026-06-17"/>
    <x v="10"/>
    <s v="Q2"/>
    <s v="Wardrobe 3-door"/>
    <s v="Furniture"/>
    <x v="4"/>
    <s v="Jaipur"/>
    <s v="Wholesale"/>
    <s v="Direct"/>
    <s v="Amit Joshi"/>
    <n v="15090.9"/>
    <n v="11"/>
    <n v="165999.9"/>
    <n v="4.5"/>
    <n v="158529.9"/>
    <n v="33.700000000000003"/>
    <n v="53424.58"/>
    <s v="Pending"/>
  </r>
  <r>
    <s v="ORD-2026-0655"/>
    <s v="2026-04-28"/>
    <x v="4"/>
    <s v="Q2"/>
    <s v="Football Pro"/>
    <s v="Sports"/>
    <x v="4"/>
    <s v="Delhi"/>
    <s v="SMB"/>
    <s v="Online"/>
    <s v="Kavya Bhat"/>
    <n v="3943.27"/>
    <n v="3"/>
    <n v="11829.81"/>
    <n v="22.7"/>
    <n v="9144.44"/>
    <n v="35.9"/>
    <n v="3282.85"/>
    <s v="Fulfilled"/>
  </r>
  <r>
    <s v="ORD-2026-0656"/>
    <s v="2026-07-05"/>
    <x v="5"/>
    <s v="Q3"/>
    <s v="Protein Powder"/>
    <s v="Food"/>
    <x v="1"/>
    <s v="Kochi"/>
    <s v="Online"/>
    <s v="Online"/>
    <s v="Rahul Mehta"/>
    <n v="964.53"/>
    <n v="6"/>
    <n v="5787.18"/>
    <n v="11.9"/>
    <n v="5098.51"/>
    <n v="20.8"/>
    <n v="1060.49"/>
    <s v="Fulfilled"/>
  </r>
  <r>
    <s v="ORD-2026-0657"/>
    <s v="2026-03-08"/>
    <x v="9"/>
    <s v="Q1"/>
    <s v="Muesli Box"/>
    <s v="Food"/>
    <x v="0"/>
    <s v="Kolkata"/>
    <s v="SMB"/>
    <s v="Online"/>
    <s v="Aisha Khan"/>
    <n v="1080.56"/>
    <n v="1"/>
    <n v="1080.56"/>
    <n v="20.9"/>
    <n v="854.72"/>
    <n v="21.2"/>
    <n v="181.2"/>
    <s v="Fulfilled"/>
  </r>
  <r>
    <s v="ORD-2026-0658"/>
    <s v="2026-03-02"/>
    <x v="9"/>
    <s v="Q1"/>
    <s v="Eye Shadow Palette"/>
    <s v="Cosmetics"/>
    <x v="2"/>
    <s v="Raipur"/>
    <s v="Retail"/>
    <s v="Partner"/>
    <s v="Rahul Mehta"/>
    <n v="3012.41"/>
    <n v="12"/>
    <n v="36148.92"/>
    <n v="0.7"/>
    <n v="35895.879999999997"/>
    <n v="55.7"/>
    <n v="19994.009999999998"/>
    <s v="Pending"/>
  </r>
  <r>
    <s v="ORD-2026-0659"/>
    <s v="2026-05-01"/>
    <x v="11"/>
    <s v="Q2"/>
    <s v="Organic Honey"/>
    <s v="Food"/>
    <x v="0"/>
    <s v="Guwahati"/>
    <s v="Enterprise"/>
    <s v="Online"/>
    <s v="Sunita Lal"/>
    <n v="284.3"/>
    <n v="12"/>
    <n v="3411.6"/>
    <n v="5.8"/>
    <n v="3213.73"/>
    <n v="34.799999999999997"/>
    <n v="1118.3800000000001"/>
    <s v="Fulfilled"/>
  </r>
  <r>
    <s v="ORD-2026-0660"/>
    <s v="2026-05-13"/>
    <x v="11"/>
    <s v="Q2"/>
    <s v="Football Pro"/>
    <s v="Sports"/>
    <x v="3"/>
    <s v="Ahmedabad"/>
    <s v="Enterprise"/>
    <s v="Online"/>
    <s v="Vikram Tiwari"/>
    <n v="3059.42"/>
    <n v="10"/>
    <n v="30594.2"/>
    <n v="7.1"/>
    <n v="28422.01"/>
    <n v="45"/>
    <n v="12789.9"/>
    <s v="Fulfilled"/>
  </r>
  <r>
    <s v="ORD-2026-0661"/>
    <s v="2026-08-02"/>
    <x v="8"/>
    <s v="Q3"/>
    <s v="Wardrobe 3-door"/>
    <s v="Furniture"/>
    <x v="4"/>
    <s v="Delhi"/>
    <s v="Enterprise"/>
    <s v="Direct"/>
    <s v="Rohit Das"/>
    <n v="29355.83"/>
    <n v="10"/>
    <n v="293558.3"/>
    <n v="20"/>
    <n v="234846.64"/>
    <n v="29"/>
    <n v="68105.53"/>
    <s v="Cancelled"/>
  </r>
  <r>
    <s v="ORD-2026-0662"/>
    <s v="2026-11-30"/>
    <x v="0"/>
    <s v="Q4"/>
    <s v="Wireless Earbuds"/>
    <s v="Electronics"/>
    <x v="3"/>
    <s v="Pune"/>
    <s v="Online"/>
    <s v="B2B"/>
    <s v="Amit Joshi"/>
    <n v="93845.59"/>
    <n v="17"/>
    <n v="1595375.03"/>
    <n v="15.6"/>
    <n v="1346496.53"/>
    <n v="12.2"/>
    <n v="164272.57999999999"/>
    <s v="Fulfilled"/>
  </r>
  <r>
    <s v="ORD-2026-0663"/>
    <s v="2026-01-28"/>
    <x v="7"/>
    <s v="Q1"/>
    <s v="Laptop Pro X1"/>
    <s v="Electronics"/>
    <x v="2"/>
    <s v="Nagpur"/>
    <s v="Retail"/>
    <s v="Online"/>
    <s v="Rahul Mehta"/>
    <n v="65080.56"/>
    <n v="14"/>
    <n v="911127.84"/>
    <n v="21.2"/>
    <n v="717968.74"/>
    <n v="18.399999999999999"/>
    <n v="132106.25"/>
    <s v="Fulfilled"/>
  </r>
  <r>
    <s v="ORD-2026-0664"/>
    <s v="2026-12-11"/>
    <x v="1"/>
    <s v="Q4"/>
    <s v="Lip Gloss Set"/>
    <s v="Cosmetics"/>
    <x v="1"/>
    <s v="Chennai"/>
    <s v="Enterprise"/>
    <s v="Online"/>
    <s v="Rohit Das"/>
    <n v="385.92"/>
    <n v="6"/>
    <n v="2315.52"/>
    <n v="22.2"/>
    <n v="1801.47"/>
    <n v="60.5"/>
    <n v="1089.8900000000001"/>
    <s v="Fulfilled"/>
  </r>
  <r>
    <s v="ORD-2026-0665"/>
    <s v="2026-02-27"/>
    <x v="6"/>
    <s v="Q1"/>
    <s v="Resistance Bands"/>
    <s v="Sports"/>
    <x v="4"/>
    <s v="Chandigarh"/>
    <s v="Wholesale"/>
    <s v="Partner"/>
    <s v="Amit Joshi"/>
    <n v="2531.06"/>
    <n v="15"/>
    <n v="37965.9"/>
    <n v="17.2"/>
    <n v="31435.77"/>
    <n v="34"/>
    <n v="10688.16"/>
    <s v="Pending"/>
  </r>
  <r>
    <s v="ORD-2026-0666"/>
    <s v="2026-12-17"/>
    <x v="1"/>
    <s v="Q4"/>
    <s v="Smart TV 55&quot;"/>
    <s v="Electronics"/>
    <x v="3"/>
    <s v="Surat"/>
    <s v="Enterprise"/>
    <s v="Online"/>
    <s v="Vikram Tiwari"/>
    <n v="25830.59"/>
    <n v="14"/>
    <n v="361628.26"/>
    <n v="9.4"/>
    <n v="327635.20000000001"/>
    <n v="31"/>
    <n v="101566.91"/>
    <s v="Fulfilled"/>
  </r>
  <r>
    <s v="ORD-2026-0667"/>
    <s v="2026-04-03"/>
    <x v="4"/>
    <s v="Q2"/>
    <s v="Study Table"/>
    <s v="Furniture"/>
    <x v="4"/>
    <s v="Jaipur"/>
    <s v="Retail"/>
    <s v="B2B"/>
    <s v="Rahul Mehta"/>
    <n v="17163.2"/>
    <n v="21"/>
    <n v="360427.2"/>
    <n v="24.4"/>
    <n v="272482.96000000002"/>
    <n v="36.799999999999997"/>
    <n v="100273.73"/>
    <s v="Fulfilled"/>
  </r>
  <r>
    <s v="ORD-2026-0668"/>
    <s v="2026-12-13"/>
    <x v="1"/>
    <s v="Q4"/>
    <s v="Formal Shirt"/>
    <s v="Apparel"/>
    <x v="0"/>
    <s v="Patna"/>
    <s v="Wholesale"/>
    <s v="Online"/>
    <s v="Amit Joshi"/>
    <n v="2227.34"/>
    <n v="23"/>
    <n v="51228.82"/>
    <n v="16.8"/>
    <n v="42622.38"/>
    <n v="61.9"/>
    <n v="26383.25"/>
    <s v="Fulfilled"/>
  </r>
  <r>
    <s v="ORD-2026-0669"/>
    <s v="2026-01-30"/>
    <x v="7"/>
    <s v="Q1"/>
    <s v="Sports Shorts"/>
    <s v="Apparel"/>
    <x v="3"/>
    <s v="Pune"/>
    <s v="Enterprise"/>
    <s v="Direct"/>
    <s v="Aisha Khan"/>
    <n v="3221.45"/>
    <n v="21"/>
    <n v="67650.45"/>
    <n v="2.5"/>
    <n v="65959.19"/>
    <n v="49.7"/>
    <n v="32781.72"/>
    <s v="Pending"/>
  </r>
  <r>
    <s v="ORD-2026-0670"/>
    <s v="2026-01-16"/>
    <x v="7"/>
    <s v="Q1"/>
    <s v="Skipping Rope"/>
    <s v="Sports"/>
    <x v="2"/>
    <s v="Indore"/>
    <s v="SMB"/>
    <s v="B2B"/>
    <s v="Rahul Mehta"/>
    <n v="492.83"/>
    <n v="10"/>
    <n v="4928.3"/>
    <n v="17.100000000000001"/>
    <n v="4085.56"/>
    <n v="35.6"/>
    <n v="1454.46"/>
    <s v="Fulfilled"/>
  </r>
  <r>
    <s v="ORD-2026-0671"/>
    <s v="2026-05-09"/>
    <x v="11"/>
    <s v="Q2"/>
    <s v="Sunscreen SPF50"/>
    <s v="Cosmetics"/>
    <x v="0"/>
    <s v="Guwahati"/>
    <s v="Wholesale"/>
    <s v="Partner"/>
    <s v="Priya Sharma"/>
    <n v="3937.99"/>
    <n v="21"/>
    <n v="82697.789999999994"/>
    <n v="12.2"/>
    <n v="72608.66"/>
    <n v="56.1"/>
    <n v="40733.46"/>
    <s v="Pending"/>
  </r>
  <r>
    <s v="ORD-2026-0672"/>
    <s v="2026-10-15"/>
    <x v="2"/>
    <s v="Q4"/>
    <s v="Kurti Set"/>
    <s v="Apparel"/>
    <x v="0"/>
    <s v="Bhubaneswar"/>
    <s v="Online"/>
    <s v="Direct"/>
    <s v="Vikram Tiwari"/>
    <n v="1734.94"/>
    <n v="15"/>
    <n v="26024.1"/>
    <n v="9.9"/>
    <n v="23447.71"/>
    <n v="52.5"/>
    <n v="12310.05"/>
    <s v="Pending"/>
  </r>
  <r>
    <s v="ORD-2026-0673"/>
    <s v="2026-09-12"/>
    <x v="3"/>
    <s v="Q3"/>
    <s v="Protein Powder"/>
    <s v="Food"/>
    <x v="1"/>
    <s v="Hyderabad"/>
    <s v="Retail"/>
    <s v="Direct"/>
    <s v="Amit Joshi"/>
    <n v="936.54"/>
    <n v="15"/>
    <n v="14048.1"/>
    <n v="5.2"/>
    <n v="13317.6"/>
    <n v="34.299999999999997"/>
    <n v="4567.9399999999996"/>
    <s v="Fulfilled"/>
  </r>
  <r>
    <s v="ORD-2026-0674"/>
    <s v="2026-08-01"/>
    <x v="8"/>
    <s v="Q3"/>
    <s v="Sofa 3-seater"/>
    <s v="Furniture"/>
    <x v="2"/>
    <s v="Indore"/>
    <s v="Wholesale"/>
    <s v="Direct"/>
    <s v="Amit Joshi"/>
    <n v="29415.46"/>
    <n v="10"/>
    <n v="294154.59999999998"/>
    <n v="18"/>
    <n v="241206.77"/>
    <n v="39.799999999999997"/>
    <n v="96000.29"/>
    <s v="Fulfilled"/>
  </r>
  <r>
    <s v="ORD-2026-0675"/>
    <s v="2026-06-19"/>
    <x v="10"/>
    <s v="Q2"/>
    <s v="Coffee Table"/>
    <s v="Furniture"/>
    <x v="2"/>
    <s v="Indore"/>
    <s v="SMB"/>
    <s v="Online"/>
    <s v="Rahul Mehta"/>
    <n v="4074.47"/>
    <n v="17"/>
    <n v="69265.990000000005"/>
    <n v="19.399999999999999"/>
    <n v="55828.39"/>
    <n v="36.9"/>
    <n v="20600.68"/>
    <s v="Pending"/>
  </r>
  <r>
    <s v="ORD-2026-0676"/>
    <s v="2026-03-28"/>
    <x v="9"/>
    <s v="Q1"/>
    <s v="Football Pro"/>
    <s v="Sports"/>
    <x v="3"/>
    <s v="Mumbai"/>
    <s v="Online"/>
    <s v="B2B"/>
    <s v="Rohit Das"/>
    <n v="5596.79"/>
    <n v="25"/>
    <n v="139919.75"/>
    <n v="13.6"/>
    <n v="120890.66"/>
    <n v="46.6"/>
    <n v="56335.05"/>
    <s v="Fulfilled"/>
  </r>
  <r>
    <s v="ORD-2026-0677"/>
    <s v="2026-11-13"/>
    <x v="0"/>
    <s v="Q4"/>
    <s v="Eye Shadow Palette"/>
    <s v="Cosmetics"/>
    <x v="2"/>
    <s v="Nagpur"/>
    <s v="Wholesale"/>
    <s v="Online"/>
    <s v="Rohit Das"/>
    <n v="2171.19"/>
    <n v="24"/>
    <n v="52108.56"/>
    <n v="10.6"/>
    <n v="46585.05"/>
    <n v="69.400000000000006"/>
    <n v="32330.02"/>
    <s v="Fulfilled"/>
  </r>
  <r>
    <s v="ORD-2026-0678"/>
    <s v="2026-12-22"/>
    <x v="1"/>
    <s v="Q4"/>
    <s v="Resistance Bands"/>
    <s v="Sports"/>
    <x v="2"/>
    <s v="Bhopal"/>
    <s v="Retail"/>
    <s v="Partner"/>
    <s v="Deepak Rao"/>
    <n v="2803.86"/>
    <n v="9"/>
    <n v="25234.74"/>
    <n v="17.7"/>
    <n v="20768.189999999999"/>
    <n v="39.4"/>
    <n v="8182.67"/>
    <s v="Pending"/>
  </r>
  <r>
    <s v="ORD-2026-0679"/>
    <s v="2026-10-02"/>
    <x v="2"/>
    <s v="Q4"/>
    <s v="Sports Shorts"/>
    <s v="Apparel"/>
    <x v="3"/>
    <s v="Surat"/>
    <s v="Enterprise"/>
    <s v="Direct"/>
    <s v="Kavya Bhat"/>
    <n v="2157.75"/>
    <n v="11"/>
    <n v="23735.25"/>
    <n v="7.1"/>
    <n v="22050.05"/>
    <n v="38.200000000000003"/>
    <n v="8423.1200000000008"/>
    <s v="Fulfilled"/>
  </r>
  <r>
    <s v="ORD-2026-0680"/>
    <s v="2026-02-18"/>
    <x v="6"/>
    <s v="Q1"/>
    <s v="Quinoa 1kg"/>
    <s v="Food"/>
    <x v="2"/>
    <s v="Nagpur"/>
    <s v="Retail"/>
    <s v="B2B"/>
    <s v="Rohit Das"/>
    <n v="1112.55"/>
    <n v="18"/>
    <n v="20025.900000000001"/>
    <n v="22.9"/>
    <n v="15439.97"/>
    <n v="30.1"/>
    <n v="4647.43"/>
    <s v="Fulfilled"/>
  </r>
  <r>
    <s v="ORD-2026-0681"/>
    <s v="2026-10-12"/>
    <x v="2"/>
    <s v="Q4"/>
    <s v="Football Pro"/>
    <s v="Sports"/>
    <x v="1"/>
    <s v="Chennai"/>
    <s v="Retail"/>
    <s v="Direct"/>
    <s v="Kavya Bhat"/>
    <n v="2083.64"/>
    <n v="20"/>
    <n v="41672.800000000003"/>
    <n v="16.100000000000001"/>
    <n v="34963.480000000003"/>
    <n v="47.2"/>
    <n v="16502.759999999998"/>
    <s v="Pending"/>
  </r>
  <r>
    <s v="ORD-2026-0682"/>
    <s v="2026-12-24"/>
    <x v="1"/>
    <s v="Q4"/>
    <s v="Winter Jacket"/>
    <s v="Apparel"/>
    <x v="3"/>
    <s v="Mumbai"/>
    <s v="Online"/>
    <s v="B2B"/>
    <s v="Vikram Tiwari"/>
    <n v="4953.0600000000004"/>
    <n v="11"/>
    <n v="54483.66"/>
    <n v="12.7"/>
    <n v="47564.24"/>
    <n v="46.6"/>
    <n v="22164.94"/>
    <s v="Fulfilled"/>
  </r>
  <r>
    <s v="ORD-2026-0683"/>
    <s v="2026-06-12"/>
    <x v="10"/>
    <s v="Q2"/>
    <s v="Kurti Set"/>
    <s v="Apparel"/>
    <x v="3"/>
    <s v="Mumbai"/>
    <s v="Wholesale"/>
    <s v="B2B"/>
    <s v="Kavya Bhat"/>
    <n v="1330.92"/>
    <n v="1"/>
    <n v="1330.92"/>
    <n v="15.2"/>
    <n v="1128.6199999999999"/>
    <n v="58.8"/>
    <n v="663.63"/>
    <s v="Fulfilled"/>
  </r>
  <r>
    <s v="ORD-2026-0684"/>
    <s v="2026-10-26"/>
    <x v="2"/>
    <s v="Q4"/>
    <s v="Smart Watch S3"/>
    <s v="Electronics"/>
    <x v="0"/>
    <s v="Kolkata"/>
    <s v="Online"/>
    <s v="B2B"/>
    <s v="Amit Joshi"/>
    <n v="42951.4"/>
    <n v="14"/>
    <n v="601319.6"/>
    <n v="16"/>
    <n v="505108.46"/>
    <n v="23.2"/>
    <n v="117185.16"/>
    <s v="Pending"/>
  </r>
  <r>
    <s v="ORD-2026-0685"/>
    <s v="2026-11-13"/>
    <x v="0"/>
    <s v="Q4"/>
    <s v="Winter Jacket"/>
    <s v="Apparel"/>
    <x v="2"/>
    <s v="Raipur"/>
    <s v="Enterprise"/>
    <s v="Online"/>
    <s v="Vikram Tiwari"/>
    <n v="2399.9"/>
    <n v="6"/>
    <n v="14399.4"/>
    <n v="12"/>
    <n v="12671.47"/>
    <n v="39.200000000000003"/>
    <n v="4967.22"/>
    <s v="Fulfilled"/>
  </r>
  <r>
    <s v="ORD-2026-0686"/>
    <s v="2026-06-08"/>
    <x v="10"/>
    <s v="Q2"/>
    <s v="Study Table"/>
    <s v="Furniture"/>
    <x v="2"/>
    <s v="Bhopal"/>
    <s v="Wholesale"/>
    <s v="Partner"/>
    <s v="Aisha Khan"/>
    <n v="40010.910000000003"/>
    <n v="2"/>
    <n v="80021.820000000007"/>
    <n v="18.5"/>
    <n v="65217.78"/>
    <n v="47.3"/>
    <n v="30848.01"/>
    <s v="Fulfilled"/>
  </r>
  <r>
    <s v="ORD-2026-0687"/>
    <s v="2026-04-16"/>
    <x v="4"/>
    <s v="Q2"/>
    <s v="Nut Mix 500g"/>
    <s v="Food"/>
    <x v="2"/>
    <s v="Indore"/>
    <s v="Wholesale"/>
    <s v="Direct"/>
    <s v="Rahul Mehta"/>
    <n v="1152.74"/>
    <n v="3"/>
    <n v="3458.22"/>
    <n v="22.5"/>
    <n v="2680.12"/>
    <n v="40.9"/>
    <n v="1096.17"/>
    <s v="Fulfilled"/>
  </r>
  <r>
    <s v="ORD-2026-0688"/>
    <s v="2026-11-15"/>
    <x v="0"/>
    <s v="Q4"/>
    <s v="Winter Jacket"/>
    <s v="Apparel"/>
    <x v="0"/>
    <s v="Guwahati"/>
    <s v="SMB"/>
    <s v="B2B"/>
    <s v="Deepak Rao"/>
    <n v="4595.54"/>
    <n v="16"/>
    <n v="73528.639999999999"/>
    <n v="1.5"/>
    <n v="72425.710000000006"/>
    <n v="46.3"/>
    <n v="33533.1"/>
    <s v="Pending"/>
  </r>
  <r>
    <s v="ORD-2026-0689"/>
    <s v="2026-09-11"/>
    <x v="3"/>
    <s v="Q3"/>
    <s v="Wireless Earbuds"/>
    <s v="Electronics"/>
    <x v="3"/>
    <s v="Pune"/>
    <s v="Enterprise"/>
    <s v="B2B"/>
    <s v="Rohit Das"/>
    <n v="66739.789999999994"/>
    <n v="2"/>
    <n v="133479.57999999999"/>
    <n v="1.3"/>
    <n v="131744.35"/>
    <n v="15.6"/>
    <n v="20552.12"/>
    <s v="Fulfilled"/>
  </r>
  <r>
    <s v="ORD-2026-0690"/>
    <s v="2026-02-08"/>
    <x v="6"/>
    <s v="Q1"/>
    <s v="Cotton T-Shirt"/>
    <s v="Apparel"/>
    <x v="2"/>
    <s v="Nagpur"/>
    <s v="SMB"/>
    <s v="Online"/>
    <s v="Vikram Tiwari"/>
    <n v="4565.68"/>
    <n v="9"/>
    <n v="41091.120000000003"/>
    <n v="19.7"/>
    <n v="32996.17"/>
    <n v="39.5"/>
    <n v="13033.49"/>
    <s v="Fulfilled"/>
  </r>
  <r>
    <s v="ORD-2026-0691"/>
    <s v="2026-12-30"/>
    <x v="1"/>
    <s v="Q4"/>
    <s v="Denim Jeans"/>
    <s v="Apparel"/>
    <x v="0"/>
    <s v="Guwahati"/>
    <s v="SMB"/>
    <s v="Online"/>
    <s v="Vikram Tiwari"/>
    <n v="4137.68"/>
    <n v="21"/>
    <n v="86891.28"/>
    <n v="18.2"/>
    <n v="71077.070000000007"/>
    <n v="60.3"/>
    <n v="42859.47"/>
    <s v="Cancelled"/>
  </r>
  <r>
    <s v="ORD-2026-0692"/>
    <s v="2026-08-26"/>
    <x v="8"/>
    <s v="Q3"/>
    <s v="Olive Oil 1L"/>
    <s v="Food"/>
    <x v="2"/>
    <s v="Nagpur"/>
    <s v="Enterprise"/>
    <s v="Direct"/>
    <s v="Rohit Das"/>
    <n v="1497.28"/>
    <n v="9"/>
    <n v="13475.52"/>
    <n v="7.1"/>
    <n v="12518.76"/>
    <n v="41.3"/>
    <n v="5170.25"/>
    <s v="Fulfilled"/>
  </r>
  <r>
    <s v="ORD-2026-0693"/>
    <s v="2026-02-22"/>
    <x v="6"/>
    <s v="Q1"/>
    <s v="Nut Mix 500g"/>
    <s v="Food"/>
    <x v="4"/>
    <s v="Jaipur"/>
    <s v="SMB"/>
    <s v="Partner"/>
    <s v="Deepak Rao"/>
    <n v="806.4"/>
    <n v="22"/>
    <n v="17740.8"/>
    <n v="15.2"/>
    <n v="15044.2"/>
    <n v="33.299999999999997"/>
    <n v="5009.72"/>
    <s v="Returned"/>
  </r>
  <r>
    <s v="ORD-2026-0694"/>
    <s v="2026-11-20"/>
    <x v="0"/>
    <s v="Q4"/>
    <s v="Denim Jeans"/>
    <s v="Apparel"/>
    <x v="2"/>
    <s v="Bhopal"/>
    <s v="Online"/>
    <s v="Partner"/>
    <s v="Kavya Bhat"/>
    <n v="1531.19"/>
    <n v="11"/>
    <n v="16843.09"/>
    <n v="2.8"/>
    <n v="16371.48"/>
    <n v="46.7"/>
    <n v="7645.48"/>
    <s v="Cancelled"/>
  </r>
  <r>
    <s v="ORD-2026-0695"/>
    <s v="2026-06-21"/>
    <x v="10"/>
    <s v="Q2"/>
    <s v="Eye Shadow Palette"/>
    <s v="Cosmetics"/>
    <x v="0"/>
    <s v="Guwahati"/>
    <s v="Wholesale"/>
    <s v="B2B"/>
    <s v="Neha Patel"/>
    <n v="3302.66"/>
    <n v="22"/>
    <n v="72658.52"/>
    <n v="12.4"/>
    <n v="63648.86"/>
    <n v="55.6"/>
    <n v="35388.769999999997"/>
    <s v="Fulfilled"/>
  </r>
  <r>
    <s v="ORD-2026-0696"/>
    <s v="2026-08-15"/>
    <x v="8"/>
    <s v="Q3"/>
    <s v="Wireless Earbuds"/>
    <s v="Electronics"/>
    <x v="0"/>
    <s v="Kolkata"/>
    <s v="SMB"/>
    <s v="B2B"/>
    <s v="Sunita Lal"/>
    <n v="61239.22"/>
    <n v="17"/>
    <n v="1041066.74"/>
    <n v="8.4"/>
    <n v="953617.13"/>
    <n v="19.8"/>
    <n v="188816.19"/>
    <s v="Pending"/>
  </r>
  <r>
    <s v="ORD-2026-0697"/>
    <s v="2026-08-07"/>
    <x v="8"/>
    <s v="Q3"/>
    <s v="Wardrobe 3-door"/>
    <s v="Furniture"/>
    <x v="2"/>
    <s v="Nagpur"/>
    <s v="Retail"/>
    <s v="B2B"/>
    <s v="Kavya Bhat"/>
    <n v="36744.94"/>
    <n v="13"/>
    <n v="477684.22"/>
    <n v="10.6"/>
    <n v="427049.69"/>
    <n v="35.700000000000003"/>
    <n v="152456.74"/>
    <s v="Fulfilled"/>
  </r>
  <r>
    <s v="ORD-2026-0698"/>
    <s v="2026-05-31"/>
    <x v="11"/>
    <s v="Q2"/>
    <s v="Study Table"/>
    <s v="Furniture"/>
    <x v="1"/>
    <s v="Hyderabad"/>
    <s v="Online"/>
    <s v="Online"/>
    <s v="Deepak Rao"/>
    <n v="42496.23"/>
    <n v="2"/>
    <n v="84992.46"/>
    <n v="2.9"/>
    <n v="82527.679999999993"/>
    <n v="51.6"/>
    <n v="42584.28"/>
    <s v="Cancelled"/>
  </r>
  <r>
    <s v="ORD-2026-0699"/>
    <s v="2026-11-27"/>
    <x v="0"/>
    <s v="Q4"/>
    <s v="Wardrobe 3-door"/>
    <s v="Furniture"/>
    <x v="3"/>
    <s v="Mumbai"/>
    <s v="Enterprise"/>
    <s v="Direct"/>
    <s v="Vikram Tiwari"/>
    <n v="44546.8"/>
    <n v="25"/>
    <n v="1113670"/>
    <n v="19.2"/>
    <n v="899845.36"/>
    <n v="37.799999999999997"/>
    <n v="340141.55"/>
    <s v="Fulfilled"/>
  </r>
  <r>
    <s v="ORD-2026-0700"/>
    <s v="2026-04-13"/>
    <x v="4"/>
    <s v="Q2"/>
    <s v="Bed Frame Queen"/>
    <s v="Furniture"/>
    <x v="3"/>
    <s v="Mumbai"/>
    <s v="Retail"/>
    <s v="B2B"/>
    <s v="Neha Patel"/>
    <n v="34220.39"/>
    <n v="6"/>
    <n v="205322.34"/>
    <n v="19.899999999999999"/>
    <n v="164463.19"/>
    <n v="46.6"/>
    <n v="76639.850000000006"/>
    <s v="Returned"/>
  </r>
  <r>
    <s v="ORD-2026-0701"/>
    <s v="2026-05-09"/>
    <x v="11"/>
    <s v="Q2"/>
    <s v="Sports Shorts"/>
    <s v="Apparel"/>
    <x v="4"/>
    <s v="Chandigarh"/>
    <s v="SMB"/>
    <s v="B2B"/>
    <s v="Aisha Khan"/>
    <n v="1356.95"/>
    <n v="6"/>
    <n v="8141.7"/>
    <n v="13.6"/>
    <n v="7034.43"/>
    <n v="52.4"/>
    <n v="3686.04"/>
    <s v="Fulfilled"/>
  </r>
  <r>
    <s v="ORD-2026-0702"/>
    <s v="2026-10-19"/>
    <x v="2"/>
    <s v="Q4"/>
    <s v="Lip Gloss Set"/>
    <s v="Cosmetics"/>
    <x v="1"/>
    <s v="Chennai"/>
    <s v="Retail"/>
    <s v="Direct"/>
    <s v="Sunita Lal"/>
    <n v="3402.63"/>
    <n v="9"/>
    <n v="30623.67"/>
    <n v="10.7"/>
    <n v="27346.94"/>
    <n v="62.3"/>
    <n v="17037.14"/>
    <s v="Fulfilled"/>
  </r>
  <r>
    <s v="ORD-2026-0703"/>
    <s v="2026-08-14"/>
    <x v="8"/>
    <s v="Q3"/>
    <s v="Green Tea Pack"/>
    <s v="Food"/>
    <x v="0"/>
    <s v="Bhubaneswar"/>
    <s v="Retail"/>
    <s v="Partner"/>
    <s v="Rahul Mehta"/>
    <n v="349.94"/>
    <n v="12"/>
    <n v="4199.28"/>
    <n v="10.9"/>
    <n v="3741.56"/>
    <n v="19.2"/>
    <n v="718.38"/>
    <s v="Cancelled"/>
  </r>
  <r>
    <s v="ORD-2026-0704"/>
    <s v="2026-02-14"/>
    <x v="6"/>
    <s v="Q1"/>
    <s v="Laptop Pro X1"/>
    <s v="Electronics"/>
    <x v="4"/>
    <s v="Chandigarh"/>
    <s v="Online"/>
    <s v="B2B"/>
    <s v="Sunita Lal"/>
    <n v="26677.06"/>
    <n v="25"/>
    <n v="666926.5"/>
    <n v="11"/>
    <n v="593564.57999999996"/>
    <n v="25.9"/>
    <n v="153733.23000000001"/>
    <s v="Pending"/>
  </r>
  <r>
    <s v="ORD-2026-0705"/>
    <s v="2026-11-27"/>
    <x v="0"/>
    <s v="Q4"/>
    <s v="Hair Oil 200ml"/>
    <s v="Cosmetics"/>
    <x v="4"/>
    <s v="Chandigarh"/>
    <s v="Wholesale"/>
    <s v="Partner"/>
    <s v="Rahul Mehta"/>
    <n v="263.75"/>
    <n v="16"/>
    <n v="4220"/>
    <n v="0.3"/>
    <n v="4207.34"/>
    <n v="64.2"/>
    <n v="2701.11"/>
    <s v="Pending"/>
  </r>
  <r>
    <s v="ORD-2026-0706"/>
    <s v="2026-01-21"/>
    <x v="7"/>
    <s v="Q1"/>
    <s v="Organic Honey"/>
    <s v="Food"/>
    <x v="3"/>
    <s v="Mumbai"/>
    <s v="Retail"/>
    <s v="Partner"/>
    <s v="Rahul Mehta"/>
    <n v="1425.86"/>
    <n v="7"/>
    <n v="9981.02"/>
    <n v="3.8"/>
    <n v="9601.74"/>
    <n v="30.6"/>
    <n v="2938.13"/>
    <s v="Fulfilled"/>
  </r>
  <r>
    <s v="ORD-2026-0707"/>
    <s v="2026-11-17"/>
    <x v="0"/>
    <s v="Q4"/>
    <s v="Face Serum"/>
    <s v="Cosmetics"/>
    <x v="1"/>
    <s v="Chennai"/>
    <s v="Retail"/>
    <s v="Online"/>
    <s v="Aisha Khan"/>
    <n v="2757.81"/>
    <n v="18"/>
    <n v="49640.58"/>
    <n v="6.9"/>
    <n v="46215.38"/>
    <n v="66.599999999999994"/>
    <n v="30779.439999999999"/>
    <s v="Fulfilled"/>
  </r>
  <r>
    <s v="ORD-2026-0708"/>
    <s v="2026-07-27"/>
    <x v="5"/>
    <s v="Q3"/>
    <s v="Smart Watch S3"/>
    <s v="Electronics"/>
    <x v="3"/>
    <s v="Ahmedabad"/>
    <s v="Retail"/>
    <s v="Partner"/>
    <s v="Amit Joshi"/>
    <n v="28890.44"/>
    <n v="19"/>
    <n v="548918.36"/>
    <n v="17.5"/>
    <n v="452857.65"/>
    <n v="24"/>
    <n v="108685.84"/>
    <s v="Fulfilled"/>
  </r>
  <r>
    <s v="ORD-2026-0709"/>
    <s v="2026-12-25"/>
    <x v="1"/>
    <s v="Q4"/>
    <s v="Sofa 3-seater"/>
    <s v="Furniture"/>
    <x v="3"/>
    <s v="Mumbai"/>
    <s v="Wholesale"/>
    <s v="B2B"/>
    <s v="Priya Sharma"/>
    <n v="41620.949999999997"/>
    <n v="16"/>
    <n v="665935.19999999995"/>
    <n v="7.5"/>
    <n v="615990.06000000006"/>
    <n v="40.299999999999997"/>
    <n v="248243.99"/>
    <s v="Fulfilled"/>
  </r>
  <r>
    <s v="ORD-2026-0710"/>
    <s v="2026-12-30"/>
    <x v="1"/>
    <s v="Q4"/>
    <s v="Bed Frame Queen"/>
    <s v="Furniture"/>
    <x v="3"/>
    <s v="Mumbai"/>
    <s v="Enterprise"/>
    <s v="Direct"/>
    <s v="Neha Patel"/>
    <n v="5326.12"/>
    <n v="21"/>
    <n v="111848.52"/>
    <n v="23.4"/>
    <n v="85675.97"/>
    <n v="28.7"/>
    <n v="24589"/>
    <s v="Returned"/>
  </r>
  <r>
    <s v="ORD-2026-0711"/>
    <s v="2026-03-11"/>
    <x v="9"/>
    <s v="Q1"/>
    <s v="Book Shelf 5-tier"/>
    <s v="Furniture"/>
    <x v="1"/>
    <s v="Bengaluru"/>
    <s v="SMB"/>
    <s v="Partner"/>
    <s v="Rahul Mehta"/>
    <n v="10085.94"/>
    <n v="19"/>
    <n v="191632.86"/>
    <n v="9.3000000000000007"/>
    <n v="173811"/>
    <n v="29.3"/>
    <n v="50926.62"/>
    <s v="Fulfilled"/>
  </r>
  <r>
    <s v="ORD-2026-0712"/>
    <s v="2026-06-05"/>
    <x v="10"/>
    <s v="Q2"/>
    <s v="Bed Frame Queen"/>
    <s v="Furniture"/>
    <x v="0"/>
    <s v="Patna"/>
    <s v="SMB"/>
    <s v="Direct"/>
    <s v="Amit Joshi"/>
    <n v="36381.120000000003"/>
    <n v="9"/>
    <n v="327430.08"/>
    <n v="3.1"/>
    <n v="317279.75"/>
    <n v="28"/>
    <n v="88838.33"/>
    <s v="Fulfilled"/>
  </r>
  <r>
    <s v="ORD-2026-0713"/>
    <s v="2026-03-26"/>
    <x v="9"/>
    <s v="Q1"/>
    <s v="Wardrobe 3-door"/>
    <s v="Furniture"/>
    <x v="0"/>
    <s v="Patna"/>
    <s v="Retail"/>
    <s v="B2B"/>
    <s v="Neha Patel"/>
    <n v="20198.13"/>
    <n v="13"/>
    <n v="262575.69"/>
    <n v="2.7"/>
    <n v="255486.15"/>
    <n v="47.2"/>
    <n v="120589.46"/>
    <s v="Fulfilled"/>
  </r>
  <r>
    <s v="ORD-2026-0714"/>
    <s v="2026-12-03"/>
    <x v="1"/>
    <s v="Q4"/>
    <s v="Bed Frame Queen"/>
    <s v="Furniture"/>
    <x v="0"/>
    <s v="Patna"/>
    <s v="Enterprise"/>
    <s v="Online"/>
    <s v="Sunita Lal"/>
    <n v="28626.32"/>
    <n v="20"/>
    <n v="572526.4"/>
    <n v="8.9"/>
    <n v="521571.55"/>
    <n v="29.9"/>
    <n v="155949.89000000001"/>
    <s v="Fulfilled"/>
  </r>
  <r>
    <s v="ORD-2026-0715"/>
    <s v="2026-10-20"/>
    <x v="2"/>
    <s v="Q4"/>
    <s v="Cycling Helmet"/>
    <s v="Sports"/>
    <x v="3"/>
    <s v="Pune"/>
    <s v="Online"/>
    <s v="Direct"/>
    <s v="Amit Joshi"/>
    <n v="2239.1799999999998"/>
    <n v="24"/>
    <n v="53740.32"/>
    <n v="18.600000000000001"/>
    <n v="43744.62"/>
    <n v="26"/>
    <n v="11373.6"/>
    <s v="Fulfilled"/>
  </r>
  <r>
    <s v="ORD-2026-0716"/>
    <s v="2026-07-28"/>
    <x v="5"/>
    <s v="Q3"/>
    <s v="Tablet Ultra"/>
    <s v="Electronics"/>
    <x v="1"/>
    <s v="Chennai"/>
    <s v="Enterprise"/>
    <s v="Direct"/>
    <s v="Aisha Khan"/>
    <n v="45718.62"/>
    <n v="2"/>
    <n v="91437.24"/>
    <n v="23.9"/>
    <n v="69583.740000000005"/>
    <n v="30.2"/>
    <n v="21014.29"/>
    <s v="Fulfilled"/>
  </r>
  <r>
    <s v="ORD-2026-0717"/>
    <s v="2026-10-08"/>
    <x v="2"/>
    <s v="Q4"/>
    <s v="Laptop Pro X1"/>
    <s v="Electronics"/>
    <x v="0"/>
    <s v="Bhubaneswar"/>
    <s v="Enterprise"/>
    <s v="Direct"/>
    <s v="Amit Joshi"/>
    <n v="61516.3"/>
    <n v="10"/>
    <n v="615163"/>
    <n v="17.100000000000001"/>
    <n v="509970.13"/>
    <n v="23"/>
    <n v="117293.13"/>
    <s v="Cancelled"/>
  </r>
  <r>
    <s v="ORD-2026-0718"/>
    <s v="2026-09-08"/>
    <x v="3"/>
    <s v="Q3"/>
    <s v="Resistance Bands"/>
    <s v="Sports"/>
    <x v="0"/>
    <s v="Patna"/>
    <s v="Wholesale"/>
    <s v="Partner"/>
    <s v="Priya Sharma"/>
    <n v="8653.9699999999993"/>
    <n v="2"/>
    <n v="17307.939999999999"/>
    <n v="3.5"/>
    <n v="16702.16"/>
    <n v="30.8"/>
    <n v="5144.2700000000004"/>
    <s v="Fulfilled"/>
  </r>
  <r>
    <s v="ORD-2026-0719"/>
    <s v="2026-11-01"/>
    <x v="0"/>
    <s v="Q4"/>
    <s v="Olive Oil 1L"/>
    <s v="Food"/>
    <x v="2"/>
    <s v="Indore"/>
    <s v="Enterprise"/>
    <s v="Direct"/>
    <s v="Amit Joshi"/>
    <n v="146.6"/>
    <n v="3"/>
    <n v="439.8"/>
    <n v="16.100000000000001"/>
    <n v="368.99"/>
    <n v="30.8"/>
    <n v="113.65"/>
    <s v="Fulfilled"/>
  </r>
  <r>
    <s v="ORD-2026-0720"/>
    <s v="2026-10-17"/>
    <x v="2"/>
    <s v="Q4"/>
    <s v="Hair Oil 200ml"/>
    <s v="Cosmetics"/>
    <x v="0"/>
    <s v="Bhubaneswar"/>
    <s v="Enterprise"/>
    <s v="Direct"/>
    <s v="Vikram Tiwari"/>
    <n v="1551.06"/>
    <n v="13"/>
    <n v="20163.78"/>
    <n v="8.1999999999999993"/>
    <n v="18510.349999999999"/>
    <n v="62.5"/>
    <n v="11568.97"/>
    <s v="Fulfilled"/>
  </r>
  <r>
    <s v="ORD-2026-0721"/>
    <s v="2026-11-03"/>
    <x v="0"/>
    <s v="Q4"/>
    <s v="Book Shelf 5-tier"/>
    <s v="Furniture"/>
    <x v="4"/>
    <s v="Lucknow"/>
    <s v="Retail"/>
    <s v="Direct"/>
    <s v="Sunita Lal"/>
    <n v="25932.04"/>
    <n v="5"/>
    <n v="129660.2"/>
    <n v="19.899999999999999"/>
    <n v="103857.82"/>
    <n v="32.299999999999997"/>
    <n v="33546.080000000002"/>
    <s v="Fulfilled"/>
  </r>
  <r>
    <s v="ORD-2026-0722"/>
    <s v="2026-04-17"/>
    <x v="4"/>
    <s v="Q2"/>
    <s v="Denim Jeans"/>
    <s v="Apparel"/>
    <x v="2"/>
    <s v="Raipur"/>
    <s v="SMB"/>
    <s v="Direct"/>
    <s v="Rahul Mehta"/>
    <n v="3041.69"/>
    <n v="15"/>
    <n v="45625.35"/>
    <n v="15.9"/>
    <n v="38370.92"/>
    <n v="43.1"/>
    <n v="16537.87"/>
    <s v="Fulfilled"/>
  </r>
  <r>
    <s v="ORD-2026-0723"/>
    <s v="2026-09-14"/>
    <x v="3"/>
    <s v="Q3"/>
    <s v="Sofa 3-seater"/>
    <s v="Furniture"/>
    <x v="1"/>
    <s v="Kochi"/>
    <s v="SMB"/>
    <s v="Partner"/>
    <s v="Priya Sharma"/>
    <n v="11044.06"/>
    <n v="11"/>
    <n v="121484.66"/>
    <n v="22.9"/>
    <n v="93664.67"/>
    <n v="36.4"/>
    <n v="34093.94"/>
    <s v="Fulfilled"/>
  </r>
  <r>
    <s v="ORD-2026-0724"/>
    <s v="2026-03-30"/>
    <x v="9"/>
    <s v="Q1"/>
    <s v="Book Shelf 5-tier"/>
    <s v="Furniture"/>
    <x v="1"/>
    <s v="Hyderabad"/>
    <s v="Wholesale"/>
    <s v="Direct"/>
    <s v="Amit Joshi"/>
    <n v="12382.15"/>
    <n v="15"/>
    <n v="185732.25"/>
    <n v="22.9"/>
    <n v="143199.56"/>
    <n v="34.1"/>
    <n v="48831.05"/>
    <s v="Fulfilled"/>
  </r>
  <r>
    <s v="ORD-2026-0725"/>
    <s v="2026-06-30"/>
    <x v="10"/>
    <s v="Q2"/>
    <s v="Sofa 3-seater"/>
    <s v="Furniture"/>
    <x v="3"/>
    <s v="Mumbai"/>
    <s v="Online"/>
    <s v="B2B"/>
    <s v="Vikram Tiwari"/>
    <n v="35810.36"/>
    <n v="7"/>
    <n v="250672.52"/>
    <n v="14.3"/>
    <n v="214826.35"/>
    <n v="43.1"/>
    <n v="92590.16"/>
    <s v="Fulfilled"/>
  </r>
  <r>
    <s v="ORD-2026-0726"/>
    <s v="2026-11-19"/>
    <x v="0"/>
    <s v="Q4"/>
    <s v="Foundation Kit"/>
    <s v="Cosmetics"/>
    <x v="0"/>
    <s v="Patna"/>
    <s v="SMB"/>
    <s v="Direct"/>
    <s v="Deepak Rao"/>
    <n v="626.82000000000005"/>
    <n v="8"/>
    <n v="5014.5600000000004"/>
    <n v="8.4"/>
    <n v="4593.34"/>
    <n v="53.3"/>
    <n v="2448.25"/>
    <s v="Fulfilled"/>
  </r>
  <r>
    <s v="ORD-2026-0727"/>
    <s v="2026-05-07"/>
    <x v="11"/>
    <s v="Q2"/>
    <s v="Winter Jacket"/>
    <s v="Apparel"/>
    <x v="3"/>
    <s v="Ahmedabad"/>
    <s v="SMB"/>
    <s v="Direct"/>
    <s v="Deepak Rao"/>
    <n v="2127.11"/>
    <n v="25"/>
    <n v="53177.75"/>
    <n v="21.9"/>
    <n v="41531.82"/>
    <n v="46.3"/>
    <n v="19229.23"/>
    <s v="Fulfilled"/>
  </r>
  <r>
    <s v="ORD-2026-0728"/>
    <s v="2026-01-13"/>
    <x v="7"/>
    <s v="Q1"/>
    <s v="Yoga Mat"/>
    <s v="Sports"/>
    <x v="4"/>
    <s v="Chandigarh"/>
    <s v="Enterprise"/>
    <s v="Direct"/>
    <s v="Rahul Mehta"/>
    <n v="3527.27"/>
    <n v="10"/>
    <n v="35272.699999999997"/>
    <n v="7.6"/>
    <n v="32591.97"/>
    <n v="39.6"/>
    <n v="12906.42"/>
    <s v="Fulfilled"/>
  </r>
  <r>
    <s v="ORD-2026-0729"/>
    <s v="2026-06-26"/>
    <x v="10"/>
    <s v="Q2"/>
    <s v="Eye Shadow Palette"/>
    <s v="Cosmetics"/>
    <x v="0"/>
    <s v="Bhubaneswar"/>
    <s v="Wholesale"/>
    <s v="B2B"/>
    <s v="Deepak Rao"/>
    <n v="975.18"/>
    <n v="23"/>
    <n v="22429.14"/>
    <n v="19.2"/>
    <n v="18122.75"/>
    <n v="63.5"/>
    <n v="11507.95"/>
    <s v="Fulfilled"/>
  </r>
  <r>
    <s v="ORD-2026-0730"/>
    <s v="2026-07-09"/>
    <x v="5"/>
    <s v="Q3"/>
    <s v="Smart Watch S3"/>
    <s v="Electronics"/>
    <x v="2"/>
    <s v="Bhopal"/>
    <s v="Wholesale"/>
    <s v="Direct"/>
    <s v="Kavya Bhat"/>
    <n v="6755.9"/>
    <n v="6"/>
    <n v="40535.4"/>
    <n v="10.3"/>
    <n v="36360.25"/>
    <n v="16"/>
    <n v="5817.64"/>
    <s v="Fulfilled"/>
  </r>
  <r>
    <s v="ORD-2026-0731"/>
    <s v="2026-05-04"/>
    <x v="11"/>
    <s v="Q2"/>
    <s v="Wardrobe 3-door"/>
    <s v="Furniture"/>
    <x v="4"/>
    <s v="Jaipur"/>
    <s v="Online"/>
    <s v="Partner"/>
    <s v="Deepak Rao"/>
    <n v="42376.81"/>
    <n v="23"/>
    <n v="974666.63"/>
    <n v="23.8"/>
    <n v="742695.97"/>
    <n v="32.700000000000003"/>
    <n v="242861.58"/>
    <s v="Fulfilled"/>
  </r>
  <r>
    <s v="ORD-2026-0732"/>
    <s v="2026-01-29"/>
    <x v="7"/>
    <s v="Q1"/>
    <s v="Sports Shorts"/>
    <s v="Apparel"/>
    <x v="2"/>
    <s v="Raipur"/>
    <s v="Online"/>
    <s v="Direct"/>
    <s v="Priya Sharma"/>
    <n v="3887.93"/>
    <n v="6"/>
    <n v="23327.58"/>
    <n v="6"/>
    <n v="21927.93"/>
    <n v="52.9"/>
    <n v="11599.87"/>
    <s v="Returned"/>
  </r>
  <r>
    <s v="ORD-2026-0733"/>
    <s v="2026-09-02"/>
    <x v="3"/>
    <s v="Q3"/>
    <s v="Yoga Mat"/>
    <s v="Sports"/>
    <x v="1"/>
    <s v="Kochi"/>
    <s v="Enterprise"/>
    <s v="Direct"/>
    <s v="Rohit Das"/>
    <n v="5304.99"/>
    <n v="22"/>
    <n v="116709.78"/>
    <n v="1.9"/>
    <n v="114492.29"/>
    <n v="28.7"/>
    <n v="32859.29"/>
    <s v="Fulfilled"/>
  </r>
  <r>
    <s v="ORD-2026-0734"/>
    <s v="2026-03-26"/>
    <x v="9"/>
    <s v="Q1"/>
    <s v="Nut Mix 500g"/>
    <s v="Food"/>
    <x v="4"/>
    <s v="Chandigarh"/>
    <s v="Online"/>
    <s v="Partner"/>
    <s v="Vikram Tiwari"/>
    <n v="296.49"/>
    <n v="6"/>
    <n v="1778.94"/>
    <n v="10"/>
    <n v="1601.05"/>
    <n v="35.700000000000003"/>
    <n v="571.57000000000005"/>
    <s v="Pending"/>
  </r>
  <r>
    <s v="ORD-2026-0735"/>
    <s v="2026-01-06"/>
    <x v="7"/>
    <s v="Q1"/>
    <s v="Tablet Ultra"/>
    <s v="Electronics"/>
    <x v="3"/>
    <s v="Mumbai"/>
    <s v="Online"/>
    <s v="Partner"/>
    <s v="Sunita Lal"/>
    <n v="61754.1"/>
    <n v="16"/>
    <n v="988065.6"/>
    <n v="10.6"/>
    <n v="883330.65"/>
    <n v="16.899999999999999"/>
    <n v="149282.88"/>
    <s v="Fulfilled"/>
  </r>
  <r>
    <s v="ORD-2026-0736"/>
    <s v="2026-10-25"/>
    <x v="2"/>
    <s v="Q4"/>
    <s v="Cycling Helmet"/>
    <s v="Sports"/>
    <x v="0"/>
    <s v="Bhubaneswar"/>
    <s v="SMB"/>
    <s v="Partner"/>
    <s v="Rahul Mehta"/>
    <n v="4350.34"/>
    <n v="24"/>
    <n v="104408.16"/>
    <n v="18.2"/>
    <n v="85405.87"/>
    <n v="42.1"/>
    <n v="35955.870000000003"/>
    <s v="Fulfilled"/>
  </r>
  <r>
    <s v="ORD-2026-0737"/>
    <s v="2026-07-29"/>
    <x v="5"/>
    <s v="Q3"/>
    <s v="Green Tea Pack"/>
    <s v="Food"/>
    <x v="1"/>
    <s v="Chennai"/>
    <s v="Online"/>
    <s v="B2B"/>
    <s v="Priya Sharma"/>
    <n v="851.06"/>
    <n v="7"/>
    <n v="5957.42"/>
    <n v="5.7"/>
    <n v="5617.85"/>
    <n v="36.299999999999997"/>
    <n v="2039.28"/>
    <s v="Fulfilled"/>
  </r>
  <r>
    <s v="ORD-2026-0738"/>
    <s v="2026-11-29"/>
    <x v="0"/>
    <s v="Q4"/>
    <s v="Sports Shorts"/>
    <s v="Apparel"/>
    <x v="4"/>
    <s v="Chandigarh"/>
    <s v="Retail"/>
    <s v="Partner"/>
    <s v="Sunita Lal"/>
    <n v="1649.41"/>
    <n v="1"/>
    <n v="1649.41"/>
    <n v="24.4"/>
    <n v="1246.95"/>
    <n v="40"/>
    <n v="498.78"/>
    <s v="Fulfilled"/>
  </r>
  <r>
    <s v="ORD-2026-0739"/>
    <s v="2026-12-28"/>
    <x v="1"/>
    <s v="Q4"/>
    <s v="Wireless Earbuds"/>
    <s v="Electronics"/>
    <x v="3"/>
    <s v="Surat"/>
    <s v="Enterprise"/>
    <s v="Direct"/>
    <s v="Aisha Khan"/>
    <n v="93617.89"/>
    <n v="3"/>
    <n v="280853.67"/>
    <n v="18.2"/>
    <n v="229738.3"/>
    <n v="15.2"/>
    <n v="34920.22"/>
    <s v="Pending"/>
  </r>
  <r>
    <s v="ORD-2026-0740"/>
    <s v="2026-06-12"/>
    <x v="10"/>
    <s v="Q2"/>
    <s v="Organic Honey"/>
    <s v="Food"/>
    <x v="0"/>
    <s v="Patna"/>
    <s v="Wholesale"/>
    <s v="Direct"/>
    <s v="Rohit Das"/>
    <n v="568.70000000000005"/>
    <n v="7"/>
    <n v="3980.9"/>
    <n v="0.2"/>
    <n v="3972.94"/>
    <n v="35.200000000000003"/>
    <n v="1398.47"/>
    <s v="Fulfilled"/>
  </r>
  <r>
    <s v="ORD-2026-0741"/>
    <s v="2026-12-18"/>
    <x v="1"/>
    <s v="Q4"/>
    <s v="Bed Frame Queen"/>
    <s v="Furniture"/>
    <x v="0"/>
    <s v="Guwahati"/>
    <s v="Retail"/>
    <s v="Online"/>
    <s v="Vikram Tiwari"/>
    <n v="23141.98"/>
    <n v="10"/>
    <n v="231419.8"/>
    <n v="17.899999999999999"/>
    <n v="189995.66"/>
    <n v="36.9"/>
    <n v="70108.399999999994"/>
    <s v="Pending"/>
  </r>
  <r>
    <s v="ORD-2026-0742"/>
    <s v="2026-02-25"/>
    <x v="6"/>
    <s v="Q1"/>
    <s v="Face Serum"/>
    <s v="Cosmetics"/>
    <x v="3"/>
    <s v="Mumbai"/>
    <s v="Retail"/>
    <s v="Online"/>
    <s v="Neha Patel"/>
    <n v="2491.34"/>
    <n v="14"/>
    <n v="34878.76"/>
    <n v="2.6"/>
    <n v="33971.910000000003"/>
    <n v="70.5"/>
    <n v="23950.2"/>
    <s v="Fulfilled"/>
  </r>
  <r>
    <s v="ORD-2026-0743"/>
    <s v="2026-06-20"/>
    <x v="10"/>
    <s v="Q2"/>
    <s v="Cotton T-Shirt"/>
    <s v="Apparel"/>
    <x v="2"/>
    <s v="Indore"/>
    <s v="Retail"/>
    <s v="B2B"/>
    <s v="Rohit Das"/>
    <n v="4078.43"/>
    <n v="3"/>
    <n v="12235.29"/>
    <n v="16.2"/>
    <n v="10253.17"/>
    <n v="49.2"/>
    <n v="5044.5600000000004"/>
    <s v="Fulfilled"/>
  </r>
  <r>
    <s v="ORD-2026-0744"/>
    <s v="2026-08-27"/>
    <x v="8"/>
    <s v="Q3"/>
    <s v="Nut Mix 500g"/>
    <s v="Food"/>
    <x v="0"/>
    <s v="Kolkata"/>
    <s v="Wholesale"/>
    <s v="Online"/>
    <s v="Sunita Lal"/>
    <n v="411.1"/>
    <n v="2"/>
    <n v="822.2"/>
    <n v="5.6"/>
    <n v="776.16"/>
    <n v="28.8"/>
    <n v="223.53"/>
    <s v="Fulfilled"/>
  </r>
  <r>
    <s v="ORD-2026-0745"/>
    <s v="2026-02-19"/>
    <x v="6"/>
    <s v="Q1"/>
    <s v="Tablet Ultra"/>
    <s v="Electronics"/>
    <x v="4"/>
    <s v="Delhi"/>
    <s v="Wholesale"/>
    <s v="Direct"/>
    <s v="Priya Sharma"/>
    <n v="19615.02"/>
    <n v="19"/>
    <n v="372685.38"/>
    <n v="1"/>
    <n v="368958.53"/>
    <n v="27.3"/>
    <n v="100725.68"/>
    <s v="Fulfilled"/>
  </r>
  <r>
    <s v="ORD-2026-0746"/>
    <s v="2026-04-07"/>
    <x v="4"/>
    <s v="Q2"/>
    <s v="Resistance Bands"/>
    <s v="Sports"/>
    <x v="4"/>
    <s v="Chandigarh"/>
    <s v="Wholesale"/>
    <s v="Direct"/>
    <s v="Sunita Lal"/>
    <n v="3326.73"/>
    <n v="11"/>
    <n v="36594.03"/>
    <n v="13.2"/>
    <n v="31763.62"/>
    <n v="37.9"/>
    <n v="12038.41"/>
    <s v="Pending"/>
  </r>
  <r>
    <s v="ORD-2026-0747"/>
    <s v="2026-02-05"/>
    <x v="6"/>
    <s v="Q1"/>
    <s v="Laptop Pro X1"/>
    <s v="Electronics"/>
    <x v="2"/>
    <s v="Bhopal"/>
    <s v="Retail"/>
    <s v="Online"/>
    <s v="Kavya Bhat"/>
    <n v="42206.34"/>
    <n v="8"/>
    <n v="337650.72"/>
    <n v="6.7"/>
    <n v="315028.12"/>
    <n v="17"/>
    <n v="53554.78"/>
    <s v="Pending"/>
  </r>
  <r>
    <s v="ORD-2026-0748"/>
    <s v="2026-08-05"/>
    <x v="8"/>
    <s v="Q3"/>
    <s v="Yoga Mat"/>
    <s v="Sports"/>
    <x v="1"/>
    <s v="Bengaluru"/>
    <s v="Wholesale"/>
    <s v="Direct"/>
    <s v="Priya Sharma"/>
    <n v="5200.0200000000004"/>
    <n v="3"/>
    <n v="15600.06"/>
    <n v="24.9"/>
    <n v="11715.65"/>
    <n v="29.2"/>
    <n v="3420.97"/>
    <s v="Fulfilled"/>
  </r>
  <r>
    <s v="ORD-2026-0749"/>
    <s v="2026-04-09"/>
    <x v="4"/>
    <s v="Q2"/>
    <s v="Wireless Earbuds"/>
    <s v="Electronics"/>
    <x v="4"/>
    <s v="Chandigarh"/>
    <s v="Retail"/>
    <s v="Partner"/>
    <s v="Neha Patel"/>
    <n v="91791.06"/>
    <n v="12"/>
    <n v="1101492.72"/>
    <n v="10.6"/>
    <n v="984734.49"/>
    <n v="28.9"/>
    <n v="284588.27"/>
    <s v="Fulfilled"/>
  </r>
  <r>
    <s v="ORD-2026-0750"/>
    <s v="2026-11-05"/>
    <x v="0"/>
    <s v="Q4"/>
    <s v="Sports Shorts"/>
    <s v="Apparel"/>
    <x v="1"/>
    <s v="Kochi"/>
    <s v="Enterprise"/>
    <s v="Online"/>
    <s v="Sunita Lal"/>
    <n v="4286.29"/>
    <n v="11"/>
    <n v="47149.19"/>
    <n v="22.4"/>
    <n v="36587.769999999997"/>
    <n v="50.9"/>
    <n v="18623.169999999998"/>
    <s v="Returned"/>
  </r>
  <r>
    <s v="ORD-2026-0751"/>
    <s v="2026-06-02"/>
    <x v="10"/>
    <s v="Q2"/>
    <s v="Eye Shadow Palette"/>
    <s v="Cosmetics"/>
    <x v="3"/>
    <s v="Mumbai"/>
    <s v="SMB"/>
    <s v="Partner"/>
    <s v="Rohit Das"/>
    <n v="301.57"/>
    <n v="9"/>
    <n v="2714.13"/>
    <n v="0.9"/>
    <n v="2689.7"/>
    <n v="59.4"/>
    <n v="1597.68"/>
    <s v="Fulfilled"/>
  </r>
  <r>
    <s v="ORD-2026-0752"/>
    <s v="2026-03-22"/>
    <x v="9"/>
    <s v="Q1"/>
    <s v="Office Chair"/>
    <s v="Furniture"/>
    <x v="0"/>
    <s v="Bhubaneswar"/>
    <s v="SMB"/>
    <s v="B2B"/>
    <s v="Aisha Khan"/>
    <n v="36205.379999999997"/>
    <n v="15"/>
    <n v="543080.69999999995"/>
    <n v="11.3"/>
    <n v="481712.58"/>
    <n v="48"/>
    <n v="231222.04"/>
    <s v="Fulfilled"/>
  </r>
  <r>
    <s v="ORD-2026-0753"/>
    <s v="2026-06-27"/>
    <x v="10"/>
    <s v="Q2"/>
    <s v="Book Shelf 5-tier"/>
    <s v="Furniture"/>
    <x v="3"/>
    <s v="Pune"/>
    <s v="Retail"/>
    <s v="Partner"/>
    <s v="Priya Sharma"/>
    <n v="28882.65"/>
    <n v="7"/>
    <n v="202178.55"/>
    <n v="23"/>
    <n v="155677.48000000001"/>
    <n v="28.3"/>
    <n v="44056.73"/>
    <s v="Fulfilled"/>
  </r>
  <r>
    <s v="ORD-2026-0754"/>
    <s v="2026-02-10"/>
    <x v="6"/>
    <s v="Q1"/>
    <s v="Study Table"/>
    <s v="Furniture"/>
    <x v="2"/>
    <s v="Nagpur"/>
    <s v="Wholesale"/>
    <s v="B2B"/>
    <s v="Deepak Rao"/>
    <n v="30957.25"/>
    <n v="4"/>
    <n v="123829"/>
    <n v="8.8000000000000007"/>
    <n v="112932.05"/>
    <n v="51.8"/>
    <n v="58498.8"/>
    <s v="Fulfilled"/>
  </r>
  <r>
    <s v="ORD-2026-0755"/>
    <s v="2026-05-30"/>
    <x v="11"/>
    <s v="Q2"/>
    <s v="Eye Shadow Palette"/>
    <s v="Cosmetics"/>
    <x v="1"/>
    <s v="Hyderabad"/>
    <s v="Online"/>
    <s v="Online"/>
    <s v="Priya Sharma"/>
    <n v="757.98"/>
    <n v="23"/>
    <n v="17433.54"/>
    <n v="17.600000000000001"/>
    <n v="14365.24"/>
    <n v="54.4"/>
    <n v="7814.69"/>
    <s v="Fulfilled"/>
  </r>
  <r>
    <s v="ORD-2026-0756"/>
    <s v="2026-06-14"/>
    <x v="10"/>
    <s v="Q2"/>
    <s v="Wardrobe 3-door"/>
    <s v="Furniture"/>
    <x v="4"/>
    <s v="Chandigarh"/>
    <s v="SMB"/>
    <s v="Partner"/>
    <s v="Amit Joshi"/>
    <n v="38843.96"/>
    <n v="17"/>
    <n v="660347.31999999995"/>
    <n v="2.7"/>
    <n v="642517.93999999994"/>
    <n v="43.9"/>
    <n v="282065.38"/>
    <s v="Fulfilled"/>
  </r>
  <r>
    <s v="ORD-2026-0757"/>
    <s v="2026-04-05"/>
    <x v="4"/>
    <s v="Q2"/>
    <s v="Office Chair"/>
    <s v="Furniture"/>
    <x v="1"/>
    <s v="Hyderabad"/>
    <s v="Wholesale"/>
    <s v="Partner"/>
    <s v="Kavya Bhat"/>
    <n v="4103.08"/>
    <n v="15"/>
    <n v="61546.2"/>
    <n v="20.399999999999999"/>
    <n v="48990.78"/>
    <n v="36.799999999999997"/>
    <n v="18028.61"/>
    <s v="Fulfilled"/>
  </r>
  <r>
    <s v="ORD-2026-0758"/>
    <s v="2026-03-23"/>
    <x v="9"/>
    <s v="Q1"/>
    <s v="Bed Frame Queen"/>
    <s v="Furniture"/>
    <x v="4"/>
    <s v="Delhi"/>
    <s v="SMB"/>
    <s v="Direct"/>
    <s v="Aisha Khan"/>
    <n v="19399.97"/>
    <n v="2"/>
    <n v="38799.94"/>
    <n v="16.100000000000001"/>
    <n v="32553.15"/>
    <n v="50.5"/>
    <n v="16439.34"/>
    <s v="Returned"/>
  </r>
  <r>
    <s v="ORD-2026-0759"/>
    <s v="2026-03-13"/>
    <x v="9"/>
    <s v="Q1"/>
    <s v="Dumbbells 5kg"/>
    <s v="Sports"/>
    <x v="1"/>
    <s v="Bengaluru"/>
    <s v="Retail"/>
    <s v="Online"/>
    <s v="Rahul Mehta"/>
    <n v="7180.02"/>
    <n v="3"/>
    <n v="21540.06"/>
    <n v="12.4"/>
    <n v="18869.09"/>
    <n v="33.6"/>
    <n v="6340.01"/>
    <s v="Fulfilled"/>
  </r>
  <r>
    <s v="ORD-2026-0760"/>
    <s v="2026-09-29"/>
    <x v="3"/>
    <s v="Q3"/>
    <s v="Running Shoes"/>
    <s v="Apparel"/>
    <x v="4"/>
    <s v="Lucknow"/>
    <s v="SMB"/>
    <s v="B2B"/>
    <s v="Aisha Khan"/>
    <n v="4693.4399999999996"/>
    <n v="16"/>
    <n v="75095.039999999994"/>
    <n v="22.9"/>
    <n v="57898.28"/>
    <n v="39.5"/>
    <n v="22869.82"/>
    <s v="Fulfilled"/>
  </r>
  <r>
    <s v="ORD-2026-0761"/>
    <s v="2026-08-21"/>
    <x v="8"/>
    <s v="Q3"/>
    <s v="Smart Watch S3"/>
    <s v="Electronics"/>
    <x v="0"/>
    <s v="Patna"/>
    <s v="Retail"/>
    <s v="Online"/>
    <s v="Neha Patel"/>
    <n v="50451.98"/>
    <n v="13"/>
    <n v="655875.74"/>
    <n v="19.5"/>
    <n v="527979.97"/>
    <n v="15.2"/>
    <n v="80252.960000000006"/>
    <s v="Fulfilled"/>
  </r>
  <r>
    <s v="ORD-2026-0762"/>
    <s v="2026-08-17"/>
    <x v="8"/>
    <s v="Q3"/>
    <s v="Dumbbells 5kg"/>
    <s v="Sports"/>
    <x v="2"/>
    <s v="Raipur"/>
    <s v="Enterprise"/>
    <s v="Direct"/>
    <s v="Deepak Rao"/>
    <n v="498.17"/>
    <n v="8"/>
    <n v="3985.36"/>
    <n v="21.5"/>
    <n v="3128.51"/>
    <n v="27.4"/>
    <n v="857.21"/>
    <s v="Pending"/>
  </r>
  <r>
    <s v="ORD-2026-0763"/>
    <s v="2026-04-27"/>
    <x v="4"/>
    <s v="Q2"/>
    <s v="Formal Shirt"/>
    <s v="Apparel"/>
    <x v="4"/>
    <s v="Jaipur"/>
    <s v="Enterprise"/>
    <s v="Online"/>
    <s v="Priya Sharma"/>
    <n v="3975.9"/>
    <n v="11"/>
    <n v="43734.9"/>
    <n v="13"/>
    <n v="38049.360000000001"/>
    <n v="52.6"/>
    <n v="20013.96"/>
    <s v="Returned"/>
  </r>
  <r>
    <s v="ORD-2026-0764"/>
    <s v="2026-08-02"/>
    <x v="8"/>
    <s v="Q3"/>
    <s v="Study Table"/>
    <s v="Furniture"/>
    <x v="3"/>
    <s v="Mumbai"/>
    <s v="Wholesale"/>
    <s v="Direct"/>
    <s v="Priya Sharma"/>
    <n v="37535.339999999997"/>
    <n v="6"/>
    <n v="225212.04"/>
    <n v="10.6"/>
    <n v="201339.56"/>
    <n v="37.1"/>
    <n v="74696.98"/>
    <s v="Returned"/>
  </r>
  <r>
    <s v="ORD-2026-0765"/>
    <s v="2026-12-29"/>
    <x v="1"/>
    <s v="Q4"/>
    <s v="Running Shoes"/>
    <s v="Apparel"/>
    <x v="4"/>
    <s v="Lucknow"/>
    <s v="Online"/>
    <s v="B2B"/>
    <s v="Rohit Das"/>
    <n v="2727.13"/>
    <n v="18"/>
    <n v="49088.34"/>
    <n v="21.3"/>
    <n v="38632.519999999997"/>
    <n v="52.9"/>
    <n v="20436.599999999999"/>
    <s v="Fulfilled"/>
  </r>
  <r>
    <s v="ORD-2026-0766"/>
    <s v="2026-12-21"/>
    <x v="1"/>
    <s v="Q4"/>
    <s v="Smart TV 55&quot;"/>
    <s v="Electronics"/>
    <x v="3"/>
    <s v="Surat"/>
    <s v="SMB"/>
    <s v="Partner"/>
    <s v="Kavya Bhat"/>
    <n v="36422.11"/>
    <n v="18"/>
    <n v="655597.98"/>
    <n v="10.1"/>
    <n v="589382.57999999996"/>
    <n v="19.2"/>
    <n v="113161.46"/>
    <s v="Fulfilled"/>
  </r>
  <r>
    <s v="ORD-2026-0767"/>
    <s v="2026-03-20"/>
    <x v="9"/>
    <s v="Q1"/>
    <s v="Resistance Bands"/>
    <s v="Sports"/>
    <x v="4"/>
    <s v="Lucknow"/>
    <s v="SMB"/>
    <s v="Direct"/>
    <s v="Rohit Das"/>
    <n v="1872.29"/>
    <n v="6"/>
    <n v="11233.74"/>
    <n v="21.1"/>
    <n v="8863.42"/>
    <n v="36.200000000000003"/>
    <n v="3208.56"/>
    <s v="Fulfilled"/>
  </r>
  <r>
    <s v="ORD-2026-0768"/>
    <s v="2026-02-16"/>
    <x v="6"/>
    <s v="Q1"/>
    <s v="Wireless Earbuds"/>
    <s v="Electronics"/>
    <x v="2"/>
    <s v="Indore"/>
    <s v="Enterprise"/>
    <s v="B2B"/>
    <s v="Deepak Rao"/>
    <n v="78793.11"/>
    <n v="1"/>
    <n v="78793.11"/>
    <n v="3.5"/>
    <n v="76035.350000000006"/>
    <n v="22.2"/>
    <n v="16879.849999999999"/>
    <s v="Fulfilled"/>
  </r>
  <r>
    <s v="ORD-2026-0769"/>
    <s v="2026-02-21"/>
    <x v="6"/>
    <s v="Q1"/>
    <s v="Body Lotion"/>
    <s v="Cosmetics"/>
    <x v="0"/>
    <s v="Bhubaneswar"/>
    <s v="Online"/>
    <s v="Partner"/>
    <s v="Vikram Tiwari"/>
    <n v="3230.29"/>
    <n v="3"/>
    <n v="9690.8700000000008"/>
    <n v="8.8000000000000007"/>
    <n v="8838.07"/>
    <n v="54.1"/>
    <n v="4781.3999999999996"/>
    <s v="Fulfilled"/>
  </r>
  <r>
    <s v="ORD-2026-0770"/>
    <s v="2026-12-23"/>
    <x v="1"/>
    <s v="Q4"/>
    <s v="DSLR Camera"/>
    <s v="Electronics"/>
    <x v="2"/>
    <s v="Nagpur"/>
    <s v="Online"/>
    <s v="Direct"/>
    <s v="Amit Joshi"/>
    <n v="74513.33"/>
    <n v="23"/>
    <n v="1713806.59"/>
    <n v="18.600000000000001"/>
    <n v="1395038.56"/>
    <n v="24.6"/>
    <n v="343179.49"/>
    <s v="Fulfilled"/>
  </r>
  <r>
    <s v="ORD-2026-0771"/>
    <s v="2026-04-10"/>
    <x v="4"/>
    <s v="Q2"/>
    <s v="Laptop Pro X1"/>
    <s v="Electronics"/>
    <x v="3"/>
    <s v="Mumbai"/>
    <s v="Online"/>
    <s v="Partner"/>
    <s v="Deepak Rao"/>
    <n v="44831.040000000001"/>
    <n v="3"/>
    <n v="134493.12"/>
    <n v="7"/>
    <n v="125078.6"/>
    <n v="27.1"/>
    <n v="33896.300000000003"/>
    <s v="Fulfilled"/>
  </r>
  <r>
    <s v="ORD-2026-0772"/>
    <s v="2026-12-01"/>
    <x v="1"/>
    <s v="Q4"/>
    <s v="Body Lotion"/>
    <s v="Cosmetics"/>
    <x v="4"/>
    <s v="Chandigarh"/>
    <s v="Retail"/>
    <s v="B2B"/>
    <s v="Vikram Tiwari"/>
    <n v="2524.34"/>
    <n v="14"/>
    <n v="35340.76"/>
    <n v="23.6"/>
    <n v="27000.34"/>
    <n v="52.9"/>
    <n v="14283.18"/>
    <s v="Cancelled"/>
  </r>
  <r>
    <s v="ORD-2026-0773"/>
    <s v="2026-08-22"/>
    <x v="8"/>
    <s v="Q3"/>
    <s v="Bed Frame Queen"/>
    <s v="Furniture"/>
    <x v="1"/>
    <s v="Kochi"/>
    <s v="Enterprise"/>
    <s v="Partner"/>
    <s v="Sunita Lal"/>
    <n v="27596.01"/>
    <n v="20"/>
    <n v="551920.19999999995"/>
    <n v="21.3"/>
    <n v="434361.2"/>
    <n v="36"/>
    <n v="156370.03"/>
    <s v="Fulfilled"/>
  </r>
  <r>
    <s v="ORD-2026-0774"/>
    <s v="2026-09-20"/>
    <x v="3"/>
    <s v="Q3"/>
    <s v="Coffee Table"/>
    <s v="Furniture"/>
    <x v="3"/>
    <s v="Mumbai"/>
    <s v="SMB"/>
    <s v="Online"/>
    <s v="Vikram Tiwari"/>
    <n v="38025.11"/>
    <n v="7"/>
    <n v="266175.77"/>
    <n v="24.1"/>
    <n v="202027.41"/>
    <n v="50"/>
    <n v="101013.71"/>
    <s v="Fulfilled"/>
  </r>
  <r>
    <s v="ORD-2026-0775"/>
    <s v="2026-08-07"/>
    <x v="8"/>
    <s v="Q3"/>
    <s v="Winter Jacket"/>
    <s v="Apparel"/>
    <x v="2"/>
    <s v="Bhopal"/>
    <s v="Online"/>
    <s v="Partner"/>
    <s v="Aisha Khan"/>
    <n v="3843.04"/>
    <n v="5"/>
    <n v="19215.2"/>
    <n v="4.0999999999999996"/>
    <n v="18427.38"/>
    <n v="61.2"/>
    <n v="11277.56"/>
    <s v="Fulfilled"/>
  </r>
  <r>
    <s v="ORD-2026-0776"/>
    <s v="2026-09-14"/>
    <x v="3"/>
    <s v="Q3"/>
    <s v="Lip Gloss Set"/>
    <s v="Cosmetics"/>
    <x v="0"/>
    <s v="Kolkata"/>
    <s v="SMB"/>
    <s v="Online"/>
    <s v="Kavya Bhat"/>
    <n v="2949.54"/>
    <n v="17"/>
    <n v="50142.18"/>
    <n v="0.7"/>
    <n v="49791.18"/>
    <n v="49.9"/>
    <n v="24845.8"/>
    <s v="Pending"/>
  </r>
  <r>
    <s v="ORD-2026-0777"/>
    <s v="2026-08-14"/>
    <x v="8"/>
    <s v="Q3"/>
    <s v="Organic Honey"/>
    <s v="Food"/>
    <x v="0"/>
    <s v="Guwahati"/>
    <s v="Wholesale"/>
    <s v="Online"/>
    <s v="Kavya Bhat"/>
    <n v="810.5"/>
    <n v="25"/>
    <n v="20262.5"/>
    <n v="15"/>
    <n v="17223.12"/>
    <n v="39.5"/>
    <n v="6803.13"/>
    <s v="Returned"/>
  </r>
  <r>
    <s v="ORD-2026-0778"/>
    <s v="2026-11-08"/>
    <x v="0"/>
    <s v="Q4"/>
    <s v="Wireless Earbuds"/>
    <s v="Electronics"/>
    <x v="0"/>
    <s v="Kolkata"/>
    <s v="Online"/>
    <s v="B2B"/>
    <s v="Kavya Bhat"/>
    <n v="55914.82"/>
    <n v="19"/>
    <n v="1062381.58"/>
    <n v="0.2"/>
    <n v="1060256.82"/>
    <n v="27.7"/>
    <n v="293691.14"/>
    <s v="Returned"/>
  </r>
  <r>
    <s v="ORD-2026-0779"/>
    <s v="2026-09-08"/>
    <x v="3"/>
    <s v="Q3"/>
    <s v="Eye Shadow Palette"/>
    <s v="Cosmetics"/>
    <x v="1"/>
    <s v="Hyderabad"/>
    <s v="Enterprise"/>
    <s v="Partner"/>
    <s v="Neha Patel"/>
    <n v="590.65"/>
    <n v="21"/>
    <n v="12403.65"/>
    <n v="18.399999999999999"/>
    <n v="10121.379999999999"/>
    <n v="63"/>
    <n v="6376.47"/>
    <s v="Fulfilled"/>
  </r>
  <r>
    <s v="ORD-2026-0780"/>
    <s v="2026-05-30"/>
    <x v="11"/>
    <s v="Q2"/>
    <s v="Study Table"/>
    <s v="Furniture"/>
    <x v="0"/>
    <s v="Patna"/>
    <s v="SMB"/>
    <s v="B2B"/>
    <s v="Aisha Khan"/>
    <n v="15373.31"/>
    <n v="8"/>
    <n v="122986.48"/>
    <n v="11.2"/>
    <n v="109211.99"/>
    <n v="46.6"/>
    <n v="50892.79"/>
    <s v="Cancelled"/>
  </r>
  <r>
    <s v="ORD-2026-0781"/>
    <s v="2026-05-13"/>
    <x v="11"/>
    <s v="Q2"/>
    <s v="Yoga Mat"/>
    <s v="Sports"/>
    <x v="4"/>
    <s v="Delhi"/>
    <s v="Enterprise"/>
    <s v="B2B"/>
    <s v="Sunita Lal"/>
    <n v="1607.76"/>
    <n v="8"/>
    <n v="12862.08"/>
    <n v="12.7"/>
    <n v="11228.6"/>
    <n v="34.200000000000003"/>
    <n v="3840.18"/>
    <s v="Fulfilled"/>
  </r>
  <r>
    <s v="ORD-2026-0782"/>
    <s v="2026-04-06"/>
    <x v="4"/>
    <s v="Q2"/>
    <s v="Wireless Earbuds"/>
    <s v="Electronics"/>
    <x v="3"/>
    <s v="Mumbai"/>
    <s v="SMB"/>
    <s v="Direct"/>
    <s v="Rahul Mehta"/>
    <n v="85000.84"/>
    <n v="10"/>
    <n v="850008.4"/>
    <n v="6.4"/>
    <n v="795607.86"/>
    <n v="29.4"/>
    <n v="233908.71"/>
    <s v="Fulfilled"/>
  </r>
  <r>
    <s v="ORD-2026-0783"/>
    <s v="2026-07-08"/>
    <x v="5"/>
    <s v="Q3"/>
    <s v="Badminton Set"/>
    <s v="Sports"/>
    <x v="2"/>
    <s v="Bhopal"/>
    <s v="Retail"/>
    <s v="B2B"/>
    <s v="Neha Patel"/>
    <n v="7109.51"/>
    <n v="23"/>
    <n v="163518.73000000001"/>
    <n v="18.2"/>
    <n v="133758.32"/>
    <n v="37.700000000000003"/>
    <n v="50426.89"/>
    <s v="Pending"/>
  </r>
  <r>
    <s v="ORD-2026-0784"/>
    <s v="2026-04-15"/>
    <x v="4"/>
    <s v="Q2"/>
    <s v="Office Chair"/>
    <s v="Furniture"/>
    <x v="0"/>
    <s v="Bhubaneswar"/>
    <s v="Wholesale"/>
    <s v="Direct"/>
    <s v="Rahul Mehta"/>
    <n v="40302.46"/>
    <n v="3"/>
    <n v="120907.38"/>
    <n v="6.9"/>
    <n v="112564.77"/>
    <n v="46.9"/>
    <n v="52792.88"/>
    <s v="Fulfilled"/>
  </r>
  <r>
    <s v="ORD-2026-0785"/>
    <s v="2026-02-27"/>
    <x v="6"/>
    <s v="Q1"/>
    <s v="Foundation Kit"/>
    <s v="Cosmetics"/>
    <x v="3"/>
    <s v="Pune"/>
    <s v="Enterprise"/>
    <s v="Partner"/>
    <s v="Neha Patel"/>
    <n v="855.67"/>
    <n v="16"/>
    <n v="13690.72"/>
    <n v="22.9"/>
    <n v="10555.55"/>
    <n v="67.3"/>
    <n v="7103.89"/>
    <s v="Fulfilled"/>
  </r>
  <r>
    <s v="ORD-2026-0786"/>
    <s v="2026-12-18"/>
    <x v="1"/>
    <s v="Q4"/>
    <s v="Wardrobe 3-door"/>
    <s v="Furniture"/>
    <x v="0"/>
    <s v="Patna"/>
    <s v="SMB"/>
    <s v="Partner"/>
    <s v="Neha Patel"/>
    <n v="7006.31"/>
    <n v="18"/>
    <n v="126113.58"/>
    <n v="23"/>
    <n v="97107.46"/>
    <n v="47.3"/>
    <n v="45931.83"/>
    <s v="Fulfilled"/>
  </r>
  <r>
    <s v="ORD-2026-0787"/>
    <s v="2026-10-09"/>
    <x v="2"/>
    <s v="Q4"/>
    <s v="Coffee Table"/>
    <s v="Furniture"/>
    <x v="2"/>
    <s v="Raipur"/>
    <s v="Enterprise"/>
    <s v="B2B"/>
    <s v="Kavya Bhat"/>
    <n v="11057.64"/>
    <n v="7"/>
    <n v="77403.48"/>
    <n v="23.6"/>
    <n v="59136.26"/>
    <n v="28.5"/>
    <n v="16853.830000000002"/>
    <s v="Fulfilled"/>
  </r>
  <r>
    <s v="ORD-2026-0788"/>
    <s v="2026-08-01"/>
    <x v="8"/>
    <s v="Q3"/>
    <s v="Sports Shorts"/>
    <s v="Apparel"/>
    <x v="0"/>
    <s v="Bhubaneswar"/>
    <s v="SMB"/>
    <s v="B2B"/>
    <s v="Sunita Lal"/>
    <n v="669.5"/>
    <n v="25"/>
    <n v="16737.5"/>
    <n v="5.5"/>
    <n v="15816.94"/>
    <n v="61.1"/>
    <n v="9664.15"/>
    <s v="Fulfilled"/>
  </r>
  <r>
    <s v="ORD-2026-0789"/>
    <s v="2026-12-26"/>
    <x v="1"/>
    <s v="Q4"/>
    <s v="Formal Shirt"/>
    <s v="Apparel"/>
    <x v="3"/>
    <s v="Mumbai"/>
    <s v="SMB"/>
    <s v="Online"/>
    <s v="Deepak Rao"/>
    <n v="4140.72"/>
    <n v="12"/>
    <n v="49688.639999999999"/>
    <n v="13.3"/>
    <n v="43080.05"/>
    <n v="52.2"/>
    <n v="22487.79"/>
    <s v="Fulfilled"/>
  </r>
  <r>
    <s v="ORD-2026-0790"/>
    <s v="2026-08-02"/>
    <x v="8"/>
    <s v="Q3"/>
    <s v="Study Table"/>
    <s v="Furniture"/>
    <x v="4"/>
    <s v="Delhi"/>
    <s v="Enterprise"/>
    <s v="Online"/>
    <s v="Rahul Mehta"/>
    <n v="44599.31"/>
    <n v="9"/>
    <n v="401393.79"/>
    <n v="18.2"/>
    <n v="328340.12"/>
    <n v="33"/>
    <n v="108352.24"/>
    <s v="Fulfilled"/>
  </r>
  <r>
    <s v="ORD-2026-0791"/>
    <s v="2026-07-20"/>
    <x v="5"/>
    <s v="Q3"/>
    <s v="Resistance Bands"/>
    <s v="Sports"/>
    <x v="0"/>
    <s v="Guwahati"/>
    <s v="Enterprise"/>
    <s v="B2B"/>
    <s v="Neha Patel"/>
    <n v="3166.87"/>
    <n v="12"/>
    <n v="38002.44"/>
    <n v="1.3"/>
    <n v="37508.410000000003"/>
    <n v="33.700000000000003"/>
    <n v="12640.33"/>
    <s v="Returned"/>
  </r>
  <r>
    <s v="ORD-2026-0792"/>
    <s v="2026-03-13"/>
    <x v="9"/>
    <s v="Q1"/>
    <s v="Yoga Mat"/>
    <s v="Sports"/>
    <x v="2"/>
    <s v="Bhopal"/>
    <s v="Online"/>
    <s v="B2B"/>
    <s v="Rahul Mehta"/>
    <n v="7953.95"/>
    <n v="2"/>
    <n v="15907.9"/>
    <n v="11.1"/>
    <n v="14142.12"/>
    <n v="27"/>
    <n v="3818.37"/>
    <s v="Pending"/>
  </r>
  <r>
    <s v="ORD-2026-0793"/>
    <s v="2026-02-06"/>
    <x v="6"/>
    <s v="Q1"/>
    <s v="Organic Honey"/>
    <s v="Food"/>
    <x v="1"/>
    <s v="Chennai"/>
    <s v="Retail"/>
    <s v="Online"/>
    <s v="Priya Sharma"/>
    <n v="1154.53"/>
    <n v="9"/>
    <n v="10390.77"/>
    <n v="13.3"/>
    <n v="9008.7999999999993"/>
    <n v="21.7"/>
    <n v="1954.91"/>
    <s v="Fulfilled"/>
  </r>
  <r>
    <s v="ORD-2026-0794"/>
    <s v="2026-08-20"/>
    <x v="8"/>
    <s v="Q3"/>
    <s v="Smart Watch S3"/>
    <s v="Electronics"/>
    <x v="4"/>
    <s v="Chandigarh"/>
    <s v="Retail"/>
    <s v="Online"/>
    <s v="Kavya Bhat"/>
    <n v="82458.86"/>
    <n v="15"/>
    <n v="1236882.8999999999"/>
    <n v="7.4"/>
    <n v="1145353.57"/>
    <n v="16.7"/>
    <n v="191274.05"/>
    <s v="Fulfilled"/>
  </r>
  <r>
    <s v="ORD-2026-0795"/>
    <s v="2026-02-06"/>
    <x v="6"/>
    <s v="Q1"/>
    <s v="Wardrobe 3-door"/>
    <s v="Furniture"/>
    <x v="4"/>
    <s v="Chandigarh"/>
    <s v="Enterprise"/>
    <s v="Partner"/>
    <s v="Deepak Rao"/>
    <n v="3790.42"/>
    <n v="14"/>
    <n v="53065.88"/>
    <n v="23.9"/>
    <n v="40383.129999999997"/>
    <n v="32.200000000000003"/>
    <n v="13003.37"/>
    <s v="Pending"/>
  </r>
  <r>
    <s v="ORD-2026-0796"/>
    <s v="2026-02-25"/>
    <x v="6"/>
    <s v="Q1"/>
    <s v="Coffee Table"/>
    <s v="Furniture"/>
    <x v="0"/>
    <s v="Bhubaneswar"/>
    <s v="SMB"/>
    <s v="B2B"/>
    <s v="Aisha Khan"/>
    <n v="17850.28"/>
    <n v="17"/>
    <n v="303454.76"/>
    <n v="5.4"/>
    <n v="287068.2"/>
    <n v="34.200000000000003"/>
    <n v="98177.32"/>
    <s v="Fulfilled"/>
  </r>
  <r>
    <s v="ORD-2026-0797"/>
    <s v="2026-04-13"/>
    <x v="4"/>
    <s v="Q2"/>
    <s v="Protein Powder"/>
    <s v="Food"/>
    <x v="4"/>
    <s v="Lucknow"/>
    <s v="SMB"/>
    <s v="Direct"/>
    <s v="Kavya Bhat"/>
    <n v="987.15"/>
    <n v="16"/>
    <n v="15794.4"/>
    <n v="5.3"/>
    <n v="14957.3"/>
    <n v="25.6"/>
    <n v="3829.07"/>
    <s v="Fulfilled"/>
  </r>
  <r>
    <s v="ORD-2026-0798"/>
    <s v="2026-02-07"/>
    <x v="6"/>
    <s v="Q1"/>
    <s v="Winter Jacket"/>
    <s v="Apparel"/>
    <x v="4"/>
    <s v="Lucknow"/>
    <s v="Enterprise"/>
    <s v="B2B"/>
    <s v="Kavya Bhat"/>
    <n v="309.82"/>
    <n v="25"/>
    <n v="7745.5"/>
    <n v="23"/>
    <n v="5964.03"/>
    <n v="51"/>
    <n v="3041.66"/>
    <s v="Fulfilled"/>
  </r>
  <r>
    <s v="ORD-2026-0799"/>
    <s v="2026-02-15"/>
    <x v="6"/>
    <s v="Q1"/>
    <s v="Kurti Set"/>
    <s v="Apparel"/>
    <x v="4"/>
    <s v="Jaipur"/>
    <s v="Enterprise"/>
    <s v="Online"/>
    <s v="Vikram Tiwari"/>
    <n v="2039.39"/>
    <n v="13"/>
    <n v="26512.07"/>
    <n v="1.4"/>
    <n v="26140.9"/>
    <n v="55.7"/>
    <n v="14560.48"/>
    <s v="Fulfilled"/>
  </r>
  <r>
    <s v="ORD-2026-0800"/>
    <s v="2026-05-18"/>
    <x v="11"/>
    <s v="Q2"/>
    <s v="Smart Watch S3"/>
    <s v="Electronics"/>
    <x v="3"/>
    <s v="Ahmedabad"/>
    <s v="SMB"/>
    <s v="B2B"/>
    <s v="Rohit Das"/>
    <n v="28643.63"/>
    <n v="7"/>
    <n v="200505.41"/>
    <n v="8.1"/>
    <n v="184264.47"/>
    <n v="31.2"/>
    <n v="57490.51"/>
    <s v="Fulfilled"/>
  </r>
  <r>
    <s v="ORD-2026-0801"/>
    <s v="2026-02-27"/>
    <x v="6"/>
    <s v="Q1"/>
    <s v="Cycling Helmet"/>
    <s v="Sports"/>
    <x v="1"/>
    <s v="Chennai"/>
    <s v="SMB"/>
    <s v="B2B"/>
    <s v="Vikram Tiwari"/>
    <n v="326.29000000000002"/>
    <n v="12"/>
    <n v="3915.48"/>
    <n v="18.3"/>
    <n v="3198.95"/>
    <n v="26.1"/>
    <n v="834.93"/>
    <s v="Fulfilled"/>
  </r>
  <r>
    <s v="ORD-2026-0802"/>
    <s v="2026-11-06"/>
    <x v="0"/>
    <s v="Q4"/>
    <s v="Foundation Kit"/>
    <s v="Cosmetics"/>
    <x v="1"/>
    <s v="Hyderabad"/>
    <s v="Enterprise"/>
    <s v="B2B"/>
    <s v="Sunita Lal"/>
    <n v="449.14"/>
    <n v="19"/>
    <n v="8533.66"/>
    <n v="21.8"/>
    <n v="6673.32"/>
    <n v="65.400000000000006"/>
    <n v="4364.3500000000004"/>
    <s v="Pending"/>
  </r>
  <r>
    <s v="ORD-2026-0803"/>
    <s v="2026-05-20"/>
    <x v="11"/>
    <s v="Q2"/>
    <s v="Study Table"/>
    <s v="Furniture"/>
    <x v="2"/>
    <s v="Bhopal"/>
    <s v="Retail"/>
    <s v="B2B"/>
    <s v="Priya Sharma"/>
    <n v="38478.019999999997"/>
    <n v="6"/>
    <n v="230868.12"/>
    <n v="23.2"/>
    <n v="177306.72"/>
    <n v="35"/>
    <n v="62057.35"/>
    <s v="Fulfilled"/>
  </r>
  <r>
    <s v="ORD-2026-0804"/>
    <s v="2026-04-03"/>
    <x v="4"/>
    <s v="Q2"/>
    <s v="Tablet Ultra"/>
    <s v="Electronics"/>
    <x v="3"/>
    <s v="Surat"/>
    <s v="Enterprise"/>
    <s v="B2B"/>
    <s v="Rohit Das"/>
    <n v="8123.24"/>
    <n v="2"/>
    <n v="16246.48"/>
    <n v="19.600000000000001"/>
    <n v="13062.17"/>
    <n v="21.1"/>
    <n v="2756.12"/>
    <s v="Fulfilled"/>
  </r>
  <r>
    <s v="ORD-2026-0805"/>
    <s v="2026-01-04"/>
    <x v="7"/>
    <s v="Q1"/>
    <s v="Nut Mix 500g"/>
    <s v="Food"/>
    <x v="4"/>
    <s v="Lucknow"/>
    <s v="Retail"/>
    <s v="Direct"/>
    <s v="Amit Joshi"/>
    <n v="1237.71"/>
    <n v="8"/>
    <n v="9901.68"/>
    <n v="10.4"/>
    <n v="8871.91"/>
    <n v="30.5"/>
    <n v="2705.93"/>
    <s v="Fulfilled"/>
  </r>
  <r>
    <s v="ORD-2026-0806"/>
    <s v="2026-04-07"/>
    <x v="4"/>
    <s v="Q2"/>
    <s v="Tablet Ultra"/>
    <s v="Electronics"/>
    <x v="2"/>
    <s v="Indore"/>
    <s v="Retail"/>
    <s v="Online"/>
    <s v="Vikram Tiwari"/>
    <n v="19497.71"/>
    <n v="3"/>
    <n v="58493.13"/>
    <n v="18.7"/>
    <n v="47554.91"/>
    <n v="23.9"/>
    <n v="11365.62"/>
    <s v="Fulfilled"/>
  </r>
  <r>
    <s v="ORD-2026-0807"/>
    <s v="2026-12-09"/>
    <x v="1"/>
    <s v="Q4"/>
    <s v="Organic Honey"/>
    <s v="Food"/>
    <x v="1"/>
    <s v="Chennai"/>
    <s v="Retail"/>
    <s v="B2B"/>
    <s v="Aisha Khan"/>
    <n v="1075.1500000000001"/>
    <n v="20"/>
    <n v="21503"/>
    <n v="12.4"/>
    <n v="18836.63"/>
    <n v="38.9"/>
    <n v="7327.45"/>
    <s v="Pending"/>
  </r>
  <r>
    <s v="ORD-2026-0808"/>
    <s v="2026-01-25"/>
    <x v="7"/>
    <s v="Q1"/>
    <s v="Formal Shirt"/>
    <s v="Apparel"/>
    <x v="0"/>
    <s v="Kolkata"/>
    <s v="Enterprise"/>
    <s v="Partner"/>
    <s v="Priya Sharma"/>
    <n v="4408.26"/>
    <n v="13"/>
    <n v="57307.38"/>
    <n v="14.1"/>
    <n v="49227.040000000001"/>
    <n v="43.5"/>
    <n v="21413.759999999998"/>
    <s v="Fulfilled"/>
  </r>
  <r>
    <s v="ORD-2026-0809"/>
    <s v="2026-01-05"/>
    <x v="7"/>
    <s v="Q1"/>
    <s v="Smart Watch S3"/>
    <s v="Electronics"/>
    <x v="2"/>
    <s v="Nagpur"/>
    <s v="Wholesale"/>
    <s v="Partner"/>
    <s v="Priya Sharma"/>
    <n v="88896.11"/>
    <n v="16"/>
    <n v="1422337.76"/>
    <n v="23.6"/>
    <n v="1086666.05"/>
    <n v="16.399999999999999"/>
    <n v="178213.23"/>
    <s v="Fulfilled"/>
  </r>
  <r>
    <s v="ORD-2026-0810"/>
    <s v="2026-04-10"/>
    <x v="4"/>
    <s v="Q2"/>
    <s v="Cotton T-Shirt"/>
    <s v="Apparel"/>
    <x v="3"/>
    <s v="Surat"/>
    <s v="Retail"/>
    <s v="Partner"/>
    <s v="Aisha Khan"/>
    <n v="1607.64"/>
    <n v="20"/>
    <n v="32152.799999999999"/>
    <n v="8.5"/>
    <n v="29419.81"/>
    <n v="51.4"/>
    <n v="15121.78"/>
    <s v="Fulfilled"/>
  </r>
  <r>
    <s v="ORD-2026-0811"/>
    <s v="2026-03-17"/>
    <x v="9"/>
    <s v="Q1"/>
    <s v="Laptop Pro X1"/>
    <s v="Electronics"/>
    <x v="3"/>
    <s v="Surat"/>
    <s v="Enterprise"/>
    <s v="Partner"/>
    <s v="Rohit Das"/>
    <n v="6606.58"/>
    <n v="19"/>
    <n v="125525.02"/>
    <n v="10.4"/>
    <n v="112470.42"/>
    <n v="24.1"/>
    <n v="27105.37"/>
    <s v="Fulfilled"/>
  </r>
  <r>
    <s v="ORD-2026-0812"/>
    <s v="2026-03-12"/>
    <x v="9"/>
    <s v="Q1"/>
    <s v="Cotton T-Shirt"/>
    <s v="Apparel"/>
    <x v="4"/>
    <s v="Delhi"/>
    <s v="Retail"/>
    <s v="Partner"/>
    <s v="Amit Joshi"/>
    <n v="4812.74"/>
    <n v="21"/>
    <n v="101067.54"/>
    <n v="11"/>
    <n v="89950.11"/>
    <n v="41.7"/>
    <n v="37509.199999999997"/>
    <s v="Fulfilled"/>
  </r>
  <r>
    <s v="ORD-2026-0813"/>
    <s v="2026-07-14"/>
    <x v="5"/>
    <s v="Q3"/>
    <s v="Protein Powder"/>
    <s v="Food"/>
    <x v="4"/>
    <s v="Lucknow"/>
    <s v="Wholesale"/>
    <s v="B2B"/>
    <s v="Deepak Rao"/>
    <n v="678.77"/>
    <n v="16"/>
    <n v="10860.32"/>
    <n v="25"/>
    <n v="8145.24"/>
    <n v="33.9"/>
    <n v="2761.24"/>
    <s v="Fulfilled"/>
  </r>
  <r>
    <s v="ORD-2026-0814"/>
    <s v="2026-02-28"/>
    <x v="6"/>
    <s v="Q1"/>
    <s v="Cycling Helmet"/>
    <s v="Sports"/>
    <x v="3"/>
    <s v="Pune"/>
    <s v="SMB"/>
    <s v="B2B"/>
    <s v="Sunita Lal"/>
    <n v="420.21"/>
    <n v="6"/>
    <n v="2521.2600000000002"/>
    <n v="2.1"/>
    <n v="2468.31"/>
    <n v="47.9"/>
    <n v="1182.32"/>
    <s v="Fulfilled"/>
  </r>
  <r>
    <s v="ORD-2026-0815"/>
    <s v="2026-02-16"/>
    <x v="6"/>
    <s v="Q1"/>
    <s v="Face Serum"/>
    <s v="Cosmetics"/>
    <x v="0"/>
    <s v="Bhubaneswar"/>
    <s v="Enterprise"/>
    <s v="Direct"/>
    <s v="Amit Joshi"/>
    <n v="600.5"/>
    <n v="12"/>
    <n v="7206"/>
    <n v="21.8"/>
    <n v="5635.09"/>
    <n v="51.7"/>
    <n v="2913.34"/>
    <s v="Fulfilled"/>
  </r>
  <r>
    <s v="ORD-2026-0816"/>
    <s v="2026-09-27"/>
    <x v="3"/>
    <s v="Q3"/>
    <s v="Sports Shorts"/>
    <s v="Apparel"/>
    <x v="1"/>
    <s v="Hyderabad"/>
    <s v="Retail"/>
    <s v="Direct"/>
    <s v="Deepak Rao"/>
    <n v="2005.06"/>
    <n v="16"/>
    <n v="32080.959999999999"/>
    <n v="3.8"/>
    <n v="30861.88"/>
    <n v="38.9"/>
    <n v="12005.27"/>
    <s v="Fulfilled"/>
  </r>
  <r>
    <s v="ORD-2026-0817"/>
    <s v="2026-05-08"/>
    <x v="11"/>
    <s v="Q2"/>
    <s v="Wardrobe 3-door"/>
    <s v="Furniture"/>
    <x v="4"/>
    <s v="Jaipur"/>
    <s v="Wholesale"/>
    <s v="Partner"/>
    <s v="Neha Patel"/>
    <n v="42075.31"/>
    <n v="9"/>
    <n v="378677.79"/>
    <n v="16.3"/>
    <n v="316953.31"/>
    <n v="28.6"/>
    <n v="90648.65"/>
    <s v="Returned"/>
  </r>
  <r>
    <s v="ORD-2026-0818"/>
    <s v="2026-02-23"/>
    <x v="6"/>
    <s v="Q1"/>
    <s v="Kurti Set"/>
    <s v="Apparel"/>
    <x v="0"/>
    <s v="Guwahati"/>
    <s v="Enterprise"/>
    <s v="Partner"/>
    <s v="Priya Sharma"/>
    <n v="4167.3599999999997"/>
    <n v="2"/>
    <n v="8334.7199999999993"/>
    <n v="5.3"/>
    <n v="7892.98"/>
    <n v="61.3"/>
    <n v="4838.3999999999996"/>
    <s v="Fulfilled"/>
  </r>
  <r>
    <s v="ORD-2026-0819"/>
    <s v="2026-06-22"/>
    <x v="10"/>
    <s v="Q2"/>
    <s v="Denim Jeans"/>
    <s v="Apparel"/>
    <x v="4"/>
    <s v="Chandigarh"/>
    <s v="Enterprise"/>
    <s v="Partner"/>
    <s v="Deepak Rao"/>
    <n v="2351.33"/>
    <n v="22"/>
    <n v="51729.26"/>
    <n v="8.1"/>
    <n v="47539.19"/>
    <n v="49.8"/>
    <n v="23674.52"/>
    <s v="Cancelled"/>
  </r>
  <r>
    <s v="ORD-2026-0820"/>
    <s v="2026-07-27"/>
    <x v="5"/>
    <s v="Q3"/>
    <s v="Sunscreen SPF50"/>
    <s v="Cosmetics"/>
    <x v="0"/>
    <s v="Guwahati"/>
    <s v="Enterprise"/>
    <s v="Online"/>
    <s v="Neha Patel"/>
    <n v="2120.96"/>
    <n v="11"/>
    <n v="23330.560000000001"/>
    <n v="22.1"/>
    <n v="18174.509999999998"/>
    <n v="55.2"/>
    <n v="10032.33"/>
    <s v="Pending"/>
  </r>
  <r>
    <s v="ORD-2026-0821"/>
    <s v="2026-05-12"/>
    <x v="11"/>
    <s v="Q2"/>
    <s v="Sofa 3-seater"/>
    <s v="Furniture"/>
    <x v="1"/>
    <s v="Chennai"/>
    <s v="SMB"/>
    <s v="Partner"/>
    <s v="Amit Joshi"/>
    <n v="6314.1"/>
    <n v="1"/>
    <n v="6314.1"/>
    <n v="4.2"/>
    <n v="6048.91"/>
    <n v="31.2"/>
    <n v="1887.26"/>
    <s v="Fulfilled"/>
  </r>
  <r>
    <s v="ORD-2026-0822"/>
    <s v="2026-10-07"/>
    <x v="2"/>
    <s v="Q4"/>
    <s v="Running Shoes"/>
    <s v="Apparel"/>
    <x v="3"/>
    <s v="Mumbai"/>
    <s v="SMB"/>
    <s v="Direct"/>
    <s v="Rohit Das"/>
    <n v="3036.59"/>
    <n v="20"/>
    <n v="60731.8"/>
    <n v="23.2"/>
    <n v="46642.02"/>
    <n v="50.2"/>
    <n v="23414.29"/>
    <s v="Fulfilled"/>
  </r>
  <r>
    <s v="ORD-2026-0823"/>
    <s v="2026-01-29"/>
    <x v="7"/>
    <s v="Q1"/>
    <s v="Sofa 3-seater"/>
    <s v="Furniture"/>
    <x v="2"/>
    <s v="Indore"/>
    <s v="Retail"/>
    <s v="Direct"/>
    <s v="Rahul Mehta"/>
    <n v="37684.699999999997"/>
    <n v="22"/>
    <n v="829063.4"/>
    <n v="8"/>
    <n v="762738.33"/>
    <n v="45.2"/>
    <n v="344757.73"/>
    <s v="Pending"/>
  </r>
  <r>
    <s v="ORD-2026-0824"/>
    <s v="2026-02-01"/>
    <x v="6"/>
    <s v="Q1"/>
    <s v="Sports Shorts"/>
    <s v="Apparel"/>
    <x v="4"/>
    <s v="Lucknow"/>
    <s v="Online"/>
    <s v="B2B"/>
    <s v="Rohit Das"/>
    <n v="2485.88"/>
    <n v="22"/>
    <n v="54689.36"/>
    <n v="17.899999999999999"/>
    <n v="44899.96"/>
    <n v="40.799999999999997"/>
    <n v="18319.18"/>
    <s v="Pending"/>
  </r>
  <r>
    <s v="ORD-2026-0825"/>
    <s v="2026-02-23"/>
    <x v="6"/>
    <s v="Q1"/>
    <s v="Wardrobe 3-door"/>
    <s v="Furniture"/>
    <x v="2"/>
    <s v="Raipur"/>
    <s v="Retail"/>
    <s v="Partner"/>
    <s v="Rohit Das"/>
    <n v="20308.310000000001"/>
    <n v="17"/>
    <n v="345241.27"/>
    <n v="6.1"/>
    <n v="324181.55"/>
    <n v="49.6"/>
    <n v="160794.04999999999"/>
    <s v="Fulfilled"/>
  </r>
  <r>
    <s v="ORD-2026-0826"/>
    <s v="2026-11-28"/>
    <x v="0"/>
    <s v="Q4"/>
    <s v="Body Lotion"/>
    <s v="Cosmetics"/>
    <x v="0"/>
    <s v="Bhubaneswar"/>
    <s v="Online"/>
    <s v="Online"/>
    <s v="Vikram Tiwari"/>
    <n v="771.71"/>
    <n v="13"/>
    <n v="10032.23"/>
    <n v="23.3"/>
    <n v="7694.72"/>
    <n v="70.2"/>
    <n v="5401.69"/>
    <s v="Fulfilled"/>
  </r>
  <r>
    <s v="ORD-2026-0827"/>
    <s v="2026-05-04"/>
    <x v="11"/>
    <s v="Q2"/>
    <s v="Sports Shorts"/>
    <s v="Apparel"/>
    <x v="1"/>
    <s v="Kochi"/>
    <s v="Online"/>
    <s v="Partner"/>
    <s v="Deepak Rao"/>
    <n v="2641.5"/>
    <n v="7"/>
    <n v="18490.5"/>
    <n v="17.100000000000001"/>
    <n v="15328.62"/>
    <n v="59"/>
    <n v="9043.89"/>
    <s v="Returned"/>
  </r>
  <r>
    <s v="ORD-2026-0828"/>
    <s v="2026-08-05"/>
    <x v="8"/>
    <s v="Q3"/>
    <s v="Foundation Kit"/>
    <s v="Cosmetics"/>
    <x v="0"/>
    <s v="Patna"/>
    <s v="Online"/>
    <s v="Direct"/>
    <s v="Amit Joshi"/>
    <n v="3983.36"/>
    <n v="20"/>
    <n v="79667.199999999997"/>
    <n v="22.7"/>
    <n v="61582.75"/>
    <n v="63.1"/>
    <n v="38858.720000000001"/>
    <s v="Fulfilled"/>
  </r>
  <r>
    <s v="ORD-2026-0829"/>
    <s v="2026-06-06"/>
    <x v="10"/>
    <s v="Q2"/>
    <s v="Bed Frame Queen"/>
    <s v="Furniture"/>
    <x v="0"/>
    <s v="Patna"/>
    <s v="Retail"/>
    <s v="Direct"/>
    <s v="Rahul Mehta"/>
    <n v="34374.1"/>
    <n v="25"/>
    <n v="859352.5"/>
    <n v="3.6"/>
    <n v="828415.81"/>
    <n v="40.9"/>
    <n v="338822.07"/>
    <s v="Fulfilled"/>
  </r>
  <r>
    <s v="ORD-2026-0830"/>
    <s v="2026-06-13"/>
    <x v="10"/>
    <s v="Q2"/>
    <s v="Organic Honey"/>
    <s v="Food"/>
    <x v="1"/>
    <s v="Chennai"/>
    <s v="Wholesale"/>
    <s v="Partner"/>
    <s v="Sunita Lal"/>
    <n v="1251.26"/>
    <n v="13"/>
    <n v="16266.38"/>
    <n v="12.2"/>
    <n v="14281.88"/>
    <n v="38.5"/>
    <n v="5498.52"/>
    <s v="Fulfilled"/>
  </r>
  <r>
    <s v="ORD-2026-0831"/>
    <s v="2026-07-30"/>
    <x v="5"/>
    <s v="Q3"/>
    <s v="Skipping Rope"/>
    <s v="Sports"/>
    <x v="1"/>
    <s v="Chennai"/>
    <s v="Retail"/>
    <s v="Direct"/>
    <s v="Priya Sharma"/>
    <n v="5884.51"/>
    <n v="14"/>
    <n v="82383.14"/>
    <n v="5.6"/>
    <n v="77769.679999999993"/>
    <n v="22.1"/>
    <n v="17187.099999999999"/>
    <s v="Returned"/>
  </r>
  <r>
    <s v="ORD-2026-0832"/>
    <s v="2026-02-20"/>
    <x v="6"/>
    <s v="Q1"/>
    <s v="Protein Powder"/>
    <s v="Food"/>
    <x v="3"/>
    <s v="Mumbai"/>
    <s v="Wholesale"/>
    <s v="Direct"/>
    <s v="Aisha Khan"/>
    <n v="311.70999999999998"/>
    <n v="8"/>
    <n v="2493.6799999999998"/>
    <n v="13.6"/>
    <n v="2154.54"/>
    <n v="22.8"/>
    <n v="491.24"/>
    <s v="Pending"/>
  </r>
  <r>
    <s v="ORD-2026-0833"/>
    <s v="2026-11-16"/>
    <x v="0"/>
    <s v="Q4"/>
    <s v="Badminton Set"/>
    <s v="Sports"/>
    <x v="4"/>
    <s v="Chandigarh"/>
    <s v="Wholesale"/>
    <s v="Partner"/>
    <s v="Sunita Lal"/>
    <n v="2951.3"/>
    <n v="20"/>
    <n v="59026"/>
    <n v="5"/>
    <n v="56074.7"/>
    <n v="36.799999999999997"/>
    <n v="20635.490000000002"/>
    <s v="Fulfilled"/>
  </r>
  <r>
    <s v="ORD-2026-0834"/>
    <s v="2026-06-14"/>
    <x v="10"/>
    <s v="Q2"/>
    <s v="Foundation Kit"/>
    <s v="Cosmetics"/>
    <x v="3"/>
    <s v="Mumbai"/>
    <s v="SMB"/>
    <s v="Partner"/>
    <s v="Deepak Rao"/>
    <n v="3697.45"/>
    <n v="15"/>
    <n v="55461.75"/>
    <n v="18"/>
    <n v="45478.64"/>
    <n v="69.900000000000006"/>
    <n v="31789.57"/>
    <s v="Fulfilled"/>
  </r>
  <r>
    <s v="ORD-2026-0835"/>
    <s v="2026-01-07"/>
    <x v="7"/>
    <s v="Q1"/>
    <s v="Denim Jeans"/>
    <s v="Apparel"/>
    <x v="2"/>
    <s v="Indore"/>
    <s v="Wholesale"/>
    <s v="Online"/>
    <s v="Priya Sharma"/>
    <n v="2081.21"/>
    <n v="21"/>
    <n v="43705.41"/>
    <n v="20.6"/>
    <n v="34702.1"/>
    <n v="44.3"/>
    <n v="15373.03"/>
    <s v="Fulfilled"/>
  </r>
  <r>
    <s v="ORD-2026-0836"/>
    <s v="2026-03-05"/>
    <x v="9"/>
    <s v="Q1"/>
    <s v="Football Pro"/>
    <s v="Sports"/>
    <x v="1"/>
    <s v="Chennai"/>
    <s v="Enterprise"/>
    <s v="Direct"/>
    <s v="Rahul Mehta"/>
    <n v="5596.37"/>
    <n v="23"/>
    <n v="128716.51"/>
    <n v="20.3"/>
    <n v="102587.06"/>
    <n v="26.5"/>
    <n v="27185.57"/>
    <s v="Fulfilled"/>
  </r>
  <r>
    <s v="ORD-2026-0837"/>
    <s v="2026-02-08"/>
    <x v="6"/>
    <s v="Q1"/>
    <s v="Formal Shirt"/>
    <s v="Apparel"/>
    <x v="3"/>
    <s v="Surat"/>
    <s v="Online"/>
    <s v="Online"/>
    <s v="Kavya Bhat"/>
    <n v="4649.6499999999996"/>
    <n v="17"/>
    <n v="79044.05"/>
    <n v="20.100000000000001"/>
    <n v="63156.2"/>
    <n v="50.4"/>
    <n v="31830.720000000001"/>
    <s v="Cancelled"/>
  </r>
  <r>
    <s v="ORD-2026-0838"/>
    <s v="2026-04-04"/>
    <x v="4"/>
    <s v="Q2"/>
    <s v="Football Pro"/>
    <s v="Sports"/>
    <x v="4"/>
    <s v="Delhi"/>
    <s v="Wholesale"/>
    <s v="Online"/>
    <s v="Neha Patel"/>
    <n v="5382.24"/>
    <n v="18"/>
    <n v="96880.320000000007"/>
    <n v="3.5"/>
    <n v="93489.51"/>
    <n v="22.6"/>
    <n v="21128.63"/>
    <s v="Fulfilled"/>
  </r>
  <r>
    <s v="ORD-2026-0839"/>
    <s v="2026-10-12"/>
    <x v="2"/>
    <s v="Q4"/>
    <s v="Cotton T-Shirt"/>
    <s v="Apparel"/>
    <x v="3"/>
    <s v="Ahmedabad"/>
    <s v="Enterprise"/>
    <s v="Partner"/>
    <s v="Sunita Lal"/>
    <n v="3915.08"/>
    <n v="6"/>
    <n v="23490.48"/>
    <n v="8.8000000000000007"/>
    <n v="21423.32"/>
    <n v="50.3"/>
    <n v="10775.93"/>
    <s v="Fulfilled"/>
  </r>
  <r>
    <s v="ORD-2026-0840"/>
    <s v="2026-12-06"/>
    <x v="1"/>
    <s v="Q4"/>
    <s v="Football Pro"/>
    <s v="Sports"/>
    <x v="0"/>
    <s v="Guwahati"/>
    <s v="SMB"/>
    <s v="Online"/>
    <s v="Kavya Bhat"/>
    <n v="8378.33"/>
    <n v="15"/>
    <n v="125674.95"/>
    <n v="8.8000000000000007"/>
    <n v="114615.55"/>
    <n v="35.9"/>
    <n v="41146.980000000003"/>
    <s v="Fulfilled"/>
  </r>
  <r>
    <s v="ORD-2026-0841"/>
    <s v="2026-10-13"/>
    <x v="2"/>
    <s v="Q4"/>
    <s v="Wardrobe 3-door"/>
    <s v="Furniture"/>
    <x v="3"/>
    <s v="Pune"/>
    <s v="Online"/>
    <s v="B2B"/>
    <s v="Sunita Lal"/>
    <n v="15380.69"/>
    <n v="23"/>
    <n v="353755.87"/>
    <n v="16.5"/>
    <n v="295386.15000000002"/>
    <n v="42.9"/>
    <n v="126720.66"/>
    <s v="Returned"/>
  </r>
  <r>
    <s v="ORD-2026-0842"/>
    <s v="2026-05-21"/>
    <x v="11"/>
    <s v="Q2"/>
    <s v="Green Tea Pack"/>
    <s v="Food"/>
    <x v="0"/>
    <s v="Patna"/>
    <s v="Retail"/>
    <s v="B2B"/>
    <s v="Amit Joshi"/>
    <n v="1113.1199999999999"/>
    <n v="24"/>
    <n v="26714.880000000001"/>
    <n v="0.8"/>
    <n v="26501.16"/>
    <n v="27.5"/>
    <n v="7287.82"/>
    <s v="Fulfilled"/>
  </r>
  <r>
    <s v="ORD-2026-0843"/>
    <s v="2026-08-02"/>
    <x v="8"/>
    <s v="Q3"/>
    <s v="Tablet Ultra"/>
    <s v="Electronics"/>
    <x v="1"/>
    <s v="Hyderabad"/>
    <s v="Retail"/>
    <s v="B2B"/>
    <s v="Amit Joshi"/>
    <n v="90879.88"/>
    <n v="21"/>
    <n v="1908477.48"/>
    <n v="25"/>
    <n v="1431358.11"/>
    <n v="18.2"/>
    <n v="260507.18"/>
    <s v="Fulfilled"/>
  </r>
  <r>
    <s v="ORD-2026-0844"/>
    <s v="2026-10-09"/>
    <x v="2"/>
    <s v="Q4"/>
    <s v="Cycling Helmet"/>
    <s v="Sports"/>
    <x v="3"/>
    <s v="Mumbai"/>
    <s v="Retail"/>
    <s v="B2B"/>
    <s v="Amit Joshi"/>
    <n v="8375.26"/>
    <n v="16"/>
    <n v="134004.16"/>
    <n v="13.4"/>
    <n v="116047.6"/>
    <n v="23"/>
    <n v="26690.95"/>
    <s v="Cancelled"/>
  </r>
  <r>
    <s v="ORD-2026-0845"/>
    <s v="2026-01-29"/>
    <x v="7"/>
    <s v="Q1"/>
    <s v="Protein Powder"/>
    <s v="Food"/>
    <x v="1"/>
    <s v="Chennai"/>
    <s v="Online"/>
    <s v="Partner"/>
    <s v="Kavya Bhat"/>
    <n v="385.23"/>
    <n v="17"/>
    <n v="6548.91"/>
    <n v="13.8"/>
    <n v="5645.16"/>
    <n v="18.8"/>
    <n v="1061.29"/>
    <s v="Fulfilled"/>
  </r>
  <r>
    <s v="ORD-2026-0846"/>
    <s v="2026-01-07"/>
    <x v="7"/>
    <s v="Q1"/>
    <s v="Smart TV 55&quot;"/>
    <s v="Electronics"/>
    <x v="2"/>
    <s v="Raipur"/>
    <s v="SMB"/>
    <s v="B2B"/>
    <s v="Aisha Khan"/>
    <n v="19709.740000000002"/>
    <n v="1"/>
    <n v="19709.740000000002"/>
    <n v="6.5"/>
    <n v="18428.61"/>
    <n v="20.9"/>
    <n v="3851.58"/>
    <s v="Fulfilled"/>
  </r>
  <r>
    <s v="ORD-2026-0847"/>
    <s v="2026-10-18"/>
    <x v="2"/>
    <s v="Q4"/>
    <s v="Denim Jeans"/>
    <s v="Apparel"/>
    <x v="3"/>
    <s v="Surat"/>
    <s v="Enterprise"/>
    <s v="B2B"/>
    <s v="Amit Joshi"/>
    <n v="3378.69"/>
    <n v="10"/>
    <n v="33786.9"/>
    <n v="21.5"/>
    <n v="26522.720000000001"/>
    <n v="56.4"/>
    <n v="14958.81"/>
    <s v="Pending"/>
  </r>
  <r>
    <s v="ORD-2026-0848"/>
    <s v="2026-08-09"/>
    <x v="8"/>
    <s v="Q3"/>
    <s v="Lip Gloss Set"/>
    <s v="Cosmetics"/>
    <x v="0"/>
    <s v="Kolkata"/>
    <s v="Online"/>
    <s v="Online"/>
    <s v="Rohit Das"/>
    <n v="1053.71"/>
    <n v="23"/>
    <n v="24235.33"/>
    <n v="5.5"/>
    <n v="22902.39"/>
    <n v="66.099999999999994"/>
    <n v="15138.48"/>
    <s v="Fulfilled"/>
  </r>
  <r>
    <s v="ORD-2026-0849"/>
    <s v="2026-06-28"/>
    <x v="10"/>
    <s v="Q2"/>
    <s v="Skipping Rope"/>
    <s v="Sports"/>
    <x v="3"/>
    <s v="Ahmedabad"/>
    <s v="Enterprise"/>
    <s v="Partner"/>
    <s v="Deepak Rao"/>
    <n v="5345.82"/>
    <n v="1"/>
    <n v="5345.82"/>
    <n v="22.8"/>
    <n v="4126.97"/>
    <n v="36.5"/>
    <n v="1506.34"/>
    <s v="Pending"/>
  </r>
  <r>
    <s v="ORD-2026-0850"/>
    <s v="2026-11-12"/>
    <x v="0"/>
    <s v="Q4"/>
    <s v="Nut Mix 500g"/>
    <s v="Food"/>
    <x v="2"/>
    <s v="Raipur"/>
    <s v="Online"/>
    <s v="Partner"/>
    <s v="Aisha Khan"/>
    <n v="1152.74"/>
    <n v="2"/>
    <n v="2305.48"/>
    <n v="8"/>
    <n v="2121.04"/>
    <n v="34.4"/>
    <n v="729.64"/>
    <s v="Pending"/>
  </r>
  <r>
    <s v="ORD-2026-0851"/>
    <s v="2026-12-04"/>
    <x v="1"/>
    <s v="Q4"/>
    <s v="Tablet Ultra"/>
    <s v="Electronics"/>
    <x v="1"/>
    <s v="Kochi"/>
    <s v="Retail"/>
    <s v="Direct"/>
    <s v="Deepak Rao"/>
    <n v="43417.77"/>
    <n v="14"/>
    <n v="607848.78"/>
    <n v="23.3"/>
    <n v="466220.01"/>
    <n v="29.2"/>
    <n v="136136.24"/>
    <s v="Fulfilled"/>
  </r>
  <r>
    <s v="ORD-2026-0852"/>
    <s v="2026-09-12"/>
    <x v="3"/>
    <s v="Q3"/>
    <s v="Study Table"/>
    <s v="Furniture"/>
    <x v="0"/>
    <s v="Patna"/>
    <s v="Wholesale"/>
    <s v="B2B"/>
    <s v="Rohit Das"/>
    <n v="40708.32"/>
    <n v="14"/>
    <n v="569916.48"/>
    <n v="15"/>
    <n v="484429.01"/>
    <n v="35"/>
    <n v="169550.15"/>
    <s v="Pending"/>
  </r>
  <r>
    <s v="ORD-2026-0853"/>
    <s v="2026-04-07"/>
    <x v="4"/>
    <s v="Q2"/>
    <s v="Running Shoes"/>
    <s v="Apparel"/>
    <x v="0"/>
    <s v="Guwahati"/>
    <s v="Wholesale"/>
    <s v="Online"/>
    <s v="Amit Joshi"/>
    <n v="3490.18"/>
    <n v="15"/>
    <n v="52352.7"/>
    <n v="15.8"/>
    <n v="44080.97"/>
    <n v="41"/>
    <n v="18073.2"/>
    <s v="Fulfilled"/>
  </r>
  <r>
    <s v="ORD-2026-0854"/>
    <s v="2026-12-09"/>
    <x v="1"/>
    <s v="Q4"/>
    <s v="Lip Gloss Set"/>
    <s v="Cosmetics"/>
    <x v="3"/>
    <s v="Mumbai"/>
    <s v="Online"/>
    <s v="Partner"/>
    <s v="Deepak Rao"/>
    <n v="3036.68"/>
    <n v="8"/>
    <n v="24293.439999999999"/>
    <n v="10.3"/>
    <n v="21791.22"/>
    <n v="50"/>
    <n v="10895.61"/>
    <s v="Cancelled"/>
  </r>
  <r>
    <s v="ORD-2026-0855"/>
    <s v="2026-03-22"/>
    <x v="9"/>
    <s v="Q1"/>
    <s v="Cycling Helmet"/>
    <s v="Sports"/>
    <x v="1"/>
    <s v="Chennai"/>
    <s v="Wholesale"/>
    <s v="Online"/>
    <s v="Rohit Das"/>
    <n v="5426.71"/>
    <n v="18"/>
    <n v="97680.78"/>
    <n v="0.1"/>
    <n v="97583.1"/>
    <n v="28.9"/>
    <n v="28201.52"/>
    <s v="Fulfilled"/>
  </r>
  <r>
    <s v="ORD-2026-0856"/>
    <s v="2026-05-20"/>
    <x v="11"/>
    <s v="Q2"/>
    <s v="Foundation Kit"/>
    <s v="Cosmetics"/>
    <x v="0"/>
    <s v="Guwahati"/>
    <s v="Wholesale"/>
    <s v="Partner"/>
    <s v="Rahul Mehta"/>
    <n v="1509.94"/>
    <n v="19"/>
    <n v="28688.86"/>
    <n v="2.7"/>
    <n v="27914.26"/>
    <n v="58.1"/>
    <n v="16218.19"/>
    <s v="Fulfilled"/>
  </r>
  <r>
    <s v="ORD-2026-0857"/>
    <s v="2026-09-23"/>
    <x v="3"/>
    <s v="Q3"/>
    <s v="Bed Frame Queen"/>
    <s v="Furniture"/>
    <x v="1"/>
    <s v="Hyderabad"/>
    <s v="Wholesale"/>
    <s v="Online"/>
    <s v="Sunita Lal"/>
    <n v="19798.2"/>
    <n v="7"/>
    <n v="138587.4"/>
    <n v="15.7"/>
    <n v="116829.18"/>
    <n v="49.6"/>
    <n v="57947.27"/>
    <s v="Pending"/>
  </r>
  <r>
    <s v="ORD-2026-0858"/>
    <s v="2026-08-05"/>
    <x v="8"/>
    <s v="Q3"/>
    <s v="Hair Oil 200ml"/>
    <s v="Cosmetics"/>
    <x v="3"/>
    <s v="Surat"/>
    <s v="SMB"/>
    <s v="Direct"/>
    <s v="Rahul Mehta"/>
    <n v="1873.48"/>
    <n v="12"/>
    <n v="22481.759999999998"/>
    <n v="5.2"/>
    <n v="21312.71"/>
    <n v="52.7"/>
    <n v="11231.8"/>
    <s v="Fulfilled"/>
  </r>
  <r>
    <s v="ORD-2026-0859"/>
    <s v="2026-11-16"/>
    <x v="0"/>
    <s v="Q4"/>
    <s v="Quinoa 1kg"/>
    <s v="Food"/>
    <x v="3"/>
    <s v="Pune"/>
    <s v="SMB"/>
    <s v="Online"/>
    <s v="Kavya Bhat"/>
    <n v="384.84"/>
    <n v="20"/>
    <n v="7696.8"/>
    <n v="14.9"/>
    <n v="6549.98"/>
    <n v="29.3"/>
    <n v="1919.14"/>
    <s v="Fulfilled"/>
  </r>
  <r>
    <s v="ORD-2026-0860"/>
    <s v="2026-12-03"/>
    <x v="1"/>
    <s v="Q4"/>
    <s v="DSLR Camera"/>
    <s v="Electronics"/>
    <x v="3"/>
    <s v="Ahmedabad"/>
    <s v="Wholesale"/>
    <s v="B2B"/>
    <s v="Priya Sharma"/>
    <n v="68651"/>
    <n v="20"/>
    <n v="1373020"/>
    <n v="10.9"/>
    <n v="1223360.82"/>
    <n v="17.5"/>
    <n v="214088.14"/>
    <s v="Pending"/>
  </r>
  <r>
    <s v="ORD-2026-0861"/>
    <s v="2026-11-11"/>
    <x v="0"/>
    <s v="Q4"/>
    <s v="DSLR Camera"/>
    <s v="Electronics"/>
    <x v="1"/>
    <s v="Kochi"/>
    <s v="SMB"/>
    <s v="Online"/>
    <s v="Sunita Lal"/>
    <n v="14731.21"/>
    <n v="8"/>
    <n v="117849.68"/>
    <n v="9.8000000000000007"/>
    <n v="106300.41"/>
    <n v="27"/>
    <n v="28701.11"/>
    <s v="Fulfilled"/>
  </r>
  <r>
    <s v="ORD-2026-0862"/>
    <s v="2026-10-08"/>
    <x v="2"/>
    <s v="Q4"/>
    <s v="Laptop Pro X1"/>
    <s v="Electronics"/>
    <x v="4"/>
    <s v="Chandigarh"/>
    <s v="Wholesale"/>
    <s v="Direct"/>
    <s v="Sunita Lal"/>
    <n v="28291.07"/>
    <n v="5"/>
    <n v="141455.35"/>
    <n v="21.3"/>
    <n v="111325.36"/>
    <n v="27.1"/>
    <n v="30169.17"/>
    <s v="Fulfilled"/>
  </r>
  <r>
    <s v="ORD-2026-0863"/>
    <s v="2026-07-24"/>
    <x v="5"/>
    <s v="Q3"/>
    <s v="Formal Shirt"/>
    <s v="Apparel"/>
    <x v="3"/>
    <s v="Mumbai"/>
    <s v="SMB"/>
    <s v="Online"/>
    <s v="Neha Patel"/>
    <n v="3371.65"/>
    <n v="2"/>
    <n v="6743.3"/>
    <n v="16.7"/>
    <n v="5617.17"/>
    <n v="38.6"/>
    <n v="2168.23"/>
    <s v="Fulfilled"/>
  </r>
  <r>
    <s v="ORD-2026-0864"/>
    <s v="2026-04-21"/>
    <x v="4"/>
    <s v="Q2"/>
    <s v="Protein Powder"/>
    <s v="Food"/>
    <x v="0"/>
    <s v="Patna"/>
    <s v="Wholesale"/>
    <s v="Online"/>
    <s v="Kavya Bhat"/>
    <n v="1275.48"/>
    <n v="4"/>
    <n v="5101.92"/>
    <n v="13.4"/>
    <n v="4418.26"/>
    <n v="18.100000000000001"/>
    <n v="799.71"/>
    <s v="Fulfilled"/>
  </r>
  <r>
    <s v="ORD-2026-0865"/>
    <s v="2026-09-18"/>
    <x v="3"/>
    <s v="Q3"/>
    <s v="Body Lotion"/>
    <s v="Cosmetics"/>
    <x v="4"/>
    <s v="Delhi"/>
    <s v="SMB"/>
    <s v="Partner"/>
    <s v="Sunita Lal"/>
    <n v="2010.74"/>
    <n v="19"/>
    <n v="38204.06"/>
    <n v="24"/>
    <n v="29035.09"/>
    <n v="53.4"/>
    <n v="15504.74"/>
    <s v="Fulfilled"/>
  </r>
  <r>
    <s v="ORD-2026-0866"/>
    <s v="2026-09-08"/>
    <x v="3"/>
    <s v="Q3"/>
    <s v="Body Lotion"/>
    <s v="Cosmetics"/>
    <x v="4"/>
    <s v="Lucknow"/>
    <s v="Wholesale"/>
    <s v="Online"/>
    <s v="Rahul Mehta"/>
    <n v="2028.03"/>
    <n v="2"/>
    <n v="4056.06"/>
    <n v="18.7"/>
    <n v="3297.58"/>
    <n v="69.900000000000006"/>
    <n v="2305.0100000000002"/>
    <s v="Fulfilled"/>
  </r>
  <r>
    <s v="ORD-2026-0867"/>
    <s v="2026-12-01"/>
    <x v="1"/>
    <s v="Q4"/>
    <s v="Winter Jacket"/>
    <s v="Apparel"/>
    <x v="3"/>
    <s v="Pune"/>
    <s v="Online"/>
    <s v="Partner"/>
    <s v="Sunita Lal"/>
    <n v="2751.49"/>
    <n v="25"/>
    <n v="68787.25"/>
    <n v="16.100000000000001"/>
    <n v="57712.5"/>
    <n v="51.7"/>
    <n v="29837.360000000001"/>
    <s v="Fulfilled"/>
  </r>
  <r>
    <s v="ORD-2026-0868"/>
    <s v="2026-04-07"/>
    <x v="4"/>
    <s v="Q2"/>
    <s v="Denim Jeans"/>
    <s v="Apparel"/>
    <x v="0"/>
    <s v="Bhubaneswar"/>
    <s v="Online"/>
    <s v="Online"/>
    <s v="Neha Patel"/>
    <n v="2833.66"/>
    <n v="16"/>
    <n v="45338.559999999998"/>
    <n v="5.0999999999999996"/>
    <n v="43026.29"/>
    <n v="58.2"/>
    <n v="25041.3"/>
    <s v="Cancelled"/>
  </r>
  <r>
    <s v="ORD-2026-0869"/>
    <s v="2026-08-07"/>
    <x v="8"/>
    <s v="Q3"/>
    <s v="Sunscreen SPF50"/>
    <s v="Cosmetics"/>
    <x v="0"/>
    <s v="Bhubaneswar"/>
    <s v="Retail"/>
    <s v="Online"/>
    <s v="Deepak Rao"/>
    <n v="2189.9499999999998"/>
    <n v="15"/>
    <n v="32849.25"/>
    <n v="18.399999999999999"/>
    <n v="26804.99"/>
    <n v="63.7"/>
    <n v="17074.78"/>
    <s v="Fulfilled"/>
  </r>
  <r>
    <s v="ORD-2026-0870"/>
    <s v="2026-11-07"/>
    <x v="0"/>
    <s v="Q4"/>
    <s v="Yoga Mat"/>
    <s v="Sports"/>
    <x v="0"/>
    <s v="Kolkata"/>
    <s v="Wholesale"/>
    <s v="Online"/>
    <s v="Amit Joshi"/>
    <n v="369.59"/>
    <n v="9"/>
    <n v="3326.31"/>
    <n v="5"/>
    <n v="3159.99"/>
    <n v="38"/>
    <n v="1200.8"/>
    <s v="Fulfilled"/>
  </r>
  <r>
    <s v="ORD-2026-0871"/>
    <s v="2026-11-28"/>
    <x v="0"/>
    <s v="Q4"/>
    <s v="Body Lotion"/>
    <s v="Cosmetics"/>
    <x v="3"/>
    <s v="Pune"/>
    <s v="Online"/>
    <s v="Online"/>
    <s v="Priya Sharma"/>
    <n v="1818.23"/>
    <n v="2"/>
    <n v="3636.46"/>
    <n v="18.8"/>
    <n v="2952.81"/>
    <n v="59.8"/>
    <n v="1765.78"/>
    <s v="Pending"/>
  </r>
  <r>
    <s v="ORD-2026-0872"/>
    <s v="2026-09-26"/>
    <x v="3"/>
    <s v="Q3"/>
    <s v="Coffee Table"/>
    <s v="Furniture"/>
    <x v="2"/>
    <s v="Nagpur"/>
    <s v="Enterprise"/>
    <s v="Direct"/>
    <s v="Neha Patel"/>
    <n v="33589.730000000003"/>
    <n v="13"/>
    <n v="436666.49"/>
    <n v="12.7"/>
    <n v="381209.85"/>
    <n v="40.299999999999997"/>
    <n v="153627.57"/>
    <s v="Cancelled"/>
  </r>
  <r>
    <s v="ORD-2026-0873"/>
    <s v="2026-09-14"/>
    <x v="3"/>
    <s v="Q3"/>
    <s v="Resistance Bands"/>
    <s v="Sports"/>
    <x v="4"/>
    <s v="Delhi"/>
    <s v="Enterprise"/>
    <s v="Direct"/>
    <s v="Rahul Mehta"/>
    <n v="7873.81"/>
    <n v="19"/>
    <n v="149602.39000000001"/>
    <n v="5.9"/>
    <n v="140775.85"/>
    <n v="24.6"/>
    <n v="34630.86"/>
    <s v="Fulfilled"/>
  </r>
  <r>
    <s v="ORD-2026-0874"/>
    <s v="2026-11-19"/>
    <x v="0"/>
    <s v="Q4"/>
    <s v="Running Shoes"/>
    <s v="Apparel"/>
    <x v="3"/>
    <s v="Ahmedabad"/>
    <s v="Online"/>
    <s v="B2B"/>
    <s v="Rahul Mehta"/>
    <n v="3544.59"/>
    <n v="19"/>
    <n v="67347.210000000006"/>
    <n v="14.9"/>
    <n v="57312.480000000003"/>
    <n v="57.4"/>
    <n v="32897.360000000001"/>
    <s v="Fulfilled"/>
  </r>
  <r>
    <s v="ORD-2026-0875"/>
    <s v="2026-12-16"/>
    <x v="1"/>
    <s v="Q4"/>
    <s v="Green Tea Pack"/>
    <s v="Food"/>
    <x v="2"/>
    <s v="Bhopal"/>
    <s v="Wholesale"/>
    <s v="Online"/>
    <s v="Priya Sharma"/>
    <n v="158.76"/>
    <n v="24"/>
    <n v="3810.24"/>
    <n v="22.1"/>
    <n v="2968.18"/>
    <n v="21.3"/>
    <n v="632.22"/>
    <s v="Fulfilled"/>
  </r>
  <r>
    <s v="ORD-2026-0876"/>
    <s v="2026-02-05"/>
    <x v="6"/>
    <s v="Q1"/>
    <s v="Resistance Bands"/>
    <s v="Sports"/>
    <x v="1"/>
    <s v="Kochi"/>
    <s v="Retail"/>
    <s v="Partner"/>
    <s v="Aisha Khan"/>
    <n v="1084.02"/>
    <n v="12"/>
    <n v="13008.24"/>
    <n v="14.1"/>
    <n v="11174.08"/>
    <n v="37.1"/>
    <n v="4145.58"/>
    <s v="Fulfilled"/>
  </r>
  <r>
    <s v="ORD-2026-0877"/>
    <s v="2026-03-16"/>
    <x v="9"/>
    <s v="Q1"/>
    <s v="Organic Honey"/>
    <s v="Food"/>
    <x v="4"/>
    <s v="Jaipur"/>
    <s v="Retail"/>
    <s v="B2B"/>
    <s v="Vikram Tiwari"/>
    <n v="209.86"/>
    <n v="9"/>
    <n v="1888.74"/>
    <n v="1.8"/>
    <n v="1854.74"/>
    <n v="25"/>
    <n v="463.69"/>
    <s v="Fulfilled"/>
  </r>
  <r>
    <s v="ORD-2026-0878"/>
    <s v="2026-12-23"/>
    <x v="1"/>
    <s v="Q4"/>
    <s v="Yoga Mat"/>
    <s v="Sports"/>
    <x v="0"/>
    <s v="Guwahati"/>
    <s v="SMB"/>
    <s v="Partner"/>
    <s v="Aisha Khan"/>
    <n v="6191.51"/>
    <n v="10"/>
    <n v="61915.1"/>
    <n v="15.6"/>
    <n v="52256.34"/>
    <n v="39.700000000000003"/>
    <n v="20745.77"/>
    <s v="Fulfilled"/>
  </r>
  <r>
    <s v="ORD-2026-0879"/>
    <s v="2026-03-14"/>
    <x v="9"/>
    <s v="Q1"/>
    <s v="Kurti Set"/>
    <s v="Apparel"/>
    <x v="1"/>
    <s v="Hyderabad"/>
    <s v="SMB"/>
    <s v="B2B"/>
    <s v="Rahul Mehta"/>
    <n v="3571.71"/>
    <n v="20"/>
    <n v="71434.2"/>
    <n v="1.6"/>
    <n v="70291.25"/>
    <n v="51.1"/>
    <n v="35918.83"/>
    <s v="Fulfilled"/>
  </r>
  <r>
    <s v="ORD-2026-0880"/>
    <s v="2026-08-30"/>
    <x v="8"/>
    <s v="Q3"/>
    <s v="Laptop Pro X1"/>
    <s v="Electronics"/>
    <x v="1"/>
    <s v="Chennai"/>
    <s v="Retail"/>
    <s v="Direct"/>
    <s v="Amit Joshi"/>
    <n v="33441.49"/>
    <n v="3"/>
    <n v="100324.47"/>
    <n v="15.5"/>
    <n v="84774.18"/>
    <n v="30.5"/>
    <n v="25856.12"/>
    <s v="Fulfilled"/>
  </r>
  <r>
    <s v="ORD-2026-0881"/>
    <s v="2026-03-20"/>
    <x v="9"/>
    <s v="Q1"/>
    <s v="Skipping Rope"/>
    <s v="Sports"/>
    <x v="3"/>
    <s v="Surat"/>
    <s v="Online"/>
    <s v="Partner"/>
    <s v="Amit Joshi"/>
    <n v="1537.61"/>
    <n v="18"/>
    <n v="27676.98"/>
    <n v="16.600000000000001"/>
    <n v="23082.6"/>
    <n v="44"/>
    <n v="10156.34"/>
    <s v="Fulfilled"/>
  </r>
  <r>
    <s v="ORD-2026-0882"/>
    <s v="2026-10-21"/>
    <x v="2"/>
    <s v="Q4"/>
    <s v="Smart TV 55&quot;"/>
    <s v="Electronics"/>
    <x v="1"/>
    <s v="Chennai"/>
    <s v="Enterprise"/>
    <s v="Partner"/>
    <s v="Sunita Lal"/>
    <n v="56616.95"/>
    <n v="9"/>
    <n v="509552.55"/>
    <n v="3.4"/>
    <n v="492227.76"/>
    <n v="28.9"/>
    <n v="142253.82"/>
    <s v="Fulfilled"/>
  </r>
  <r>
    <s v="ORD-2026-0883"/>
    <s v="2026-07-21"/>
    <x v="5"/>
    <s v="Q3"/>
    <s v="Resistance Bands"/>
    <s v="Sports"/>
    <x v="1"/>
    <s v="Chennai"/>
    <s v="Retail"/>
    <s v="Direct"/>
    <s v="Rohit Das"/>
    <n v="2209.27"/>
    <n v="19"/>
    <n v="41976.13"/>
    <n v="0"/>
    <n v="41976.13"/>
    <n v="30.2"/>
    <n v="12676.79"/>
    <s v="Pending"/>
  </r>
  <r>
    <s v="ORD-2026-0884"/>
    <s v="2026-04-03"/>
    <x v="4"/>
    <s v="Q2"/>
    <s v="Running Shoes"/>
    <s v="Apparel"/>
    <x v="3"/>
    <s v="Pune"/>
    <s v="SMB"/>
    <s v="Online"/>
    <s v="Priya Sharma"/>
    <n v="3586.92"/>
    <n v="6"/>
    <n v="21521.52"/>
    <n v="3"/>
    <n v="20875.87"/>
    <n v="55"/>
    <n v="11481.73"/>
    <s v="Fulfilled"/>
  </r>
  <r>
    <s v="ORD-2026-0885"/>
    <s v="2026-05-12"/>
    <x v="11"/>
    <s v="Q2"/>
    <s v="Cycling Helmet"/>
    <s v="Sports"/>
    <x v="3"/>
    <s v="Mumbai"/>
    <s v="SMB"/>
    <s v="Online"/>
    <s v="Neha Patel"/>
    <n v="5278.62"/>
    <n v="20"/>
    <n v="105572.4"/>
    <n v="15.5"/>
    <n v="89208.68"/>
    <n v="43.4"/>
    <n v="38716.57"/>
    <s v="Fulfilled"/>
  </r>
  <r>
    <s v="ORD-2026-0886"/>
    <s v="2026-11-28"/>
    <x v="0"/>
    <s v="Q4"/>
    <s v="Skipping Rope"/>
    <s v="Sports"/>
    <x v="3"/>
    <s v="Ahmedabad"/>
    <s v="Online"/>
    <s v="Online"/>
    <s v="Kavya Bhat"/>
    <n v="1065.72"/>
    <n v="22"/>
    <n v="23445.84"/>
    <n v="1.7"/>
    <n v="23047.26"/>
    <n v="34.299999999999997"/>
    <n v="7905.21"/>
    <s v="Pending"/>
  </r>
  <r>
    <s v="ORD-2026-0887"/>
    <s v="2026-09-22"/>
    <x v="3"/>
    <s v="Q3"/>
    <s v="Wardrobe 3-door"/>
    <s v="Furniture"/>
    <x v="3"/>
    <s v="Ahmedabad"/>
    <s v="Wholesale"/>
    <s v="Partner"/>
    <s v="Neha Patel"/>
    <n v="10971.56"/>
    <n v="15"/>
    <n v="164573.4"/>
    <n v="9.8000000000000007"/>
    <n v="148445.21"/>
    <n v="41.9"/>
    <n v="62198.54"/>
    <s v="Pending"/>
  </r>
  <r>
    <s v="ORD-2026-0888"/>
    <s v="2026-06-27"/>
    <x v="10"/>
    <s v="Q2"/>
    <s v="Muesli Box"/>
    <s v="Food"/>
    <x v="0"/>
    <s v="Bhubaneswar"/>
    <s v="Online"/>
    <s v="Partner"/>
    <s v="Rohit Das"/>
    <n v="704.61"/>
    <n v="12"/>
    <n v="8455.32"/>
    <n v="1.7"/>
    <n v="8311.58"/>
    <n v="34.200000000000003"/>
    <n v="2842.56"/>
    <s v="Fulfilled"/>
  </r>
  <r>
    <s v="ORD-2026-0889"/>
    <s v="2026-09-25"/>
    <x v="3"/>
    <s v="Q3"/>
    <s v="Eye Shadow Palette"/>
    <s v="Cosmetics"/>
    <x v="2"/>
    <s v="Raipur"/>
    <s v="Wholesale"/>
    <s v="Online"/>
    <s v="Sunita Lal"/>
    <n v="508.54"/>
    <n v="7"/>
    <n v="3559.78"/>
    <n v="19.600000000000001"/>
    <n v="2862.06"/>
    <n v="56.1"/>
    <n v="1605.62"/>
    <s v="Cancelled"/>
  </r>
  <r>
    <s v="ORD-2026-0890"/>
    <s v="2026-10-06"/>
    <x v="2"/>
    <s v="Q4"/>
    <s v="Protein Powder"/>
    <s v="Food"/>
    <x v="3"/>
    <s v="Pune"/>
    <s v="Enterprise"/>
    <s v="B2B"/>
    <s v="Aisha Khan"/>
    <n v="1135.54"/>
    <n v="16"/>
    <n v="18168.64"/>
    <n v="6.4"/>
    <n v="17005.849999999999"/>
    <n v="41.4"/>
    <n v="7040.42"/>
    <s v="Fulfilled"/>
  </r>
  <r>
    <s v="ORD-2026-0891"/>
    <s v="2026-06-24"/>
    <x v="10"/>
    <s v="Q2"/>
    <s v="Body Lotion"/>
    <s v="Cosmetics"/>
    <x v="1"/>
    <s v="Hyderabad"/>
    <s v="Wholesale"/>
    <s v="Online"/>
    <s v="Sunita Lal"/>
    <n v="1849.52"/>
    <n v="19"/>
    <n v="35140.879999999997"/>
    <n v="12.4"/>
    <n v="30783.41"/>
    <n v="58"/>
    <n v="17854.38"/>
    <s v="Fulfilled"/>
  </r>
  <r>
    <s v="ORD-2026-0892"/>
    <s v="2026-08-04"/>
    <x v="8"/>
    <s v="Q3"/>
    <s v="Olive Oil 1L"/>
    <s v="Food"/>
    <x v="1"/>
    <s v="Hyderabad"/>
    <s v="Enterprise"/>
    <s v="B2B"/>
    <s v="Rahul Mehta"/>
    <n v="992.05"/>
    <n v="11"/>
    <n v="10912.55"/>
    <n v="10.8"/>
    <n v="9733.99"/>
    <n v="34.9"/>
    <n v="3397.16"/>
    <s v="Fulfilled"/>
  </r>
  <r>
    <s v="ORD-2026-0893"/>
    <s v="2026-07-10"/>
    <x v="5"/>
    <s v="Q3"/>
    <s v="Body Lotion"/>
    <s v="Cosmetics"/>
    <x v="1"/>
    <s v="Chennai"/>
    <s v="Online"/>
    <s v="Direct"/>
    <s v="Neha Patel"/>
    <n v="2474.87"/>
    <n v="2"/>
    <n v="4949.74"/>
    <n v="13.9"/>
    <n v="4261.7299999999996"/>
    <n v="52.1"/>
    <n v="2220.36"/>
    <s v="Fulfilled"/>
  </r>
  <r>
    <s v="ORD-2026-0894"/>
    <s v="2026-05-18"/>
    <x v="11"/>
    <s v="Q2"/>
    <s v="Nut Mix 500g"/>
    <s v="Food"/>
    <x v="0"/>
    <s v="Bhubaneswar"/>
    <s v="Retail"/>
    <s v="Direct"/>
    <s v="Vikram Tiwari"/>
    <n v="1098.2"/>
    <n v="3"/>
    <n v="3294.6"/>
    <n v="21.2"/>
    <n v="2596.14"/>
    <n v="21.8"/>
    <n v="565.96"/>
    <s v="Fulfilled"/>
  </r>
  <r>
    <s v="ORD-2026-0895"/>
    <s v="2026-06-02"/>
    <x v="10"/>
    <s v="Q2"/>
    <s v="Office Chair"/>
    <s v="Furniture"/>
    <x v="4"/>
    <s v="Jaipur"/>
    <s v="Retail"/>
    <s v="Online"/>
    <s v="Vikram Tiwari"/>
    <n v="31541.55"/>
    <n v="5"/>
    <n v="157707.75"/>
    <n v="16.2"/>
    <n v="132159.09"/>
    <n v="34.299999999999997"/>
    <n v="45330.57"/>
    <s v="Fulfilled"/>
  </r>
  <r>
    <s v="ORD-2026-0896"/>
    <s v="2026-09-26"/>
    <x v="3"/>
    <s v="Q3"/>
    <s v="Sofa 3-seater"/>
    <s v="Furniture"/>
    <x v="2"/>
    <s v="Indore"/>
    <s v="Online"/>
    <s v="Online"/>
    <s v="Aisha Khan"/>
    <n v="42413.68"/>
    <n v="22"/>
    <n v="933100.96"/>
    <n v="6.4"/>
    <n v="873382.5"/>
    <n v="36.4"/>
    <n v="317911.23"/>
    <s v="Fulfilled"/>
  </r>
  <r>
    <s v="ORD-2026-0897"/>
    <s v="2026-03-23"/>
    <x v="9"/>
    <s v="Q1"/>
    <s v="Muesli Box"/>
    <s v="Food"/>
    <x v="1"/>
    <s v="Bengaluru"/>
    <s v="Online"/>
    <s v="B2B"/>
    <s v="Rohit Das"/>
    <n v="1084.4100000000001"/>
    <n v="20"/>
    <n v="21688.2"/>
    <n v="20.5"/>
    <n v="17242.12"/>
    <n v="34.4"/>
    <n v="5931.29"/>
    <s v="Pending"/>
  </r>
  <r>
    <s v="ORD-2026-0898"/>
    <s v="2026-11-27"/>
    <x v="0"/>
    <s v="Q4"/>
    <s v="Protein Powder"/>
    <s v="Food"/>
    <x v="1"/>
    <s v="Chennai"/>
    <s v="Retail"/>
    <s v="Online"/>
    <s v="Aisha Khan"/>
    <n v="1106.3"/>
    <n v="25"/>
    <n v="27657.5"/>
    <n v="13.6"/>
    <n v="23896.080000000002"/>
    <n v="35"/>
    <n v="8363.6299999999992"/>
    <s v="Pending"/>
  </r>
  <r>
    <s v="ORD-2026-0899"/>
    <s v="2026-04-12"/>
    <x v="4"/>
    <s v="Q2"/>
    <s v="Body Lotion"/>
    <s v="Cosmetics"/>
    <x v="3"/>
    <s v="Pune"/>
    <s v="Online"/>
    <s v="Direct"/>
    <s v="Priya Sharma"/>
    <n v="1301.46"/>
    <n v="2"/>
    <n v="2602.92"/>
    <n v="12"/>
    <n v="2290.5700000000002"/>
    <n v="52.8"/>
    <n v="1209.42"/>
    <s v="Fulfilled"/>
  </r>
  <r>
    <s v="ORD-2026-0900"/>
    <s v="2026-03-12"/>
    <x v="9"/>
    <s v="Q1"/>
    <s v="Kurti Set"/>
    <s v="Apparel"/>
    <x v="4"/>
    <s v="Delhi"/>
    <s v="Enterprise"/>
    <s v="Online"/>
    <s v="Rahul Mehta"/>
    <n v="2016.96"/>
    <n v="8"/>
    <n v="16135.68"/>
    <n v="3.8"/>
    <n v="15522.52"/>
    <n v="47.7"/>
    <n v="7404.24"/>
    <s v="Fulfilled"/>
  </r>
  <r>
    <s v="ORD-2026-0901"/>
    <s v="2026-10-28"/>
    <x v="2"/>
    <s v="Q4"/>
    <s v="Sofa 3-seater"/>
    <s v="Furniture"/>
    <x v="1"/>
    <s v="Bengaluru"/>
    <s v="Online"/>
    <s v="Online"/>
    <s v="Vikram Tiwari"/>
    <n v="13116.56"/>
    <n v="14"/>
    <n v="183631.84"/>
    <n v="6.6"/>
    <n v="171512.14"/>
    <n v="36.5"/>
    <n v="62601.93"/>
    <s v="Fulfilled"/>
  </r>
  <r>
    <s v="ORD-2026-0902"/>
    <s v="2026-06-20"/>
    <x v="10"/>
    <s v="Q2"/>
    <s v="Denim Jeans"/>
    <s v="Apparel"/>
    <x v="3"/>
    <s v="Pune"/>
    <s v="Wholesale"/>
    <s v="B2B"/>
    <s v="Vikram Tiwari"/>
    <n v="2073.2600000000002"/>
    <n v="10"/>
    <n v="20732.599999999999"/>
    <n v="12.1"/>
    <n v="18223.96"/>
    <n v="61.3"/>
    <n v="11171.29"/>
    <s v="Pending"/>
  </r>
  <r>
    <s v="ORD-2026-0903"/>
    <s v="2026-02-23"/>
    <x v="6"/>
    <s v="Q1"/>
    <s v="Face Serum"/>
    <s v="Cosmetics"/>
    <x v="0"/>
    <s v="Bhubaneswar"/>
    <s v="SMB"/>
    <s v="B2B"/>
    <s v="Kavya Bhat"/>
    <n v="3431.72"/>
    <n v="16"/>
    <n v="54907.519999999997"/>
    <n v="3.8"/>
    <n v="52821.03"/>
    <n v="64.8"/>
    <n v="34228.03"/>
    <s v="Cancelled"/>
  </r>
  <r>
    <s v="ORD-2026-0904"/>
    <s v="2026-09-09"/>
    <x v="3"/>
    <s v="Q3"/>
    <s v="Kurti Set"/>
    <s v="Apparel"/>
    <x v="4"/>
    <s v="Lucknow"/>
    <s v="Retail"/>
    <s v="Direct"/>
    <s v="Rohit Das"/>
    <n v="1205.4000000000001"/>
    <n v="9"/>
    <n v="10848.6"/>
    <n v="19.8"/>
    <n v="8700.58"/>
    <n v="48.1"/>
    <n v="4184.9799999999996"/>
    <s v="Fulfilled"/>
  </r>
  <r>
    <s v="ORD-2026-0905"/>
    <s v="2026-06-01"/>
    <x v="10"/>
    <s v="Q2"/>
    <s v="Smart TV 55&quot;"/>
    <s v="Electronics"/>
    <x v="0"/>
    <s v="Patna"/>
    <s v="Online"/>
    <s v="B2B"/>
    <s v="Neha Patel"/>
    <n v="76465.95"/>
    <n v="2"/>
    <n v="152931.9"/>
    <n v="6"/>
    <n v="143755.99"/>
    <n v="17.3"/>
    <n v="24869.79"/>
    <s v="Fulfilled"/>
  </r>
  <r>
    <s v="ORD-2026-0906"/>
    <s v="2026-01-22"/>
    <x v="7"/>
    <s v="Q1"/>
    <s v="Bed Frame Queen"/>
    <s v="Furniture"/>
    <x v="2"/>
    <s v="Raipur"/>
    <s v="Retail"/>
    <s v="B2B"/>
    <s v="Amit Joshi"/>
    <n v="42063.94"/>
    <n v="12"/>
    <n v="504767.28"/>
    <n v="7.1"/>
    <n v="468928.8"/>
    <n v="46"/>
    <n v="215707.25"/>
    <s v="Fulfilled"/>
  </r>
  <r>
    <s v="ORD-2026-0907"/>
    <s v="2026-12-22"/>
    <x v="1"/>
    <s v="Q4"/>
    <s v="Organic Honey"/>
    <s v="Food"/>
    <x v="4"/>
    <s v="Chandigarh"/>
    <s v="Online"/>
    <s v="Direct"/>
    <s v="Rohit Das"/>
    <n v="1136.29"/>
    <n v="14"/>
    <n v="15908.06"/>
    <n v="17.2"/>
    <n v="13171.87"/>
    <n v="29.9"/>
    <n v="3938.39"/>
    <s v="Pending"/>
  </r>
  <r>
    <s v="ORD-2026-0908"/>
    <s v="2026-03-22"/>
    <x v="9"/>
    <s v="Q1"/>
    <s v="Lip Gloss Set"/>
    <s v="Cosmetics"/>
    <x v="2"/>
    <s v="Indore"/>
    <s v="Wholesale"/>
    <s v="Partner"/>
    <s v="Neha Patel"/>
    <n v="956.26"/>
    <n v="15"/>
    <n v="14343.9"/>
    <n v="19.899999999999999"/>
    <n v="11489.46"/>
    <n v="63.6"/>
    <n v="7307.3"/>
    <s v="Fulfilled"/>
  </r>
  <r>
    <s v="ORD-2026-0909"/>
    <s v="2026-02-22"/>
    <x v="6"/>
    <s v="Q1"/>
    <s v="Sports Shorts"/>
    <s v="Apparel"/>
    <x v="3"/>
    <s v="Surat"/>
    <s v="Retail"/>
    <s v="B2B"/>
    <s v="Rohit Das"/>
    <n v="2111.7800000000002"/>
    <n v="6"/>
    <n v="12670.68"/>
    <n v="21.2"/>
    <n v="9984.5"/>
    <n v="41.1"/>
    <n v="4103.63"/>
    <s v="Fulfilled"/>
  </r>
  <r>
    <s v="ORD-2026-0910"/>
    <s v="2026-02-27"/>
    <x v="6"/>
    <s v="Q1"/>
    <s v="Green Tea Pack"/>
    <s v="Food"/>
    <x v="3"/>
    <s v="Ahmedabad"/>
    <s v="Enterprise"/>
    <s v="Online"/>
    <s v="Deepak Rao"/>
    <n v="538.94000000000005"/>
    <n v="11"/>
    <n v="5928.34"/>
    <n v="21.8"/>
    <n v="4635.96"/>
    <n v="25.7"/>
    <n v="1191.44"/>
    <s v="Fulfilled"/>
  </r>
  <r>
    <s v="ORD-2026-0911"/>
    <s v="2026-04-04"/>
    <x v="4"/>
    <s v="Q2"/>
    <s v="Skipping Rope"/>
    <s v="Sports"/>
    <x v="0"/>
    <s v="Bhubaneswar"/>
    <s v="Wholesale"/>
    <s v="Direct"/>
    <s v="Kavya Bhat"/>
    <n v="4466.37"/>
    <n v="25"/>
    <n v="111659.25"/>
    <n v="5"/>
    <n v="106076.29"/>
    <n v="26.6"/>
    <n v="28216.29"/>
    <s v="Fulfilled"/>
  </r>
  <r>
    <s v="ORD-2026-0912"/>
    <s v="2026-11-21"/>
    <x v="0"/>
    <s v="Q4"/>
    <s v="Quinoa 1kg"/>
    <s v="Food"/>
    <x v="1"/>
    <s v="Hyderabad"/>
    <s v="SMB"/>
    <s v="Direct"/>
    <s v="Deepak Rao"/>
    <n v="1311.9"/>
    <n v="4"/>
    <n v="5247.6"/>
    <n v="8.8000000000000007"/>
    <n v="4785.8100000000004"/>
    <n v="29.1"/>
    <n v="1392.67"/>
    <s v="Fulfilled"/>
  </r>
  <r>
    <s v="ORD-2026-0913"/>
    <s v="2026-02-08"/>
    <x v="6"/>
    <s v="Q1"/>
    <s v="Lip Gloss Set"/>
    <s v="Cosmetics"/>
    <x v="2"/>
    <s v="Indore"/>
    <s v="Online"/>
    <s v="Direct"/>
    <s v="Vikram Tiwari"/>
    <n v="1192.49"/>
    <n v="7"/>
    <n v="8347.43"/>
    <n v="20.9"/>
    <n v="6602.82"/>
    <n v="52.1"/>
    <n v="3440.07"/>
    <s v="Fulfilled"/>
  </r>
  <r>
    <s v="ORD-2026-0914"/>
    <s v="2026-03-16"/>
    <x v="9"/>
    <s v="Q1"/>
    <s v="Winter Jacket"/>
    <s v="Apparel"/>
    <x v="2"/>
    <s v="Raipur"/>
    <s v="Wholesale"/>
    <s v="Partner"/>
    <s v="Rohit Das"/>
    <n v="2283.9899999999998"/>
    <n v="8"/>
    <n v="18271.919999999998"/>
    <n v="14.4"/>
    <n v="15640.76"/>
    <n v="52"/>
    <n v="8133.2"/>
    <s v="Pending"/>
  </r>
  <r>
    <s v="ORD-2026-0915"/>
    <s v="2026-10-25"/>
    <x v="2"/>
    <s v="Q4"/>
    <s v="Smart TV 55&quot;"/>
    <s v="Electronics"/>
    <x v="3"/>
    <s v="Pune"/>
    <s v="Wholesale"/>
    <s v="Partner"/>
    <s v="Vikram Tiwari"/>
    <n v="81114.81"/>
    <n v="25"/>
    <n v="2027870.25"/>
    <n v="15.4"/>
    <n v="1715578.23"/>
    <n v="30.9"/>
    <n v="530113.67000000004"/>
    <s v="Pending"/>
  </r>
  <r>
    <s v="ORD-2026-0916"/>
    <s v="2026-04-04"/>
    <x v="4"/>
    <s v="Q2"/>
    <s v="Cotton T-Shirt"/>
    <s v="Apparel"/>
    <x v="0"/>
    <s v="Kolkata"/>
    <s v="Online"/>
    <s v="B2B"/>
    <s v="Amit Joshi"/>
    <n v="2370.2600000000002"/>
    <n v="3"/>
    <n v="7110.78"/>
    <n v="15.9"/>
    <n v="5980.17"/>
    <n v="41.8"/>
    <n v="2499.71"/>
    <s v="Fulfilled"/>
  </r>
  <r>
    <s v="ORD-2026-0917"/>
    <s v="2026-07-08"/>
    <x v="5"/>
    <s v="Q3"/>
    <s v="Hair Oil 200ml"/>
    <s v="Cosmetics"/>
    <x v="1"/>
    <s v="Hyderabad"/>
    <s v="Retail"/>
    <s v="Direct"/>
    <s v="Aisha Khan"/>
    <n v="3013.14"/>
    <n v="8"/>
    <n v="24105.119999999999"/>
    <n v="19.8"/>
    <n v="19332.310000000001"/>
    <n v="58.1"/>
    <n v="11232.07"/>
    <s v="Fulfilled"/>
  </r>
  <r>
    <s v="ORD-2026-0918"/>
    <s v="2026-06-09"/>
    <x v="10"/>
    <s v="Q2"/>
    <s v="Sofa 3-seater"/>
    <s v="Furniture"/>
    <x v="4"/>
    <s v="Lucknow"/>
    <s v="Retail"/>
    <s v="Direct"/>
    <s v="Kavya Bhat"/>
    <n v="29480.400000000001"/>
    <n v="23"/>
    <n v="678049.2"/>
    <n v="17.100000000000001"/>
    <n v="562102.79"/>
    <n v="45.2"/>
    <n v="254070.46"/>
    <s v="Fulfilled"/>
  </r>
  <r>
    <s v="ORD-2026-0919"/>
    <s v="2026-05-19"/>
    <x v="11"/>
    <s v="Q2"/>
    <s v="Lip Gloss Set"/>
    <s v="Cosmetics"/>
    <x v="1"/>
    <s v="Chennai"/>
    <s v="Wholesale"/>
    <s v="B2B"/>
    <s v="Rohit Das"/>
    <n v="448.2"/>
    <n v="10"/>
    <n v="4482"/>
    <n v="3.3"/>
    <n v="4334.09"/>
    <n v="55.1"/>
    <n v="2388.08"/>
    <s v="Cancelled"/>
  </r>
  <r>
    <s v="ORD-2026-0920"/>
    <s v="2026-02-09"/>
    <x v="6"/>
    <s v="Q1"/>
    <s v="Quinoa 1kg"/>
    <s v="Food"/>
    <x v="0"/>
    <s v="Patna"/>
    <s v="Online"/>
    <s v="Online"/>
    <s v="Deepak Rao"/>
    <n v="112.72"/>
    <n v="3"/>
    <n v="338.16"/>
    <n v="16.600000000000001"/>
    <n v="282.02999999999997"/>
    <n v="33.5"/>
    <n v="94.48"/>
    <s v="Cancelled"/>
  </r>
  <r>
    <s v="ORD-2026-0921"/>
    <s v="2026-04-01"/>
    <x v="4"/>
    <s v="Q2"/>
    <s v="Muesli Box"/>
    <s v="Food"/>
    <x v="3"/>
    <s v="Ahmedabad"/>
    <s v="SMB"/>
    <s v="Online"/>
    <s v="Sunita Lal"/>
    <n v="383.68"/>
    <n v="14"/>
    <n v="5371.52"/>
    <n v="17.3"/>
    <n v="4442.25"/>
    <n v="36.4"/>
    <n v="1616.98"/>
    <s v="Fulfilled"/>
  </r>
  <r>
    <s v="ORD-2026-0922"/>
    <s v="2026-12-23"/>
    <x v="1"/>
    <s v="Q4"/>
    <s v="Quinoa 1kg"/>
    <s v="Food"/>
    <x v="4"/>
    <s v="Lucknow"/>
    <s v="Enterprise"/>
    <s v="B2B"/>
    <s v="Rohit Das"/>
    <n v="1028.0999999999999"/>
    <n v="24"/>
    <n v="24674.400000000001"/>
    <n v="11.1"/>
    <n v="21935.54"/>
    <n v="41.6"/>
    <n v="9125.18"/>
    <s v="Fulfilled"/>
  </r>
  <r>
    <s v="ORD-2026-0923"/>
    <s v="2026-07-18"/>
    <x v="5"/>
    <s v="Q3"/>
    <s v="Bed Frame Queen"/>
    <s v="Furniture"/>
    <x v="3"/>
    <s v="Pune"/>
    <s v="Retail"/>
    <s v="Partner"/>
    <s v="Priya Sharma"/>
    <n v="19560.37"/>
    <n v="8"/>
    <n v="156482.96"/>
    <n v="2.6"/>
    <n v="152414.39999999999"/>
    <n v="32.200000000000003"/>
    <n v="49077.440000000002"/>
    <s v="Fulfilled"/>
  </r>
  <r>
    <s v="ORD-2026-0924"/>
    <s v="2026-02-26"/>
    <x v="6"/>
    <s v="Q1"/>
    <s v="Organic Honey"/>
    <s v="Food"/>
    <x v="2"/>
    <s v="Raipur"/>
    <s v="Retail"/>
    <s v="Partner"/>
    <s v="Amit Joshi"/>
    <n v="238.19"/>
    <n v="11"/>
    <n v="2620.09"/>
    <n v="2.1"/>
    <n v="2565.0700000000002"/>
    <n v="32.1"/>
    <n v="823.39"/>
    <s v="Pending"/>
  </r>
  <r>
    <s v="ORD-2026-0925"/>
    <s v="2026-12-01"/>
    <x v="1"/>
    <s v="Q4"/>
    <s v="Wireless Earbuds"/>
    <s v="Electronics"/>
    <x v="0"/>
    <s v="Patna"/>
    <s v="Enterprise"/>
    <s v="B2B"/>
    <s v="Priya Sharma"/>
    <n v="44654.05"/>
    <n v="2"/>
    <n v="89308.1"/>
    <n v="15.9"/>
    <n v="75108.11"/>
    <n v="18.8"/>
    <n v="14120.32"/>
    <s v="Fulfilled"/>
  </r>
  <r>
    <s v="ORD-2026-0926"/>
    <s v="2026-06-22"/>
    <x v="10"/>
    <s v="Q2"/>
    <s v="Bed Frame Queen"/>
    <s v="Furniture"/>
    <x v="2"/>
    <s v="Indore"/>
    <s v="Wholesale"/>
    <s v="Direct"/>
    <s v="Deepak Rao"/>
    <n v="39106.53"/>
    <n v="16"/>
    <n v="625704.48"/>
    <n v="18.5"/>
    <n v="509949.15"/>
    <n v="43.3"/>
    <n v="220807.98"/>
    <s v="Returned"/>
  </r>
  <r>
    <s v="ORD-2026-0927"/>
    <s v="2026-09-18"/>
    <x v="3"/>
    <s v="Q3"/>
    <s v="Sofa 3-seater"/>
    <s v="Furniture"/>
    <x v="1"/>
    <s v="Bengaluru"/>
    <s v="Enterprise"/>
    <s v="Partner"/>
    <s v="Kavya Bhat"/>
    <n v="15346.64"/>
    <n v="2"/>
    <n v="30693.279999999999"/>
    <n v="19.100000000000001"/>
    <n v="24830.86"/>
    <n v="43.8"/>
    <n v="10875.92"/>
    <s v="Fulfilled"/>
  </r>
  <r>
    <s v="ORD-2026-0928"/>
    <s v="2026-08-31"/>
    <x v="8"/>
    <s v="Q3"/>
    <s v="Running Shoes"/>
    <s v="Apparel"/>
    <x v="0"/>
    <s v="Kolkata"/>
    <s v="Wholesale"/>
    <s v="B2B"/>
    <s v="Rahul Mehta"/>
    <n v="2492.09"/>
    <n v="16"/>
    <n v="39873.440000000002"/>
    <n v="23.8"/>
    <n v="30383.56"/>
    <n v="47.4"/>
    <n v="14401.81"/>
    <s v="Fulfilled"/>
  </r>
  <r>
    <s v="ORD-2026-0929"/>
    <s v="2026-11-15"/>
    <x v="0"/>
    <s v="Q4"/>
    <s v="Denim Jeans"/>
    <s v="Apparel"/>
    <x v="2"/>
    <s v="Nagpur"/>
    <s v="Enterprise"/>
    <s v="B2B"/>
    <s v="Neha Patel"/>
    <n v="3689.4"/>
    <n v="19"/>
    <n v="70098.600000000006"/>
    <n v="0.2"/>
    <n v="69958.399999999994"/>
    <n v="49"/>
    <n v="34279.620000000003"/>
    <s v="Fulfilled"/>
  </r>
  <r>
    <s v="ORD-2026-0930"/>
    <s v="2026-07-28"/>
    <x v="5"/>
    <s v="Q3"/>
    <s v="Cotton T-Shirt"/>
    <s v="Apparel"/>
    <x v="2"/>
    <s v="Bhopal"/>
    <s v="Online"/>
    <s v="Online"/>
    <s v="Priya Sharma"/>
    <n v="2569.34"/>
    <n v="9"/>
    <n v="23124.06"/>
    <n v="3.4"/>
    <n v="22337.84"/>
    <n v="51"/>
    <n v="11392.3"/>
    <s v="Fulfilled"/>
  </r>
  <r>
    <s v="ORD-2026-0931"/>
    <s v="2026-03-16"/>
    <x v="9"/>
    <s v="Q1"/>
    <s v="DSLR Camera"/>
    <s v="Electronics"/>
    <x v="2"/>
    <s v="Indore"/>
    <s v="Retail"/>
    <s v="Online"/>
    <s v="Kavya Bhat"/>
    <n v="72339.48"/>
    <n v="21"/>
    <n v="1519129.08"/>
    <n v="19.8"/>
    <n v="1218341.52"/>
    <n v="31"/>
    <n v="377685.87"/>
    <s v="Cancelled"/>
  </r>
  <r>
    <s v="ORD-2026-0932"/>
    <s v="2026-10-24"/>
    <x v="2"/>
    <s v="Q4"/>
    <s v="Winter Jacket"/>
    <s v="Apparel"/>
    <x v="2"/>
    <s v="Raipur"/>
    <s v="Retail"/>
    <s v="B2B"/>
    <s v="Rohit Das"/>
    <n v="1325.79"/>
    <n v="15"/>
    <n v="19886.849999999999"/>
    <n v="24.9"/>
    <n v="14935.02"/>
    <n v="43.2"/>
    <n v="6451.93"/>
    <s v="Fulfilled"/>
  </r>
  <r>
    <s v="ORD-2026-0933"/>
    <s v="2026-12-22"/>
    <x v="1"/>
    <s v="Q4"/>
    <s v="Smart TV 55&quot;"/>
    <s v="Electronics"/>
    <x v="2"/>
    <s v="Nagpur"/>
    <s v="Online"/>
    <s v="B2B"/>
    <s v="Aisha Khan"/>
    <n v="46028.11"/>
    <n v="18"/>
    <n v="828505.98"/>
    <n v="18.899999999999999"/>
    <n v="671918.35"/>
    <n v="12.6"/>
    <n v="84661.71"/>
    <s v="Fulfilled"/>
  </r>
  <r>
    <s v="ORD-2026-0934"/>
    <s v="2026-09-18"/>
    <x v="3"/>
    <s v="Q3"/>
    <s v="Running Shoes"/>
    <s v="Apparel"/>
    <x v="0"/>
    <s v="Kolkata"/>
    <s v="Online"/>
    <s v="Online"/>
    <s v="Priya Sharma"/>
    <n v="1120.56"/>
    <n v="8"/>
    <n v="8964.48"/>
    <n v="11.9"/>
    <n v="7897.71"/>
    <n v="57.6"/>
    <n v="4549.08"/>
    <s v="Fulfilled"/>
  </r>
  <r>
    <s v="ORD-2026-0935"/>
    <s v="2026-08-30"/>
    <x v="8"/>
    <s v="Q3"/>
    <s v="Tablet Ultra"/>
    <s v="Electronics"/>
    <x v="0"/>
    <s v="Kolkata"/>
    <s v="SMB"/>
    <s v="Online"/>
    <s v="Aisha Khan"/>
    <n v="59054.03"/>
    <n v="4"/>
    <n v="236216.12"/>
    <n v="24.8"/>
    <n v="177634.52"/>
    <n v="28"/>
    <n v="49737.67"/>
    <s v="Fulfilled"/>
  </r>
  <r>
    <s v="ORD-2026-0936"/>
    <s v="2026-12-22"/>
    <x v="1"/>
    <s v="Q4"/>
    <s v="Nut Mix 500g"/>
    <s v="Food"/>
    <x v="1"/>
    <s v="Hyderabad"/>
    <s v="Wholesale"/>
    <s v="Online"/>
    <s v="Priya Sharma"/>
    <n v="695.81"/>
    <n v="2"/>
    <n v="1391.62"/>
    <n v="16.7"/>
    <n v="1159.22"/>
    <n v="30"/>
    <n v="347.77"/>
    <s v="Fulfilled"/>
  </r>
  <r>
    <s v="ORD-2026-0937"/>
    <s v="2026-12-19"/>
    <x v="1"/>
    <s v="Q4"/>
    <s v="Football Pro"/>
    <s v="Sports"/>
    <x v="2"/>
    <s v="Raipur"/>
    <s v="Retail"/>
    <s v="B2B"/>
    <s v="Vikram Tiwari"/>
    <n v="1369.21"/>
    <n v="3"/>
    <n v="4107.63"/>
    <n v="12.7"/>
    <n v="3585.96"/>
    <n v="27"/>
    <n v="968.21"/>
    <s v="Fulfilled"/>
  </r>
  <r>
    <s v="ORD-2026-0938"/>
    <s v="2026-09-19"/>
    <x v="3"/>
    <s v="Q3"/>
    <s v="Foundation Kit"/>
    <s v="Cosmetics"/>
    <x v="0"/>
    <s v="Kolkata"/>
    <s v="Online"/>
    <s v="B2B"/>
    <s v="Aisha Khan"/>
    <n v="1776.54"/>
    <n v="22"/>
    <n v="39083.879999999997"/>
    <n v="9"/>
    <n v="35566.33"/>
    <n v="59.6"/>
    <n v="21197.53"/>
    <s v="Fulfilled"/>
  </r>
  <r>
    <s v="ORD-2026-0939"/>
    <s v="2026-03-13"/>
    <x v="9"/>
    <s v="Q1"/>
    <s v="Cotton T-Shirt"/>
    <s v="Apparel"/>
    <x v="1"/>
    <s v="Chennai"/>
    <s v="Wholesale"/>
    <s v="B2B"/>
    <s v="Vikram Tiwari"/>
    <n v="3847.79"/>
    <n v="25"/>
    <n v="96194.75"/>
    <n v="9.9"/>
    <n v="86671.47"/>
    <n v="39.9"/>
    <n v="34581.919999999998"/>
    <s v="Fulfilled"/>
  </r>
  <r>
    <s v="ORD-2026-0940"/>
    <s v="2026-01-03"/>
    <x v="7"/>
    <s v="Q1"/>
    <s v="Protein Powder"/>
    <s v="Food"/>
    <x v="0"/>
    <s v="Bhubaneswar"/>
    <s v="Retail"/>
    <s v="B2B"/>
    <s v="Sunita Lal"/>
    <n v="1496.75"/>
    <n v="5"/>
    <n v="7483.75"/>
    <n v="8.6999999999999993"/>
    <n v="6832.66"/>
    <n v="33"/>
    <n v="2254.7800000000002"/>
    <s v="Cancelled"/>
  </r>
  <r>
    <s v="ORD-2026-0941"/>
    <s v="2026-07-07"/>
    <x v="5"/>
    <s v="Q3"/>
    <s v="Wireless Earbuds"/>
    <s v="Electronics"/>
    <x v="2"/>
    <s v="Indore"/>
    <s v="Wholesale"/>
    <s v="Direct"/>
    <s v="Neha Patel"/>
    <n v="30937.3"/>
    <n v="7"/>
    <n v="216561.1"/>
    <n v="10.3"/>
    <n v="194255.31"/>
    <n v="26.2"/>
    <n v="50894.89"/>
    <s v="Fulfilled"/>
  </r>
  <r>
    <s v="ORD-2026-0942"/>
    <s v="2026-12-09"/>
    <x v="1"/>
    <s v="Q4"/>
    <s v="Sports Shorts"/>
    <s v="Apparel"/>
    <x v="3"/>
    <s v="Ahmedabad"/>
    <s v="SMB"/>
    <s v="Online"/>
    <s v="Amit Joshi"/>
    <n v="1647.29"/>
    <n v="5"/>
    <n v="8236.4500000000007"/>
    <n v="16.7"/>
    <n v="6860.96"/>
    <n v="39.4"/>
    <n v="2703.22"/>
    <s v="Pending"/>
  </r>
  <r>
    <s v="ORD-2026-0943"/>
    <s v="2026-07-03"/>
    <x v="5"/>
    <s v="Q3"/>
    <s v="Bed Frame Queen"/>
    <s v="Furniture"/>
    <x v="3"/>
    <s v="Mumbai"/>
    <s v="SMB"/>
    <s v="B2B"/>
    <s v="Deepak Rao"/>
    <n v="35871.040000000001"/>
    <n v="4"/>
    <n v="143484.16"/>
    <n v="24.2"/>
    <n v="108760.99"/>
    <n v="30.8"/>
    <n v="33498.379999999997"/>
    <s v="Fulfilled"/>
  </r>
  <r>
    <s v="ORD-2026-0944"/>
    <s v="2026-11-21"/>
    <x v="0"/>
    <s v="Q4"/>
    <s v="Hair Oil 200ml"/>
    <s v="Cosmetics"/>
    <x v="3"/>
    <s v="Pune"/>
    <s v="Wholesale"/>
    <s v="Online"/>
    <s v="Rohit Das"/>
    <n v="3863.27"/>
    <n v="20"/>
    <n v="77265.399999999994"/>
    <n v="13.5"/>
    <n v="66834.570000000007"/>
    <n v="68.2"/>
    <n v="45581.18"/>
    <s v="Fulfilled"/>
  </r>
  <r>
    <s v="ORD-2026-0945"/>
    <s v="2026-11-01"/>
    <x v="0"/>
    <s v="Q4"/>
    <s v="Winter Jacket"/>
    <s v="Apparel"/>
    <x v="4"/>
    <s v="Chandigarh"/>
    <s v="Retail"/>
    <s v="Online"/>
    <s v="Vikram Tiwari"/>
    <n v="3727.53"/>
    <n v="5"/>
    <n v="18637.650000000001"/>
    <n v="15"/>
    <n v="15842"/>
    <n v="59.2"/>
    <n v="9378.4599999999991"/>
    <s v="Fulfilled"/>
  </r>
  <r>
    <s v="ORD-2026-0946"/>
    <s v="2026-05-13"/>
    <x v="11"/>
    <s v="Q2"/>
    <s v="Skipping Rope"/>
    <s v="Sports"/>
    <x v="1"/>
    <s v="Chennai"/>
    <s v="SMB"/>
    <s v="Online"/>
    <s v="Aisha Khan"/>
    <n v="7037.58"/>
    <n v="1"/>
    <n v="7037.58"/>
    <n v="18.8"/>
    <n v="5714.51"/>
    <n v="41.1"/>
    <n v="2348.66"/>
    <s v="Pending"/>
  </r>
  <r>
    <s v="ORD-2026-0947"/>
    <s v="2026-10-16"/>
    <x v="2"/>
    <s v="Q4"/>
    <s v="Wireless Earbuds"/>
    <s v="Electronics"/>
    <x v="1"/>
    <s v="Hyderabad"/>
    <s v="Online"/>
    <s v="Direct"/>
    <s v="Priya Sharma"/>
    <n v="34983.800000000003"/>
    <n v="5"/>
    <n v="174919"/>
    <n v="22.3"/>
    <n v="135912.06"/>
    <n v="18.5"/>
    <n v="25143.73"/>
    <s v="Pending"/>
  </r>
  <r>
    <s v="ORD-2026-0948"/>
    <s v="2026-06-24"/>
    <x v="10"/>
    <s v="Q2"/>
    <s v="Hair Oil 200ml"/>
    <s v="Cosmetics"/>
    <x v="1"/>
    <s v="Bengaluru"/>
    <s v="Enterprise"/>
    <s v="B2B"/>
    <s v="Kavya Bhat"/>
    <n v="2709.28"/>
    <n v="19"/>
    <n v="51476.32"/>
    <n v="8.9"/>
    <n v="46894.93"/>
    <n v="60.9"/>
    <n v="28559.01"/>
    <s v="Fulfilled"/>
  </r>
  <r>
    <s v="ORD-2026-0949"/>
    <s v="2026-07-24"/>
    <x v="5"/>
    <s v="Q3"/>
    <s v="Cycling Helmet"/>
    <s v="Sports"/>
    <x v="3"/>
    <s v="Ahmedabad"/>
    <s v="Enterprise"/>
    <s v="Partner"/>
    <s v="Neha Patel"/>
    <n v="6438.87"/>
    <n v="15"/>
    <n v="96583.05"/>
    <n v="19.5"/>
    <n v="77749.36"/>
    <n v="39.4"/>
    <n v="30633.25"/>
    <s v="Fulfilled"/>
  </r>
  <r>
    <s v="ORD-2026-0950"/>
    <s v="2026-01-16"/>
    <x v="7"/>
    <s v="Q1"/>
    <s v="Sunscreen SPF50"/>
    <s v="Cosmetics"/>
    <x v="0"/>
    <s v="Guwahati"/>
    <s v="Retail"/>
    <s v="Partner"/>
    <s v="Amit Joshi"/>
    <n v="852.31"/>
    <n v="25"/>
    <n v="21307.75"/>
    <n v="14.6"/>
    <n v="18196.82"/>
    <n v="50.2"/>
    <n v="9134.7999999999993"/>
    <s v="Fulfilled"/>
  </r>
  <r>
    <s v="ORD-2026-0951"/>
    <s v="2026-09-07"/>
    <x v="3"/>
    <s v="Q3"/>
    <s v="Sports Shorts"/>
    <s v="Apparel"/>
    <x v="3"/>
    <s v="Mumbai"/>
    <s v="Enterprise"/>
    <s v="Partner"/>
    <s v="Rohit Das"/>
    <n v="1397.26"/>
    <n v="18"/>
    <n v="25150.68"/>
    <n v="2.2999999999999998"/>
    <n v="24572.21"/>
    <n v="50.5"/>
    <n v="12408.97"/>
    <s v="Fulfilled"/>
  </r>
  <r>
    <s v="ORD-2026-0952"/>
    <s v="2026-04-29"/>
    <x v="4"/>
    <s v="Q2"/>
    <s v="Smart TV 55&quot;"/>
    <s v="Electronics"/>
    <x v="0"/>
    <s v="Kolkata"/>
    <s v="Wholesale"/>
    <s v="Partner"/>
    <s v="Amit Joshi"/>
    <n v="42734.33"/>
    <n v="17"/>
    <n v="726483.61"/>
    <n v="17"/>
    <n v="602981.4"/>
    <n v="14.1"/>
    <n v="85020.38"/>
    <s v="Fulfilled"/>
  </r>
  <r>
    <s v="ORD-2026-0953"/>
    <s v="2026-06-10"/>
    <x v="10"/>
    <s v="Q2"/>
    <s v="Lip Gloss Set"/>
    <s v="Cosmetics"/>
    <x v="2"/>
    <s v="Indore"/>
    <s v="Wholesale"/>
    <s v="Online"/>
    <s v="Sunita Lal"/>
    <n v="2582.65"/>
    <n v="10"/>
    <n v="25826.5"/>
    <n v="23"/>
    <n v="19886.400000000001"/>
    <n v="55.4"/>
    <n v="11017.07"/>
    <s v="Returned"/>
  </r>
  <r>
    <s v="ORD-2026-0954"/>
    <s v="2026-04-07"/>
    <x v="4"/>
    <s v="Q2"/>
    <s v="Face Serum"/>
    <s v="Cosmetics"/>
    <x v="2"/>
    <s v="Bhopal"/>
    <s v="SMB"/>
    <s v="B2B"/>
    <s v="Deepak Rao"/>
    <n v="1508.56"/>
    <n v="12"/>
    <n v="18102.72"/>
    <n v="18.8"/>
    <n v="14699.41"/>
    <n v="55.5"/>
    <n v="8158.17"/>
    <s v="Pending"/>
  </r>
  <r>
    <s v="ORD-2026-0955"/>
    <s v="2026-12-24"/>
    <x v="1"/>
    <s v="Q4"/>
    <s v="Body Lotion"/>
    <s v="Cosmetics"/>
    <x v="4"/>
    <s v="Jaipur"/>
    <s v="Online"/>
    <s v="B2B"/>
    <s v="Aisha Khan"/>
    <n v="254.53"/>
    <n v="18"/>
    <n v="4581.54"/>
    <n v="12.2"/>
    <n v="4022.59"/>
    <n v="70.099999999999994"/>
    <n v="2819.84"/>
    <s v="Fulfilled"/>
  </r>
  <r>
    <s v="ORD-2026-0956"/>
    <s v="2026-12-07"/>
    <x v="1"/>
    <s v="Q4"/>
    <s v="Face Serum"/>
    <s v="Cosmetics"/>
    <x v="3"/>
    <s v="Surat"/>
    <s v="Wholesale"/>
    <s v="B2B"/>
    <s v="Neha Patel"/>
    <n v="2433.38"/>
    <n v="11"/>
    <n v="26767.18"/>
    <n v="23.4"/>
    <n v="20503.66"/>
    <n v="64.7"/>
    <n v="13265.87"/>
    <s v="Cancelled"/>
  </r>
  <r>
    <s v="ORD-2026-0957"/>
    <s v="2026-07-02"/>
    <x v="5"/>
    <s v="Q3"/>
    <s v="Kurti Set"/>
    <s v="Apparel"/>
    <x v="1"/>
    <s v="Kochi"/>
    <s v="Retail"/>
    <s v="B2B"/>
    <s v="Deepak Rao"/>
    <n v="1273.3800000000001"/>
    <n v="14"/>
    <n v="17827.32"/>
    <n v="19.899999999999999"/>
    <n v="14279.68"/>
    <n v="57.3"/>
    <n v="8182.26"/>
    <s v="Fulfilled"/>
  </r>
  <r>
    <s v="ORD-2026-0958"/>
    <s v="2026-02-08"/>
    <x v="6"/>
    <s v="Q1"/>
    <s v="Sofa 3-seater"/>
    <s v="Furniture"/>
    <x v="1"/>
    <s v="Chennai"/>
    <s v="Wholesale"/>
    <s v="Direct"/>
    <s v="Sunita Lal"/>
    <n v="27617.88"/>
    <n v="3"/>
    <n v="82853.64"/>
    <n v="2.7"/>
    <n v="80616.59"/>
    <n v="35.700000000000003"/>
    <n v="28780.12"/>
    <s v="Fulfilled"/>
  </r>
  <r>
    <s v="ORD-2026-0959"/>
    <s v="2026-07-25"/>
    <x v="5"/>
    <s v="Q3"/>
    <s v="Foundation Kit"/>
    <s v="Cosmetics"/>
    <x v="2"/>
    <s v="Indore"/>
    <s v="SMB"/>
    <s v="Direct"/>
    <s v="Rahul Mehta"/>
    <n v="932.8"/>
    <n v="6"/>
    <n v="5596.8"/>
    <n v="23.8"/>
    <n v="4264.76"/>
    <n v="54"/>
    <n v="2302.9699999999998"/>
    <s v="Fulfilled"/>
  </r>
  <r>
    <s v="ORD-2026-0960"/>
    <s v="2026-08-07"/>
    <x v="8"/>
    <s v="Q3"/>
    <s v="Olive Oil 1L"/>
    <s v="Food"/>
    <x v="2"/>
    <s v="Nagpur"/>
    <s v="Online"/>
    <s v="B2B"/>
    <s v="Neha Patel"/>
    <n v="371.34"/>
    <n v="8"/>
    <n v="2970.72"/>
    <n v="12.2"/>
    <n v="2608.29"/>
    <n v="26.2"/>
    <n v="683.37"/>
    <s v="Fulfilled"/>
  </r>
  <r>
    <s v="ORD-2026-0961"/>
    <s v="2026-05-26"/>
    <x v="11"/>
    <s v="Q2"/>
    <s v="Dumbbells 5kg"/>
    <s v="Sports"/>
    <x v="0"/>
    <s v="Kolkata"/>
    <s v="Enterprise"/>
    <s v="B2B"/>
    <s v="Neha Patel"/>
    <n v="2098.59"/>
    <n v="22"/>
    <n v="46168.98"/>
    <n v="15.5"/>
    <n v="39012.79"/>
    <n v="26.1"/>
    <n v="10182.34"/>
    <s v="Fulfilled"/>
  </r>
  <r>
    <s v="ORD-2026-0962"/>
    <s v="2026-01-07"/>
    <x v="7"/>
    <s v="Q1"/>
    <s v="Study Table"/>
    <s v="Furniture"/>
    <x v="2"/>
    <s v="Nagpur"/>
    <s v="Wholesale"/>
    <s v="Online"/>
    <s v="Vikram Tiwari"/>
    <n v="7421.11"/>
    <n v="16"/>
    <n v="118737.76"/>
    <n v="13.4"/>
    <n v="102826.9"/>
    <n v="32.9"/>
    <n v="33830.050000000003"/>
    <s v="Fulfilled"/>
  </r>
  <r>
    <s v="ORD-2026-0963"/>
    <s v="2026-10-26"/>
    <x v="2"/>
    <s v="Q4"/>
    <s v="Laptop Pro X1"/>
    <s v="Electronics"/>
    <x v="0"/>
    <s v="Bhubaneswar"/>
    <s v="Wholesale"/>
    <s v="B2B"/>
    <s v="Sunita Lal"/>
    <n v="77963.960000000006"/>
    <n v="4"/>
    <n v="311855.84000000003"/>
    <n v="24.7"/>
    <n v="234827.45"/>
    <n v="19.8"/>
    <n v="46495.839999999997"/>
    <s v="Returned"/>
  </r>
  <r>
    <s v="ORD-2026-0964"/>
    <s v="2026-08-21"/>
    <x v="8"/>
    <s v="Q3"/>
    <s v="Running Shoes"/>
    <s v="Apparel"/>
    <x v="1"/>
    <s v="Kochi"/>
    <s v="Enterprise"/>
    <s v="Partner"/>
    <s v="Deepak Rao"/>
    <n v="2510.16"/>
    <n v="18"/>
    <n v="45182.879999999997"/>
    <n v="4.3"/>
    <n v="43240.02"/>
    <n v="51.4"/>
    <n v="22225.37"/>
    <s v="Fulfilled"/>
  </r>
  <r>
    <s v="ORD-2026-0965"/>
    <s v="2026-01-27"/>
    <x v="7"/>
    <s v="Q1"/>
    <s v="Cotton T-Shirt"/>
    <s v="Apparel"/>
    <x v="2"/>
    <s v="Raipur"/>
    <s v="Retail"/>
    <s v="Online"/>
    <s v="Priya Sharma"/>
    <n v="459.16"/>
    <n v="8"/>
    <n v="3673.28"/>
    <n v="13.4"/>
    <n v="3181.06"/>
    <n v="56"/>
    <n v="1781.39"/>
    <s v="Fulfilled"/>
  </r>
  <r>
    <s v="ORD-2026-0966"/>
    <s v="2026-08-26"/>
    <x v="8"/>
    <s v="Q3"/>
    <s v="Formal Shirt"/>
    <s v="Apparel"/>
    <x v="0"/>
    <s v="Kolkata"/>
    <s v="Online"/>
    <s v="Direct"/>
    <s v="Rohit Das"/>
    <n v="3650.76"/>
    <n v="17"/>
    <n v="62062.92"/>
    <n v="12.3"/>
    <n v="54429.18"/>
    <n v="50.7"/>
    <n v="27595.59"/>
    <s v="Fulfilled"/>
  </r>
  <r>
    <s v="ORD-2026-0967"/>
    <s v="2026-11-09"/>
    <x v="0"/>
    <s v="Q4"/>
    <s v="Gaming Console"/>
    <s v="Electronics"/>
    <x v="2"/>
    <s v="Bhopal"/>
    <s v="Retail"/>
    <s v="B2B"/>
    <s v="Rohit Das"/>
    <n v="42757.75"/>
    <n v="11"/>
    <n v="470335.25"/>
    <n v="1.1000000000000001"/>
    <n v="465161.56"/>
    <n v="22"/>
    <n v="102335.54"/>
    <s v="Fulfilled"/>
  </r>
  <r>
    <s v="ORD-2026-0968"/>
    <s v="2026-01-22"/>
    <x v="7"/>
    <s v="Q1"/>
    <s v="Winter Jacket"/>
    <s v="Apparel"/>
    <x v="2"/>
    <s v="Bhopal"/>
    <s v="Wholesale"/>
    <s v="Direct"/>
    <s v="Deepak Rao"/>
    <n v="2897.56"/>
    <n v="12"/>
    <n v="34770.720000000001"/>
    <n v="21.3"/>
    <n v="27364.560000000001"/>
    <n v="50.9"/>
    <n v="13928.56"/>
    <s v="Pending"/>
  </r>
  <r>
    <s v="ORD-2026-0969"/>
    <s v="2026-03-14"/>
    <x v="9"/>
    <s v="Q1"/>
    <s v="Dumbbells 5kg"/>
    <s v="Sports"/>
    <x v="0"/>
    <s v="Bhubaneswar"/>
    <s v="Enterprise"/>
    <s v="Partner"/>
    <s v="Priya Sharma"/>
    <n v="4013.95"/>
    <n v="3"/>
    <n v="12041.85"/>
    <n v="9.6999999999999993"/>
    <n v="10873.79"/>
    <n v="33.5"/>
    <n v="3642.72"/>
    <s v="Pending"/>
  </r>
  <r>
    <s v="ORD-2026-0970"/>
    <s v="2026-04-17"/>
    <x v="4"/>
    <s v="Q2"/>
    <s v="Lip Gloss Set"/>
    <s v="Cosmetics"/>
    <x v="3"/>
    <s v="Surat"/>
    <s v="Online"/>
    <s v="Online"/>
    <s v="Priya Sharma"/>
    <n v="3409.96"/>
    <n v="4"/>
    <n v="13639.84"/>
    <n v="8.3000000000000007"/>
    <n v="12507.73"/>
    <n v="63.6"/>
    <n v="7954.92"/>
    <s v="Fulfilled"/>
  </r>
  <r>
    <s v="ORD-2026-0971"/>
    <s v="2026-09-18"/>
    <x v="3"/>
    <s v="Q3"/>
    <s v="Running Shoes"/>
    <s v="Apparel"/>
    <x v="1"/>
    <s v="Kochi"/>
    <s v="Wholesale"/>
    <s v="B2B"/>
    <s v="Kavya Bhat"/>
    <n v="2271.9"/>
    <n v="18"/>
    <n v="40894.199999999997"/>
    <n v="18.100000000000001"/>
    <n v="33492.35"/>
    <n v="55.7"/>
    <n v="18655.240000000002"/>
    <s v="Fulfilled"/>
  </r>
  <r>
    <s v="ORD-2026-0972"/>
    <s v="2026-05-15"/>
    <x v="11"/>
    <s v="Q2"/>
    <s v="Badminton Set"/>
    <s v="Sports"/>
    <x v="1"/>
    <s v="Hyderabad"/>
    <s v="Online"/>
    <s v="Partner"/>
    <s v="Amit Joshi"/>
    <n v="5456.3"/>
    <n v="9"/>
    <n v="49106.7"/>
    <n v="21.1"/>
    <n v="38745.19"/>
    <n v="46"/>
    <n v="17822.79"/>
    <s v="Fulfilled"/>
  </r>
  <r>
    <s v="ORD-2026-0973"/>
    <s v="2026-12-20"/>
    <x v="1"/>
    <s v="Q4"/>
    <s v="Sunscreen SPF50"/>
    <s v="Cosmetics"/>
    <x v="1"/>
    <s v="Bengaluru"/>
    <s v="Enterprise"/>
    <s v="Direct"/>
    <s v="Rahul Mehta"/>
    <n v="2233.09"/>
    <n v="15"/>
    <n v="33496.35"/>
    <n v="17.899999999999999"/>
    <n v="27500.5"/>
    <n v="65.8"/>
    <n v="18095.330000000002"/>
    <s v="Cancelled"/>
  </r>
  <r>
    <s v="ORD-2026-0974"/>
    <s v="2026-06-16"/>
    <x v="10"/>
    <s v="Q2"/>
    <s v="Green Tea Pack"/>
    <s v="Food"/>
    <x v="3"/>
    <s v="Mumbai"/>
    <s v="SMB"/>
    <s v="Partner"/>
    <s v="Kavya Bhat"/>
    <n v="1286.53"/>
    <n v="3"/>
    <n v="3859.59"/>
    <n v="14"/>
    <n v="3319.25"/>
    <n v="22.8"/>
    <n v="756.79"/>
    <s v="Fulfilled"/>
  </r>
  <r>
    <s v="ORD-2026-0975"/>
    <s v="2026-05-23"/>
    <x v="11"/>
    <s v="Q2"/>
    <s v="Muesli Box"/>
    <s v="Food"/>
    <x v="3"/>
    <s v="Ahmedabad"/>
    <s v="Enterprise"/>
    <s v="Partner"/>
    <s v="Amit Joshi"/>
    <n v="835.73"/>
    <n v="25"/>
    <n v="20893.25"/>
    <n v="17.399999999999999"/>
    <n v="17257.82"/>
    <n v="35.200000000000003"/>
    <n v="6074.75"/>
    <s v="Pending"/>
  </r>
  <r>
    <s v="ORD-2026-0976"/>
    <s v="2026-09-11"/>
    <x v="3"/>
    <s v="Q3"/>
    <s v="Smart Watch S3"/>
    <s v="Electronics"/>
    <x v="2"/>
    <s v="Indore"/>
    <s v="Retail"/>
    <s v="B2B"/>
    <s v="Sunita Lal"/>
    <n v="79878.14"/>
    <n v="2"/>
    <n v="159756.28"/>
    <n v="13"/>
    <n v="138987.96"/>
    <n v="16.2"/>
    <n v="22516.05"/>
    <s v="Fulfilled"/>
  </r>
  <r>
    <s v="ORD-2026-0977"/>
    <s v="2026-04-09"/>
    <x v="4"/>
    <s v="Q2"/>
    <s v="Sports Shorts"/>
    <s v="Apparel"/>
    <x v="2"/>
    <s v="Indore"/>
    <s v="Retail"/>
    <s v="B2B"/>
    <s v="Aisha Khan"/>
    <n v="2154.9"/>
    <n v="14"/>
    <n v="30168.6"/>
    <n v="4.0999999999999996"/>
    <n v="28931.69"/>
    <n v="42.3"/>
    <n v="12238.1"/>
    <s v="Fulfilled"/>
  </r>
  <r>
    <s v="ORD-2026-0978"/>
    <s v="2026-10-30"/>
    <x v="2"/>
    <s v="Q4"/>
    <s v="Football Pro"/>
    <s v="Sports"/>
    <x v="3"/>
    <s v="Mumbai"/>
    <s v="SMB"/>
    <s v="B2B"/>
    <s v="Rohit Das"/>
    <n v="2863.79"/>
    <n v="18"/>
    <n v="51548.22"/>
    <n v="19.3"/>
    <n v="41599.410000000003"/>
    <n v="31.4"/>
    <n v="13062.21"/>
    <s v="Fulfilled"/>
  </r>
  <r>
    <s v="ORD-2026-0979"/>
    <s v="2026-03-03"/>
    <x v="9"/>
    <s v="Q1"/>
    <s v="Cycling Helmet"/>
    <s v="Sports"/>
    <x v="4"/>
    <s v="Delhi"/>
    <s v="Online"/>
    <s v="Direct"/>
    <s v="Priya Sharma"/>
    <n v="5110.5600000000004"/>
    <n v="16"/>
    <n v="81768.960000000006"/>
    <n v="4"/>
    <n v="78498.2"/>
    <n v="25.4"/>
    <n v="19938.54"/>
    <s v="Fulfilled"/>
  </r>
  <r>
    <s v="ORD-2026-0980"/>
    <s v="2026-10-05"/>
    <x v="2"/>
    <s v="Q4"/>
    <s v="Coffee Table"/>
    <s v="Furniture"/>
    <x v="4"/>
    <s v="Delhi"/>
    <s v="Wholesale"/>
    <s v="Online"/>
    <s v="Kavya Bhat"/>
    <n v="29245.33"/>
    <n v="18"/>
    <n v="526415.93999999994"/>
    <n v="17"/>
    <n v="436925.23"/>
    <n v="40.799999999999997"/>
    <n v="178265.49"/>
    <s v="Returned"/>
  </r>
  <r>
    <s v="ORD-2026-0981"/>
    <s v="2026-05-22"/>
    <x v="11"/>
    <s v="Q2"/>
    <s v="Tablet Ultra"/>
    <s v="Electronics"/>
    <x v="0"/>
    <s v="Guwahati"/>
    <s v="Enterprise"/>
    <s v="B2B"/>
    <s v="Aisha Khan"/>
    <n v="91533.02"/>
    <n v="8"/>
    <n v="732264.16"/>
    <n v="1"/>
    <n v="724941.52"/>
    <n v="12.4"/>
    <n v="89892.75"/>
    <s v="Pending"/>
  </r>
  <r>
    <s v="ORD-2026-0982"/>
    <s v="2026-03-20"/>
    <x v="9"/>
    <s v="Q1"/>
    <s v="Sofa 3-seater"/>
    <s v="Furniture"/>
    <x v="3"/>
    <s v="Mumbai"/>
    <s v="Retail"/>
    <s v="Partner"/>
    <s v="Aisha Khan"/>
    <n v="20907.32"/>
    <n v="22"/>
    <n v="459961.04"/>
    <n v="21.8"/>
    <n v="359689.53"/>
    <n v="38.1"/>
    <n v="137041.71"/>
    <s v="Pending"/>
  </r>
  <r>
    <s v="ORD-2026-0983"/>
    <s v="2026-01-27"/>
    <x v="7"/>
    <s v="Q1"/>
    <s v="Kurti Set"/>
    <s v="Apparel"/>
    <x v="3"/>
    <s v="Mumbai"/>
    <s v="SMB"/>
    <s v="B2B"/>
    <s v="Deepak Rao"/>
    <n v="2138.61"/>
    <n v="21"/>
    <n v="44910.81"/>
    <n v="10.4"/>
    <n v="40240.089999999997"/>
    <n v="50.4"/>
    <n v="20281.009999999998"/>
    <s v="Fulfilled"/>
  </r>
  <r>
    <s v="ORD-2026-0984"/>
    <s v="2026-06-28"/>
    <x v="10"/>
    <s v="Q2"/>
    <s v="Wireless Earbuds"/>
    <s v="Electronics"/>
    <x v="0"/>
    <s v="Kolkata"/>
    <s v="Online"/>
    <s v="Direct"/>
    <s v="Neha Patel"/>
    <n v="86218.62"/>
    <n v="9"/>
    <n v="775967.58"/>
    <n v="10"/>
    <n v="698370.82"/>
    <n v="22.2"/>
    <n v="155038.32"/>
    <s v="Fulfilled"/>
  </r>
  <r>
    <s v="ORD-2026-0985"/>
    <s v="2026-10-26"/>
    <x v="2"/>
    <s v="Q4"/>
    <s v="Skipping Rope"/>
    <s v="Sports"/>
    <x v="2"/>
    <s v="Nagpur"/>
    <s v="Enterprise"/>
    <s v="Direct"/>
    <s v="Kavya Bhat"/>
    <n v="2389.0300000000002"/>
    <n v="10"/>
    <n v="23890.3"/>
    <n v="24.3"/>
    <n v="18084.96"/>
    <n v="45.7"/>
    <n v="8264.83"/>
    <s v="Pending"/>
  </r>
  <r>
    <s v="ORD-2026-0986"/>
    <s v="2026-12-21"/>
    <x v="1"/>
    <s v="Q4"/>
    <s v="Hair Oil 200ml"/>
    <s v="Cosmetics"/>
    <x v="4"/>
    <s v="Chandigarh"/>
    <s v="SMB"/>
    <s v="Online"/>
    <s v="Amit Joshi"/>
    <n v="402.69"/>
    <n v="11"/>
    <n v="4429.59"/>
    <n v="13.2"/>
    <n v="3844.88"/>
    <n v="66.5"/>
    <n v="2556.85"/>
    <s v="Returned"/>
  </r>
  <r>
    <s v="ORD-2026-0987"/>
    <s v="2026-07-26"/>
    <x v="5"/>
    <s v="Q3"/>
    <s v="Nut Mix 500g"/>
    <s v="Food"/>
    <x v="3"/>
    <s v="Ahmedabad"/>
    <s v="Retail"/>
    <s v="Partner"/>
    <s v="Priya Sharma"/>
    <n v="1012.4"/>
    <n v="22"/>
    <n v="22272.799999999999"/>
    <n v="21.3"/>
    <n v="17528.689999999999"/>
    <n v="32.299999999999997"/>
    <n v="5661.77"/>
    <s v="Fulfilled"/>
  </r>
  <r>
    <s v="ORD-2026-0988"/>
    <s v="2026-01-24"/>
    <x v="7"/>
    <s v="Q1"/>
    <s v="Nut Mix 500g"/>
    <s v="Food"/>
    <x v="4"/>
    <s v="Lucknow"/>
    <s v="SMB"/>
    <s v="B2B"/>
    <s v="Rahul Mehta"/>
    <n v="1261.07"/>
    <n v="13"/>
    <n v="16393.91"/>
    <n v="12"/>
    <n v="14426.64"/>
    <n v="24.9"/>
    <n v="3592.23"/>
    <s v="Cancelled"/>
  </r>
  <r>
    <s v="ORD-2026-0989"/>
    <s v="2026-12-04"/>
    <x v="1"/>
    <s v="Q4"/>
    <s v="Sports Shorts"/>
    <s v="Apparel"/>
    <x v="1"/>
    <s v="Chennai"/>
    <s v="Online"/>
    <s v="Online"/>
    <s v="Rahul Mehta"/>
    <n v="628.14"/>
    <n v="23"/>
    <n v="14447.22"/>
    <n v="3.2"/>
    <n v="13984.91"/>
    <n v="49.1"/>
    <n v="6866.59"/>
    <s v="Pending"/>
  </r>
  <r>
    <s v="ORD-2026-0990"/>
    <s v="2026-09-26"/>
    <x v="3"/>
    <s v="Q3"/>
    <s v="Yoga Mat"/>
    <s v="Sports"/>
    <x v="4"/>
    <s v="Jaipur"/>
    <s v="Enterprise"/>
    <s v="Partner"/>
    <s v="Priya Sharma"/>
    <n v="1765.72"/>
    <n v="13"/>
    <n v="22954.36"/>
    <n v="16.100000000000001"/>
    <n v="19258.71"/>
    <n v="40.5"/>
    <n v="7799.78"/>
    <s v="Fulfilled"/>
  </r>
  <r>
    <s v="ORD-2026-0991"/>
    <s v="2026-09-01"/>
    <x v="3"/>
    <s v="Q3"/>
    <s v="Cycling Helmet"/>
    <s v="Sports"/>
    <x v="4"/>
    <s v="Delhi"/>
    <s v="SMB"/>
    <s v="Direct"/>
    <s v="Kavya Bhat"/>
    <n v="5596.4"/>
    <n v="8"/>
    <n v="44771.199999999997"/>
    <n v="24.9"/>
    <n v="33623.17"/>
    <n v="38.700000000000003"/>
    <n v="13012.17"/>
    <s v="Fulfilled"/>
  </r>
  <r>
    <s v="ORD-2026-0992"/>
    <s v="2026-07-23"/>
    <x v="5"/>
    <s v="Q3"/>
    <s v="Yoga Mat"/>
    <s v="Sports"/>
    <x v="4"/>
    <s v="Chandigarh"/>
    <s v="Online"/>
    <s v="Direct"/>
    <s v="Vikram Tiwari"/>
    <n v="4012.1"/>
    <n v="7"/>
    <n v="28084.7"/>
    <n v="20.6"/>
    <n v="22299.25"/>
    <n v="45.8"/>
    <n v="10213.06"/>
    <s v="Fulfilled"/>
  </r>
  <r>
    <s v="ORD-2026-0993"/>
    <s v="2026-03-01"/>
    <x v="9"/>
    <s v="Q1"/>
    <s v="Sports Shorts"/>
    <s v="Apparel"/>
    <x v="3"/>
    <s v="Surat"/>
    <s v="SMB"/>
    <s v="Direct"/>
    <s v="Rahul Mehta"/>
    <n v="1548.75"/>
    <n v="1"/>
    <n v="1548.75"/>
    <n v="2.2999999999999998"/>
    <n v="1513.13"/>
    <n v="43.1"/>
    <n v="652.16"/>
    <s v="Fulfilled"/>
  </r>
  <r>
    <s v="ORD-2026-0994"/>
    <s v="2026-03-19"/>
    <x v="9"/>
    <s v="Q1"/>
    <s v="Formal Shirt"/>
    <s v="Apparel"/>
    <x v="3"/>
    <s v="Pune"/>
    <s v="Retail"/>
    <s v="Direct"/>
    <s v="Kavya Bhat"/>
    <n v="1972.71"/>
    <n v="25"/>
    <n v="49317.75"/>
    <n v="9"/>
    <n v="44879.15"/>
    <n v="56.8"/>
    <n v="25491.360000000001"/>
    <s v="Fulfilled"/>
  </r>
  <r>
    <s v="ORD-2026-0995"/>
    <s v="2026-12-23"/>
    <x v="1"/>
    <s v="Q4"/>
    <s v="Nut Mix 500g"/>
    <s v="Food"/>
    <x v="0"/>
    <s v="Patna"/>
    <s v="Wholesale"/>
    <s v="Online"/>
    <s v="Rohit Das"/>
    <n v="240.73"/>
    <n v="16"/>
    <n v="3851.68"/>
    <n v="10.3"/>
    <n v="3454.96"/>
    <n v="32.299999999999997"/>
    <n v="1115.95"/>
    <s v="Fulfilled"/>
  </r>
  <r>
    <s v="ORD-2026-0996"/>
    <s v="2026-09-27"/>
    <x v="3"/>
    <s v="Q3"/>
    <s v="Tablet Ultra"/>
    <s v="Electronics"/>
    <x v="3"/>
    <s v="Surat"/>
    <s v="Online"/>
    <s v="Online"/>
    <s v="Priya Sharma"/>
    <n v="25141.27"/>
    <n v="8"/>
    <n v="201130.16"/>
    <n v="16.8"/>
    <n v="167340.29"/>
    <n v="23.8"/>
    <n v="39826.99"/>
    <s v="Pending"/>
  </r>
  <r>
    <s v="ORD-2026-0997"/>
    <s v="2026-09-30"/>
    <x v="3"/>
    <s v="Q3"/>
    <s v="Organic Honey"/>
    <s v="Food"/>
    <x v="2"/>
    <s v="Bhopal"/>
    <s v="Enterprise"/>
    <s v="Online"/>
    <s v="Priya Sharma"/>
    <n v="155.76"/>
    <n v="11"/>
    <n v="1713.36"/>
    <n v="0.8"/>
    <n v="1699.65"/>
    <n v="40.1"/>
    <n v="681.56"/>
    <s v="Fulfilled"/>
  </r>
  <r>
    <s v="ORD-2026-0998"/>
    <s v="2026-08-15"/>
    <x v="8"/>
    <s v="Q3"/>
    <s v="Hair Oil 200ml"/>
    <s v="Cosmetics"/>
    <x v="4"/>
    <s v="Chandigarh"/>
    <s v="SMB"/>
    <s v="Online"/>
    <s v="Priya Sharma"/>
    <n v="2935.36"/>
    <n v="25"/>
    <n v="73384"/>
    <n v="5.0999999999999996"/>
    <n v="69641.42"/>
    <n v="56"/>
    <n v="38999.199999999997"/>
    <s v="Fulfilled"/>
  </r>
  <r>
    <s v="ORD-2026-0999"/>
    <s v="2026-05-06"/>
    <x v="11"/>
    <s v="Q2"/>
    <s v="Tablet Ultra"/>
    <s v="Electronics"/>
    <x v="4"/>
    <s v="Delhi"/>
    <s v="Enterprise"/>
    <s v="Online"/>
    <s v="Sunita Lal"/>
    <n v="46571.8"/>
    <n v="11"/>
    <n v="512289.8"/>
    <n v="3.1"/>
    <n v="496408.82"/>
    <n v="14.8"/>
    <n v="73468.509999999995"/>
    <s v="Fulfilled"/>
  </r>
  <r>
    <s v="ORD-2026-1000"/>
    <s v="2026-07-22"/>
    <x v="5"/>
    <s v="Q3"/>
    <s v="Study Table"/>
    <s v="Furniture"/>
    <x v="1"/>
    <s v="Hyderabad"/>
    <s v="SMB"/>
    <s v="B2B"/>
    <s v="Sunita Lal"/>
    <n v="23512.01"/>
    <n v="23"/>
    <n v="540776.23"/>
    <n v="15.2"/>
    <n v="458578.24"/>
    <n v="36"/>
    <n v="165088.17000000001"/>
    <s v="Fulfilled"/>
  </r>
  <r>
    <m/>
    <m/>
    <x v="12"/>
    <m/>
    <m/>
    <m/>
    <x v="5"/>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2026-0001"/>
    <s v="2026-11-04"/>
    <x v="0"/>
    <s v="Q4"/>
    <x v="0"/>
    <x v="0"/>
    <x v="0"/>
    <s v="Guwahati"/>
    <x v="0"/>
    <x v="0"/>
    <x v="0"/>
    <n v="49480.19"/>
    <n v="17"/>
    <x v="0"/>
    <n v="23.8"/>
    <x v="0"/>
    <n v="24.9"/>
    <n v="159600.63"/>
    <x v="0"/>
  </r>
  <r>
    <s v="ORD-2026-0002"/>
    <s v="2026-12-17"/>
    <x v="1"/>
    <s v="Q4"/>
    <x v="1"/>
    <x v="1"/>
    <x v="1"/>
    <s v="Hyderabad"/>
    <x v="1"/>
    <x v="0"/>
    <x v="1"/>
    <n v="2607.73"/>
    <n v="3"/>
    <x v="1"/>
    <n v="20.399999999999999"/>
    <x v="1"/>
    <n v="30.7"/>
    <n v="1911.77"/>
    <x v="1"/>
  </r>
  <r>
    <s v="ORD-2026-0003"/>
    <s v="2026-10-13"/>
    <x v="2"/>
    <s v="Q4"/>
    <x v="2"/>
    <x v="2"/>
    <x v="0"/>
    <s v="Patna"/>
    <x v="2"/>
    <x v="0"/>
    <x v="2"/>
    <n v="1226.19"/>
    <n v="24"/>
    <x v="2"/>
    <n v="1.9"/>
    <x v="2"/>
    <n v="30.3"/>
    <n v="8747.43"/>
    <x v="1"/>
  </r>
  <r>
    <s v="ORD-2026-0004"/>
    <s v="2026-10-27"/>
    <x v="2"/>
    <s v="Q4"/>
    <x v="3"/>
    <x v="3"/>
    <x v="2"/>
    <s v="Raipur"/>
    <x v="3"/>
    <x v="0"/>
    <x v="3"/>
    <n v="2987.29"/>
    <n v="23"/>
    <x v="3"/>
    <n v="11.5"/>
    <x v="3"/>
    <n v="31.6"/>
    <n v="19214.79"/>
    <x v="1"/>
  </r>
  <r>
    <s v="ORD-2026-0005"/>
    <s v="2026-09-03"/>
    <x v="3"/>
    <s v="Q3"/>
    <x v="4"/>
    <x v="4"/>
    <x v="3"/>
    <s v="Mumbai"/>
    <x v="0"/>
    <x v="1"/>
    <x v="2"/>
    <n v="1711.96"/>
    <n v="17"/>
    <x v="4"/>
    <n v="10.5"/>
    <x v="4"/>
    <n v="54.2"/>
    <n v="14117.73"/>
    <x v="0"/>
  </r>
  <r>
    <s v="ORD-2026-0006"/>
    <s v="2026-04-28"/>
    <x v="4"/>
    <s v="Q2"/>
    <x v="5"/>
    <x v="0"/>
    <x v="2"/>
    <s v="Nagpur"/>
    <x v="4"/>
    <x v="0"/>
    <x v="3"/>
    <n v="84644.46"/>
    <n v="4"/>
    <x v="5"/>
    <n v="10.7"/>
    <x v="5"/>
    <n v="26.3"/>
    <n v="79518.05"/>
    <x v="1"/>
  </r>
  <r>
    <s v="ORD-2026-0007"/>
    <s v="2026-07-25"/>
    <x v="5"/>
    <s v="Q3"/>
    <x v="6"/>
    <x v="2"/>
    <x v="2"/>
    <s v="Bhopal"/>
    <x v="2"/>
    <x v="2"/>
    <x v="4"/>
    <n v="661.91"/>
    <n v="10"/>
    <x v="6"/>
    <n v="16.2"/>
    <x v="6"/>
    <n v="31.2"/>
    <n v="1730.6"/>
    <x v="2"/>
  </r>
  <r>
    <s v="ORD-2026-0008"/>
    <s v="2026-07-04"/>
    <x v="5"/>
    <s v="Q3"/>
    <x v="7"/>
    <x v="0"/>
    <x v="1"/>
    <s v="Hyderabad"/>
    <x v="4"/>
    <x v="0"/>
    <x v="3"/>
    <n v="63491.31"/>
    <n v="20"/>
    <x v="7"/>
    <n v="20.100000000000001"/>
    <x v="7"/>
    <n v="31.2"/>
    <n v="316552.43"/>
    <x v="0"/>
  </r>
  <r>
    <s v="ORD-2026-0009"/>
    <s v="2026-02-20"/>
    <x v="6"/>
    <s v="Q1"/>
    <x v="1"/>
    <x v="1"/>
    <x v="3"/>
    <s v="Ahmedabad"/>
    <x v="4"/>
    <x v="1"/>
    <x v="5"/>
    <n v="26208.12"/>
    <n v="2"/>
    <x v="8"/>
    <n v="7.9"/>
    <x v="8"/>
    <n v="48"/>
    <n v="23172.17"/>
    <x v="0"/>
  </r>
  <r>
    <s v="ORD-2026-0010"/>
    <s v="2026-07-30"/>
    <x v="5"/>
    <s v="Q3"/>
    <x v="8"/>
    <x v="3"/>
    <x v="3"/>
    <s v="Surat"/>
    <x v="3"/>
    <x v="3"/>
    <x v="4"/>
    <n v="8478.2000000000007"/>
    <n v="21"/>
    <x v="9"/>
    <n v="12.5"/>
    <x v="9"/>
    <n v="28.9"/>
    <n v="45022.42"/>
    <x v="1"/>
  </r>
  <r>
    <s v="ORD-2026-0011"/>
    <s v="2026-01-23"/>
    <x v="7"/>
    <s v="Q1"/>
    <x v="9"/>
    <x v="1"/>
    <x v="2"/>
    <s v="Indore"/>
    <x v="2"/>
    <x v="1"/>
    <x v="4"/>
    <n v="25730.1"/>
    <n v="3"/>
    <x v="10"/>
    <n v="5"/>
    <x v="10"/>
    <n v="42.6"/>
    <n v="31238.92"/>
    <x v="1"/>
  </r>
  <r>
    <s v="ORD-2026-0012"/>
    <s v="2026-08-31"/>
    <x v="8"/>
    <s v="Q3"/>
    <x v="2"/>
    <x v="2"/>
    <x v="2"/>
    <s v="Bhopal"/>
    <x v="0"/>
    <x v="2"/>
    <x v="6"/>
    <n v="903"/>
    <n v="16"/>
    <x v="11"/>
    <n v="23.4"/>
    <x v="11"/>
    <n v="34.6"/>
    <n v="3829.24"/>
    <x v="1"/>
  </r>
  <r>
    <s v="ORD-2026-0013"/>
    <s v="2026-09-24"/>
    <x v="3"/>
    <s v="Q3"/>
    <x v="9"/>
    <x v="1"/>
    <x v="1"/>
    <s v="Chennai"/>
    <x v="4"/>
    <x v="3"/>
    <x v="6"/>
    <n v="42239.88"/>
    <n v="19"/>
    <x v="12"/>
    <n v="10.3"/>
    <x v="12"/>
    <n v="35.299999999999997"/>
    <n v="254122.68"/>
    <x v="2"/>
  </r>
  <r>
    <s v="ORD-2026-0014"/>
    <s v="2026-01-14"/>
    <x v="7"/>
    <s v="Q1"/>
    <x v="10"/>
    <x v="1"/>
    <x v="4"/>
    <s v="Jaipur"/>
    <x v="2"/>
    <x v="2"/>
    <x v="7"/>
    <n v="4683.45"/>
    <n v="12"/>
    <x v="13"/>
    <n v="23.4"/>
    <x v="13"/>
    <n v="43.5"/>
    <n v="18726.87"/>
    <x v="3"/>
  </r>
  <r>
    <s v="ORD-2026-0015"/>
    <s v="2026-09-24"/>
    <x v="3"/>
    <s v="Q3"/>
    <x v="11"/>
    <x v="2"/>
    <x v="4"/>
    <s v="Jaipur"/>
    <x v="0"/>
    <x v="2"/>
    <x v="7"/>
    <n v="795.6"/>
    <n v="15"/>
    <x v="14"/>
    <n v="20.100000000000001"/>
    <x v="14"/>
    <n v="31.7"/>
    <n v="3022.68"/>
    <x v="1"/>
  </r>
  <r>
    <s v="ORD-2026-0016"/>
    <s v="2026-03-30"/>
    <x v="9"/>
    <s v="Q1"/>
    <x v="12"/>
    <x v="4"/>
    <x v="1"/>
    <s v="Bengaluru"/>
    <x v="4"/>
    <x v="1"/>
    <x v="7"/>
    <n v="2777.29"/>
    <n v="3"/>
    <x v="15"/>
    <n v="0.9"/>
    <x v="15"/>
    <n v="61.1"/>
    <n v="5044.95"/>
    <x v="1"/>
  </r>
  <r>
    <s v="ORD-2026-0017"/>
    <s v="2026-03-12"/>
    <x v="9"/>
    <s v="Q1"/>
    <x v="8"/>
    <x v="3"/>
    <x v="4"/>
    <s v="Chandigarh"/>
    <x v="4"/>
    <x v="2"/>
    <x v="5"/>
    <n v="1422.52"/>
    <n v="17"/>
    <x v="16"/>
    <n v="22.1"/>
    <x v="16"/>
    <n v="27.7"/>
    <n v="5218.25"/>
    <x v="0"/>
  </r>
  <r>
    <s v="ORD-2026-0018"/>
    <s v="2026-09-12"/>
    <x v="3"/>
    <s v="Q3"/>
    <x v="13"/>
    <x v="4"/>
    <x v="3"/>
    <s v="Surat"/>
    <x v="2"/>
    <x v="0"/>
    <x v="2"/>
    <n v="3497.57"/>
    <n v="13"/>
    <x v="17"/>
    <n v="8.6"/>
    <x v="17"/>
    <n v="55.3"/>
    <n v="22981.65"/>
    <x v="1"/>
  </r>
  <r>
    <s v="ORD-2026-0019"/>
    <s v="2026-02-18"/>
    <x v="6"/>
    <s v="Q1"/>
    <x v="14"/>
    <x v="2"/>
    <x v="2"/>
    <s v="Bhopal"/>
    <x v="1"/>
    <x v="3"/>
    <x v="6"/>
    <n v="773.87"/>
    <n v="4"/>
    <x v="18"/>
    <n v="13.1"/>
    <x v="18"/>
    <n v="30.7"/>
    <n v="825.82"/>
    <x v="1"/>
  </r>
  <r>
    <s v="ORD-2026-0020"/>
    <s v="2026-06-30"/>
    <x v="10"/>
    <s v="Q2"/>
    <x v="10"/>
    <x v="1"/>
    <x v="0"/>
    <s v="Bhubaneswar"/>
    <x v="3"/>
    <x v="2"/>
    <x v="3"/>
    <n v="19840.099999999999"/>
    <n v="22"/>
    <x v="19"/>
    <n v="0.7"/>
    <x v="19"/>
    <n v="32.4"/>
    <n v="140430.29"/>
    <x v="0"/>
  </r>
  <r>
    <s v="ORD-2026-0021"/>
    <s v="2026-05-16"/>
    <x v="11"/>
    <s v="Q2"/>
    <x v="12"/>
    <x v="4"/>
    <x v="1"/>
    <s v="Kochi"/>
    <x v="1"/>
    <x v="3"/>
    <x v="4"/>
    <n v="2364.37"/>
    <n v="19"/>
    <x v="20"/>
    <n v="13.9"/>
    <x v="20"/>
    <n v="54.4"/>
    <n v="21041.23"/>
    <x v="1"/>
  </r>
  <r>
    <s v="ORD-2026-0022"/>
    <s v="2026-05-30"/>
    <x v="11"/>
    <s v="Q2"/>
    <x v="15"/>
    <x v="2"/>
    <x v="1"/>
    <s v="Chennai"/>
    <x v="2"/>
    <x v="2"/>
    <x v="6"/>
    <n v="1003.32"/>
    <n v="4"/>
    <x v="21"/>
    <n v="6.9"/>
    <x v="21"/>
    <n v="30.2"/>
    <n v="1128.3800000000001"/>
    <x v="0"/>
  </r>
  <r>
    <s v="ORD-2026-0023"/>
    <s v="2026-05-01"/>
    <x v="11"/>
    <s v="Q2"/>
    <x v="16"/>
    <x v="0"/>
    <x v="3"/>
    <s v="Ahmedabad"/>
    <x v="3"/>
    <x v="3"/>
    <x v="3"/>
    <n v="82784.160000000003"/>
    <n v="25"/>
    <x v="22"/>
    <n v="24.1"/>
    <x v="22"/>
    <n v="17.100000000000001"/>
    <n v="268611.83"/>
    <x v="1"/>
  </r>
  <r>
    <s v="ORD-2026-0024"/>
    <s v="2026-07-26"/>
    <x v="5"/>
    <s v="Q3"/>
    <x v="17"/>
    <x v="4"/>
    <x v="0"/>
    <s v="Bhubaneswar"/>
    <x v="0"/>
    <x v="0"/>
    <x v="5"/>
    <n v="1395.9"/>
    <n v="15"/>
    <x v="23"/>
    <n v="16.399999999999999"/>
    <x v="23"/>
    <n v="62.6"/>
    <n v="10957.87"/>
    <x v="1"/>
  </r>
  <r>
    <s v="ORD-2026-0025"/>
    <s v="2026-07-02"/>
    <x v="5"/>
    <s v="Q3"/>
    <x v="18"/>
    <x v="3"/>
    <x v="4"/>
    <s v="Jaipur"/>
    <x v="3"/>
    <x v="2"/>
    <x v="8"/>
    <n v="6271.23"/>
    <n v="17"/>
    <x v="24"/>
    <n v="23.1"/>
    <x v="24"/>
    <n v="39.700000000000003"/>
    <n v="32547.56"/>
    <x v="1"/>
  </r>
  <r>
    <s v="ORD-2026-0026"/>
    <s v="2026-06-25"/>
    <x v="10"/>
    <s v="Q2"/>
    <x v="11"/>
    <x v="2"/>
    <x v="4"/>
    <s v="Delhi"/>
    <x v="3"/>
    <x v="1"/>
    <x v="0"/>
    <n v="514.72"/>
    <n v="14"/>
    <x v="25"/>
    <n v="22.6"/>
    <x v="25"/>
    <n v="25.7"/>
    <n v="1433.42"/>
    <x v="1"/>
  </r>
  <r>
    <s v="ORD-2026-0027"/>
    <s v="2026-01-15"/>
    <x v="7"/>
    <s v="Q1"/>
    <x v="19"/>
    <x v="0"/>
    <x v="4"/>
    <s v="Chandigarh"/>
    <x v="2"/>
    <x v="0"/>
    <x v="5"/>
    <n v="6914.66"/>
    <n v="17"/>
    <x v="26"/>
    <n v="16.2"/>
    <x v="26"/>
    <n v="19.100000000000001"/>
    <n v="18814.689999999999"/>
    <x v="2"/>
  </r>
  <r>
    <s v="ORD-2026-0028"/>
    <s v="2026-12-05"/>
    <x v="1"/>
    <s v="Q4"/>
    <x v="20"/>
    <x v="1"/>
    <x v="1"/>
    <s v="Kochi"/>
    <x v="2"/>
    <x v="1"/>
    <x v="9"/>
    <n v="35505.47"/>
    <n v="22"/>
    <x v="27"/>
    <n v="3.1"/>
    <x v="27"/>
    <n v="33.299999999999997"/>
    <n v="252049.57"/>
    <x v="1"/>
  </r>
  <r>
    <s v="ORD-2026-0029"/>
    <s v="2026-11-17"/>
    <x v="0"/>
    <s v="Q4"/>
    <x v="0"/>
    <x v="0"/>
    <x v="4"/>
    <s v="Delhi"/>
    <x v="1"/>
    <x v="3"/>
    <x v="3"/>
    <n v="28830.09"/>
    <n v="16"/>
    <x v="28"/>
    <n v="24"/>
    <x v="28"/>
    <n v="20.399999999999999"/>
    <n v="71517.070000000007"/>
    <x v="1"/>
  </r>
  <r>
    <s v="ORD-2026-0030"/>
    <s v="2026-11-18"/>
    <x v="0"/>
    <s v="Q4"/>
    <x v="11"/>
    <x v="2"/>
    <x v="0"/>
    <s v="Guwahati"/>
    <x v="3"/>
    <x v="1"/>
    <x v="3"/>
    <n v="985.21"/>
    <n v="25"/>
    <x v="29"/>
    <n v="1.4"/>
    <x v="29"/>
    <n v="35.799999999999997"/>
    <n v="8694.18"/>
    <x v="0"/>
  </r>
  <r>
    <s v="ORD-2026-0031"/>
    <s v="2026-06-25"/>
    <x v="10"/>
    <s v="Q2"/>
    <x v="21"/>
    <x v="5"/>
    <x v="3"/>
    <s v="Pune"/>
    <x v="2"/>
    <x v="2"/>
    <x v="7"/>
    <n v="3623.17"/>
    <n v="12"/>
    <x v="30"/>
    <n v="5.8"/>
    <x v="30"/>
    <n v="60.8"/>
    <n v="24901.439999999999"/>
    <x v="2"/>
  </r>
  <r>
    <s v="ORD-2026-0032"/>
    <s v="2026-03-23"/>
    <x v="9"/>
    <s v="Q1"/>
    <x v="22"/>
    <x v="3"/>
    <x v="3"/>
    <s v="Surat"/>
    <x v="1"/>
    <x v="0"/>
    <x v="4"/>
    <n v="5073.5200000000004"/>
    <n v="16"/>
    <x v="31"/>
    <n v="16.8"/>
    <x v="31"/>
    <n v="45.3"/>
    <n v="30595.03"/>
    <x v="1"/>
  </r>
  <r>
    <s v="ORD-2026-0033"/>
    <s v="2026-05-16"/>
    <x v="11"/>
    <s v="Q2"/>
    <x v="11"/>
    <x v="2"/>
    <x v="2"/>
    <s v="Nagpur"/>
    <x v="3"/>
    <x v="1"/>
    <x v="0"/>
    <n v="1082.29"/>
    <n v="2"/>
    <x v="32"/>
    <n v="2.1"/>
    <x v="32"/>
    <n v="33.299999999999997"/>
    <n v="705.67"/>
    <x v="1"/>
  </r>
  <r>
    <s v="ORD-2026-0034"/>
    <s v="2026-11-26"/>
    <x v="0"/>
    <s v="Q4"/>
    <x v="23"/>
    <x v="2"/>
    <x v="2"/>
    <s v="Bhopal"/>
    <x v="0"/>
    <x v="3"/>
    <x v="6"/>
    <n v="161.5"/>
    <n v="13"/>
    <x v="33"/>
    <n v="24.1"/>
    <x v="33"/>
    <n v="27.1"/>
    <n v="431.84"/>
    <x v="1"/>
  </r>
  <r>
    <s v="ORD-2026-0035"/>
    <s v="2026-04-08"/>
    <x v="4"/>
    <s v="Q2"/>
    <x v="24"/>
    <x v="5"/>
    <x v="3"/>
    <s v="Ahmedabad"/>
    <x v="2"/>
    <x v="2"/>
    <x v="8"/>
    <n v="1866.97"/>
    <n v="9"/>
    <x v="34"/>
    <n v="18.399999999999999"/>
    <x v="34"/>
    <n v="45.5"/>
    <n v="6238.52"/>
    <x v="2"/>
  </r>
  <r>
    <s v="ORD-2026-0036"/>
    <s v="2026-08-05"/>
    <x v="8"/>
    <s v="Q3"/>
    <x v="25"/>
    <x v="5"/>
    <x v="3"/>
    <s v="Pune"/>
    <x v="0"/>
    <x v="3"/>
    <x v="2"/>
    <n v="1185.8800000000001"/>
    <n v="24"/>
    <x v="35"/>
    <n v="21.2"/>
    <x v="35"/>
    <n v="53.1"/>
    <n v="11908.93"/>
    <x v="1"/>
  </r>
  <r>
    <s v="ORD-2026-0037"/>
    <s v="2026-11-26"/>
    <x v="0"/>
    <s v="Q4"/>
    <x v="14"/>
    <x v="2"/>
    <x v="2"/>
    <s v="Nagpur"/>
    <x v="2"/>
    <x v="3"/>
    <x v="8"/>
    <n v="301.64"/>
    <n v="1"/>
    <x v="36"/>
    <n v="12.9"/>
    <x v="36"/>
    <n v="39.299999999999997"/>
    <n v="103.25"/>
    <x v="0"/>
  </r>
  <r>
    <s v="ORD-2026-0038"/>
    <s v="2026-09-06"/>
    <x v="3"/>
    <s v="Q3"/>
    <x v="26"/>
    <x v="2"/>
    <x v="1"/>
    <s v="Bengaluru"/>
    <x v="4"/>
    <x v="2"/>
    <x v="0"/>
    <n v="843.98"/>
    <n v="20"/>
    <x v="37"/>
    <n v="3.2"/>
    <x v="37"/>
    <n v="32.6"/>
    <n v="5326.66"/>
    <x v="3"/>
  </r>
  <r>
    <s v="ORD-2026-0039"/>
    <s v="2026-12-16"/>
    <x v="1"/>
    <s v="Q4"/>
    <x v="14"/>
    <x v="2"/>
    <x v="4"/>
    <s v="Jaipur"/>
    <x v="0"/>
    <x v="2"/>
    <x v="6"/>
    <n v="585.91999999999996"/>
    <n v="16"/>
    <x v="38"/>
    <n v="13"/>
    <x v="38"/>
    <n v="20.9"/>
    <n v="1704.61"/>
    <x v="2"/>
  </r>
  <r>
    <s v="ORD-2026-0040"/>
    <s v="2026-06-16"/>
    <x v="10"/>
    <s v="Q2"/>
    <x v="19"/>
    <x v="0"/>
    <x v="4"/>
    <s v="Lucknow"/>
    <x v="2"/>
    <x v="0"/>
    <x v="5"/>
    <n v="77470.34"/>
    <n v="25"/>
    <x v="39"/>
    <n v="18.8"/>
    <x v="39"/>
    <n v="18.2"/>
    <n v="286221.92"/>
    <x v="1"/>
  </r>
  <r>
    <s v="ORD-2026-0041"/>
    <s v="2026-06-29"/>
    <x v="10"/>
    <s v="Q2"/>
    <x v="6"/>
    <x v="2"/>
    <x v="1"/>
    <s v="Kochi"/>
    <x v="1"/>
    <x v="1"/>
    <x v="7"/>
    <n v="374.08"/>
    <n v="15"/>
    <x v="40"/>
    <n v="17.2"/>
    <x v="40"/>
    <n v="23.3"/>
    <n v="1082.53"/>
    <x v="1"/>
  </r>
  <r>
    <s v="ORD-2026-0042"/>
    <s v="2026-05-17"/>
    <x v="11"/>
    <s v="Q2"/>
    <x v="27"/>
    <x v="3"/>
    <x v="2"/>
    <s v="Raipur"/>
    <x v="2"/>
    <x v="1"/>
    <x v="3"/>
    <n v="6013.52"/>
    <n v="5"/>
    <x v="41"/>
    <n v="8.1999999999999993"/>
    <x v="41"/>
    <n v="33.200000000000003"/>
    <n v="9163.8799999999992"/>
    <x v="1"/>
  </r>
  <r>
    <s v="ORD-2026-0043"/>
    <s v="2026-08-23"/>
    <x v="8"/>
    <s v="Q3"/>
    <x v="22"/>
    <x v="3"/>
    <x v="0"/>
    <s v="Guwahati"/>
    <x v="4"/>
    <x v="3"/>
    <x v="3"/>
    <n v="2337.35"/>
    <n v="5"/>
    <x v="42"/>
    <n v="3.1"/>
    <x v="42"/>
    <n v="36.6"/>
    <n v="4144.75"/>
    <x v="1"/>
  </r>
  <r>
    <s v="ORD-2026-0044"/>
    <s v="2026-12-14"/>
    <x v="1"/>
    <s v="Q4"/>
    <x v="27"/>
    <x v="3"/>
    <x v="0"/>
    <s v="Bhubaneswar"/>
    <x v="4"/>
    <x v="2"/>
    <x v="8"/>
    <n v="6163.82"/>
    <n v="11"/>
    <x v="43"/>
    <n v="19.2"/>
    <x v="43"/>
    <n v="24.5"/>
    <n v="13422.09"/>
    <x v="1"/>
  </r>
  <r>
    <s v="ORD-2026-0045"/>
    <s v="2026-10-24"/>
    <x v="2"/>
    <s v="Q4"/>
    <x v="28"/>
    <x v="0"/>
    <x v="3"/>
    <s v="Surat"/>
    <x v="4"/>
    <x v="0"/>
    <x v="8"/>
    <n v="69785.899999999994"/>
    <n v="1"/>
    <x v="44"/>
    <n v="17.5"/>
    <x v="44"/>
    <n v="17.3"/>
    <n v="9960.19"/>
    <x v="1"/>
  </r>
  <r>
    <s v="ORD-2026-0046"/>
    <s v="2026-01-10"/>
    <x v="7"/>
    <s v="Q1"/>
    <x v="5"/>
    <x v="0"/>
    <x v="4"/>
    <s v="Chandigarh"/>
    <x v="4"/>
    <x v="2"/>
    <x v="0"/>
    <n v="72790.210000000006"/>
    <n v="21"/>
    <x v="45"/>
    <n v="21.3"/>
    <x v="45"/>
    <n v="14.4"/>
    <n v="173232.55"/>
    <x v="1"/>
  </r>
  <r>
    <s v="ORD-2026-0047"/>
    <s v="2026-03-21"/>
    <x v="9"/>
    <s v="Q1"/>
    <x v="29"/>
    <x v="3"/>
    <x v="0"/>
    <s v="Bhubaneswar"/>
    <x v="4"/>
    <x v="1"/>
    <x v="0"/>
    <n v="986.2"/>
    <n v="23"/>
    <x v="46"/>
    <n v="19.2"/>
    <x v="46"/>
    <n v="26.9"/>
    <n v="4930.1099999999997"/>
    <x v="3"/>
  </r>
  <r>
    <s v="ORD-2026-0048"/>
    <s v="2026-10-14"/>
    <x v="2"/>
    <s v="Q4"/>
    <x v="8"/>
    <x v="3"/>
    <x v="1"/>
    <s v="Bengaluru"/>
    <x v="3"/>
    <x v="2"/>
    <x v="5"/>
    <n v="6436.99"/>
    <n v="3"/>
    <x v="47"/>
    <n v="17.8"/>
    <x v="47"/>
    <n v="36.799999999999997"/>
    <n v="5841.49"/>
    <x v="2"/>
  </r>
  <r>
    <s v="ORD-2026-0049"/>
    <s v="2026-12-03"/>
    <x v="1"/>
    <s v="Q4"/>
    <x v="28"/>
    <x v="0"/>
    <x v="1"/>
    <s v="Hyderabad"/>
    <x v="2"/>
    <x v="2"/>
    <x v="8"/>
    <n v="53846.26"/>
    <n v="17"/>
    <x v="48"/>
    <n v="24.7"/>
    <x v="48"/>
    <n v="31.8"/>
    <n v="219192.94"/>
    <x v="0"/>
  </r>
  <r>
    <s v="ORD-2026-0050"/>
    <s v="2026-01-12"/>
    <x v="7"/>
    <s v="Q1"/>
    <x v="30"/>
    <x v="4"/>
    <x v="3"/>
    <s v="Ahmedabad"/>
    <x v="2"/>
    <x v="0"/>
    <x v="9"/>
    <n v="1169.33"/>
    <n v="11"/>
    <x v="49"/>
    <n v="0.9"/>
    <x v="49"/>
    <n v="68.099999999999994"/>
    <n v="8680.6200000000008"/>
    <x v="1"/>
  </r>
  <r>
    <s v="ORD-2026-0051"/>
    <s v="2026-07-30"/>
    <x v="5"/>
    <s v="Q3"/>
    <x v="14"/>
    <x v="2"/>
    <x v="0"/>
    <s v="Kolkata"/>
    <x v="0"/>
    <x v="2"/>
    <x v="7"/>
    <n v="816.21"/>
    <n v="24"/>
    <x v="50"/>
    <n v="5.5"/>
    <x v="50"/>
    <n v="27.6"/>
    <n v="5109.21"/>
    <x v="1"/>
  </r>
  <r>
    <s v="ORD-2026-0052"/>
    <s v="2026-07-04"/>
    <x v="5"/>
    <s v="Q3"/>
    <x v="31"/>
    <x v="4"/>
    <x v="4"/>
    <s v="Delhi"/>
    <x v="0"/>
    <x v="1"/>
    <x v="1"/>
    <n v="3440.59"/>
    <n v="17"/>
    <x v="51"/>
    <n v="12.2"/>
    <x v="51"/>
    <n v="62.3"/>
    <n v="31993.7"/>
    <x v="2"/>
  </r>
  <r>
    <s v="ORD-2026-0053"/>
    <s v="2026-08-26"/>
    <x v="8"/>
    <s v="Q3"/>
    <x v="31"/>
    <x v="4"/>
    <x v="2"/>
    <s v="Bhopal"/>
    <x v="4"/>
    <x v="1"/>
    <x v="3"/>
    <n v="3498.55"/>
    <n v="21"/>
    <x v="52"/>
    <n v="15.2"/>
    <x v="52"/>
    <n v="50.6"/>
    <n v="31524.9"/>
    <x v="1"/>
  </r>
  <r>
    <s v="ORD-2026-0054"/>
    <s v="2026-06-16"/>
    <x v="10"/>
    <s v="Q2"/>
    <x v="25"/>
    <x v="5"/>
    <x v="0"/>
    <s v="Guwahati"/>
    <x v="0"/>
    <x v="1"/>
    <x v="2"/>
    <n v="3945.19"/>
    <n v="23"/>
    <x v="53"/>
    <n v="14"/>
    <x v="53"/>
    <n v="49.7"/>
    <n v="38783.82"/>
    <x v="0"/>
  </r>
  <r>
    <s v="ORD-2026-0055"/>
    <s v="2026-12-03"/>
    <x v="1"/>
    <s v="Q4"/>
    <x v="4"/>
    <x v="4"/>
    <x v="2"/>
    <s v="Nagpur"/>
    <x v="3"/>
    <x v="2"/>
    <x v="1"/>
    <n v="2877.31"/>
    <n v="5"/>
    <x v="54"/>
    <n v="3.3"/>
    <x v="54"/>
    <n v="65.5"/>
    <n v="9112.2199999999993"/>
    <x v="2"/>
  </r>
  <r>
    <s v="ORD-2026-0056"/>
    <s v="2026-12-21"/>
    <x v="1"/>
    <s v="Q4"/>
    <x v="32"/>
    <x v="5"/>
    <x v="1"/>
    <s v="Chennai"/>
    <x v="1"/>
    <x v="0"/>
    <x v="0"/>
    <n v="1556.53"/>
    <n v="18"/>
    <x v="55"/>
    <n v="3.2"/>
    <x v="55"/>
    <n v="54.6"/>
    <n v="14808.06"/>
    <x v="1"/>
  </r>
  <r>
    <s v="ORD-2026-0057"/>
    <s v="2026-08-27"/>
    <x v="8"/>
    <s v="Q3"/>
    <x v="20"/>
    <x v="1"/>
    <x v="2"/>
    <s v="Raipur"/>
    <x v="1"/>
    <x v="2"/>
    <x v="2"/>
    <n v="43191.33"/>
    <n v="10"/>
    <x v="56"/>
    <n v="9.1"/>
    <x v="56"/>
    <n v="33.299999999999997"/>
    <n v="130738.86"/>
    <x v="1"/>
  </r>
  <r>
    <s v="ORD-2026-0058"/>
    <s v="2026-12-24"/>
    <x v="1"/>
    <s v="Q4"/>
    <x v="27"/>
    <x v="3"/>
    <x v="2"/>
    <s v="Indore"/>
    <x v="2"/>
    <x v="3"/>
    <x v="2"/>
    <n v="649.38"/>
    <n v="1"/>
    <x v="57"/>
    <n v="8.8000000000000007"/>
    <x v="57"/>
    <n v="23.5"/>
    <n v="139.16999999999999"/>
    <x v="0"/>
  </r>
  <r>
    <s v="ORD-2026-0059"/>
    <s v="2026-03-29"/>
    <x v="9"/>
    <s v="Q1"/>
    <x v="31"/>
    <x v="4"/>
    <x v="1"/>
    <s v="Chennai"/>
    <x v="4"/>
    <x v="1"/>
    <x v="8"/>
    <n v="3501.54"/>
    <n v="3"/>
    <x v="58"/>
    <n v="10.8"/>
    <x v="58"/>
    <n v="58.1"/>
    <n v="5444.04"/>
    <x v="0"/>
  </r>
  <r>
    <s v="ORD-2026-0060"/>
    <s v="2026-04-18"/>
    <x v="4"/>
    <s v="Q2"/>
    <x v="25"/>
    <x v="5"/>
    <x v="2"/>
    <s v="Raipur"/>
    <x v="0"/>
    <x v="0"/>
    <x v="6"/>
    <n v="4960.76"/>
    <n v="14"/>
    <x v="59"/>
    <n v="11.5"/>
    <x v="59"/>
    <n v="55.3"/>
    <n v="33989.49"/>
    <x v="1"/>
  </r>
  <r>
    <s v="ORD-2026-0061"/>
    <s v="2026-02-28"/>
    <x v="6"/>
    <s v="Q1"/>
    <x v="24"/>
    <x v="5"/>
    <x v="1"/>
    <s v="Chennai"/>
    <x v="4"/>
    <x v="1"/>
    <x v="5"/>
    <n v="843.51"/>
    <n v="3"/>
    <x v="60"/>
    <n v="17"/>
    <x v="60"/>
    <n v="46.5"/>
    <n v="976.66"/>
    <x v="2"/>
  </r>
  <r>
    <s v="ORD-2026-0062"/>
    <s v="2026-07-06"/>
    <x v="5"/>
    <s v="Q3"/>
    <x v="19"/>
    <x v="0"/>
    <x v="2"/>
    <s v="Nagpur"/>
    <x v="4"/>
    <x v="0"/>
    <x v="1"/>
    <n v="92345.93"/>
    <n v="21"/>
    <x v="61"/>
    <n v="15.9"/>
    <x v="61"/>
    <n v="29.9"/>
    <n v="487645.52"/>
    <x v="1"/>
  </r>
  <r>
    <s v="ORD-2026-0063"/>
    <s v="2026-08-22"/>
    <x v="8"/>
    <s v="Q3"/>
    <x v="6"/>
    <x v="2"/>
    <x v="3"/>
    <s v="Mumbai"/>
    <x v="0"/>
    <x v="2"/>
    <x v="1"/>
    <n v="1477.59"/>
    <n v="4"/>
    <x v="62"/>
    <n v="14"/>
    <x v="62"/>
    <n v="37"/>
    <n v="1880.68"/>
    <x v="3"/>
  </r>
  <r>
    <s v="ORD-2026-0064"/>
    <s v="2026-02-20"/>
    <x v="6"/>
    <s v="Q1"/>
    <x v="27"/>
    <x v="3"/>
    <x v="4"/>
    <s v="Lucknow"/>
    <x v="2"/>
    <x v="3"/>
    <x v="6"/>
    <n v="4309.6000000000004"/>
    <n v="12"/>
    <x v="63"/>
    <n v="19.899999999999999"/>
    <x v="63"/>
    <n v="36.200000000000003"/>
    <n v="14995.44"/>
    <x v="2"/>
  </r>
  <r>
    <s v="ORD-2026-0065"/>
    <s v="2026-10-22"/>
    <x v="2"/>
    <s v="Q4"/>
    <x v="30"/>
    <x v="4"/>
    <x v="4"/>
    <s v="Jaipur"/>
    <x v="0"/>
    <x v="3"/>
    <x v="2"/>
    <n v="465.95"/>
    <n v="15"/>
    <x v="64"/>
    <n v="9.6999999999999993"/>
    <x v="64"/>
    <n v="61.5"/>
    <n v="3881.44"/>
    <x v="1"/>
  </r>
  <r>
    <s v="ORD-2026-0066"/>
    <s v="2026-01-24"/>
    <x v="7"/>
    <s v="Q1"/>
    <x v="23"/>
    <x v="2"/>
    <x v="1"/>
    <s v="Bengaluru"/>
    <x v="0"/>
    <x v="3"/>
    <x v="8"/>
    <n v="136.22"/>
    <n v="13"/>
    <x v="65"/>
    <n v="13.4"/>
    <x v="65"/>
    <n v="20.2"/>
    <n v="309.77999999999997"/>
    <x v="1"/>
  </r>
  <r>
    <s v="ORD-2026-0067"/>
    <s v="2026-05-05"/>
    <x v="11"/>
    <s v="Q2"/>
    <x v="33"/>
    <x v="3"/>
    <x v="1"/>
    <s v="Chennai"/>
    <x v="0"/>
    <x v="2"/>
    <x v="5"/>
    <n v="2970.18"/>
    <n v="16"/>
    <x v="66"/>
    <n v="17.899999999999999"/>
    <x v="66"/>
    <n v="28.3"/>
    <n v="11041.61"/>
    <x v="1"/>
  </r>
  <r>
    <s v="ORD-2026-0068"/>
    <s v="2026-10-30"/>
    <x v="2"/>
    <s v="Q4"/>
    <x v="19"/>
    <x v="0"/>
    <x v="3"/>
    <s v="Surat"/>
    <x v="0"/>
    <x v="3"/>
    <x v="7"/>
    <n v="26303.75"/>
    <n v="6"/>
    <x v="67"/>
    <n v="19.2"/>
    <x v="67"/>
    <n v="20.8"/>
    <n v="26524.28"/>
    <x v="1"/>
  </r>
  <r>
    <s v="ORD-2026-0069"/>
    <s v="2026-09-24"/>
    <x v="3"/>
    <s v="Q3"/>
    <x v="25"/>
    <x v="5"/>
    <x v="3"/>
    <s v="Ahmedabad"/>
    <x v="4"/>
    <x v="3"/>
    <x v="8"/>
    <n v="3731.12"/>
    <n v="17"/>
    <x v="68"/>
    <n v="3.5"/>
    <x v="68"/>
    <n v="49.2"/>
    <n v="30114.84"/>
    <x v="1"/>
  </r>
  <r>
    <s v="ORD-2026-0070"/>
    <s v="2026-02-08"/>
    <x v="6"/>
    <s v="Q1"/>
    <x v="4"/>
    <x v="4"/>
    <x v="2"/>
    <s v="Bhopal"/>
    <x v="4"/>
    <x v="0"/>
    <x v="6"/>
    <n v="831.17"/>
    <n v="17"/>
    <x v="69"/>
    <n v="9.1999999999999993"/>
    <x v="69"/>
    <n v="50.9"/>
    <n v="6530.44"/>
    <x v="1"/>
  </r>
  <r>
    <s v="ORD-2026-0071"/>
    <s v="2026-03-28"/>
    <x v="9"/>
    <s v="Q1"/>
    <x v="0"/>
    <x v="0"/>
    <x v="3"/>
    <s v="Ahmedabad"/>
    <x v="2"/>
    <x v="3"/>
    <x v="1"/>
    <n v="40183.89"/>
    <n v="1"/>
    <x v="70"/>
    <n v="1.3"/>
    <x v="70"/>
    <n v="16.899999999999999"/>
    <n v="6702.79"/>
    <x v="2"/>
  </r>
  <r>
    <s v="ORD-2026-0072"/>
    <s v="2026-10-09"/>
    <x v="2"/>
    <s v="Q4"/>
    <x v="34"/>
    <x v="5"/>
    <x v="4"/>
    <s v="Delhi"/>
    <x v="2"/>
    <x v="0"/>
    <x v="3"/>
    <n v="1326.2"/>
    <n v="21"/>
    <x v="71"/>
    <n v="14.1"/>
    <x v="71"/>
    <n v="57.3"/>
    <n v="13708.06"/>
    <x v="0"/>
  </r>
  <r>
    <s v="ORD-2026-0073"/>
    <s v="2026-02-16"/>
    <x v="6"/>
    <s v="Q1"/>
    <x v="8"/>
    <x v="3"/>
    <x v="4"/>
    <s v="Delhi"/>
    <x v="2"/>
    <x v="1"/>
    <x v="4"/>
    <n v="8624.65"/>
    <n v="7"/>
    <x v="72"/>
    <n v="24.3"/>
    <x v="72"/>
    <n v="38.9"/>
    <n v="17778.09"/>
    <x v="1"/>
  </r>
  <r>
    <s v="ORD-2026-0074"/>
    <s v="2026-10-07"/>
    <x v="2"/>
    <s v="Q4"/>
    <x v="11"/>
    <x v="2"/>
    <x v="2"/>
    <s v="Bhopal"/>
    <x v="4"/>
    <x v="3"/>
    <x v="3"/>
    <n v="1003.89"/>
    <n v="16"/>
    <x v="73"/>
    <n v="1.8"/>
    <x v="73"/>
    <n v="40.200000000000003"/>
    <n v="6340.79"/>
    <x v="2"/>
  </r>
  <r>
    <s v="ORD-2026-0075"/>
    <s v="2026-10-12"/>
    <x v="2"/>
    <s v="Q4"/>
    <x v="26"/>
    <x v="2"/>
    <x v="1"/>
    <s v="Kochi"/>
    <x v="0"/>
    <x v="1"/>
    <x v="2"/>
    <n v="850.46"/>
    <n v="15"/>
    <x v="74"/>
    <n v="0.8"/>
    <x v="74"/>
    <n v="20.100000000000001"/>
    <n v="2543.62"/>
    <x v="1"/>
  </r>
  <r>
    <s v="ORD-2026-0076"/>
    <s v="2026-12-02"/>
    <x v="1"/>
    <s v="Q4"/>
    <x v="24"/>
    <x v="5"/>
    <x v="1"/>
    <s v="Kochi"/>
    <x v="3"/>
    <x v="3"/>
    <x v="8"/>
    <n v="2927.12"/>
    <n v="17"/>
    <x v="75"/>
    <n v="10"/>
    <x v="75"/>
    <n v="56.2"/>
    <n v="25169.14"/>
    <x v="3"/>
  </r>
  <r>
    <s v="ORD-2026-0077"/>
    <s v="2026-08-31"/>
    <x v="8"/>
    <s v="Q3"/>
    <x v="5"/>
    <x v="0"/>
    <x v="1"/>
    <s v="Chennai"/>
    <x v="2"/>
    <x v="1"/>
    <x v="7"/>
    <n v="93258.64"/>
    <n v="19"/>
    <x v="76"/>
    <n v="19.5"/>
    <x v="76"/>
    <n v="29.3"/>
    <n v="417932.53"/>
    <x v="2"/>
  </r>
  <r>
    <s v="ORD-2026-0078"/>
    <s v="2026-12-10"/>
    <x v="1"/>
    <s v="Q4"/>
    <x v="4"/>
    <x v="4"/>
    <x v="4"/>
    <s v="Lucknow"/>
    <x v="0"/>
    <x v="2"/>
    <x v="6"/>
    <n v="726.01"/>
    <n v="13"/>
    <x v="77"/>
    <n v="17.399999999999999"/>
    <x v="77"/>
    <n v="50.2"/>
    <n v="3913.54"/>
    <x v="1"/>
  </r>
  <r>
    <s v="ORD-2026-0079"/>
    <s v="2026-06-05"/>
    <x v="10"/>
    <s v="Q2"/>
    <x v="3"/>
    <x v="3"/>
    <x v="2"/>
    <s v="Bhopal"/>
    <x v="2"/>
    <x v="3"/>
    <x v="4"/>
    <n v="481.81"/>
    <n v="9"/>
    <x v="78"/>
    <n v="9.4"/>
    <x v="78"/>
    <n v="28.2"/>
    <n v="1107.8900000000001"/>
    <x v="1"/>
  </r>
  <r>
    <s v="ORD-2026-0080"/>
    <s v="2026-03-23"/>
    <x v="9"/>
    <s v="Q1"/>
    <x v="2"/>
    <x v="2"/>
    <x v="1"/>
    <s v="Kochi"/>
    <x v="3"/>
    <x v="3"/>
    <x v="2"/>
    <n v="1099.21"/>
    <n v="19"/>
    <x v="79"/>
    <n v="16.600000000000001"/>
    <x v="79"/>
    <n v="20.3"/>
    <n v="3535.87"/>
    <x v="2"/>
  </r>
  <r>
    <s v="ORD-2026-0081"/>
    <s v="2026-06-01"/>
    <x v="10"/>
    <s v="Q2"/>
    <x v="7"/>
    <x v="0"/>
    <x v="2"/>
    <s v="Raipur"/>
    <x v="3"/>
    <x v="0"/>
    <x v="0"/>
    <n v="51762.35"/>
    <n v="5"/>
    <x v="80"/>
    <n v="6.3"/>
    <x v="80"/>
    <n v="20.2"/>
    <n v="48986.34"/>
    <x v="1"/>
  </r>
  <r>
    <s v="ORD-2026-0082"/>
    <s v="2026-05-21"/>
    <x v="11"/>
    <s v="Q2"/>
    <x v="19"/>
    <x v="0"/>
    <x v="4"/>
    <s v="Jaipur"/>
    <x v="2"/>
    <x v="2"/>
    <x v="7"/>
    <n v="24309.279999999999"/>
    <n v="11"/>
    <x v="81"/>
    <n v="1.7"/>
    <x v="81"/>
    <n v="20.9"/>
    <n v="54936.95"/>
    <x v="1"/>
  </r>
  <r>
    <s v="ORD-2026-0083"/>
    <s v="2026-10-08"/>
    <x v="2"/>
    <s v="Q4"/>
    <x v="18"/>
    <x v="3"/>
    <x v="2"/>
    <s v="Bhopal"/>
    <x v="1"/>
    <x v="2"/>
    <x v="5"/>
    <n v="3869.84"/>
    <n v="10"/>
    <x v="82"/>
    <n v="20.5"/>
    <x v="82"/>
    <n v="44.4"/>
    <n v="13659.76"/>
    <x v="1"/>
  </r>
  <r>
    <s v="ORD-2026-0084"/>
    <s v="2026-10-02"/>
    <x v="2"/>
    <s v="Q4"/>
    <x v="35"/>
    <x v="5"/>
    <x v="0"/>
    <s v="Bhubaneswar"/>
    <x v="0"/>
    <x v="2"/>
    <x v="3"/>
    <n v="1078.6199999999999"/>
    <n v="4"/>
    <x v="83"/>
    <n v="3.2"/>
    <x v="83"/>
    <n v="43.5"/>
    <n v="1816.74"/>
    <x v="1"/>
  </r>
  <r>
    <s v="ORD-2026-0085"/>
    <s v="2026-06-04"/>
    <x v="10"/>
    <s v="Q2"/>
    <x v="12"/>
    <x v="4"/>
    <x v="3"/>
    <s v="Pune"/>
    <x v="2"/>
    <x v="1"/>
    <x v="5"/>
    <n v="2834.71"/>
    <n v="12"/>
    <x v="84"/>
    <n v="11.3"/>
    <x v="84"/>
    <n v="68.8"/>
    <n v="20758.78"/>
    <x v="1"/>
  </r>
  <r>
    <s v="ORD-2026-0086"/>
    <s v="2026-01-19"/>
    <x v="7"/>
    <s v="Q1"/>
    <x v="27"/>
    <x v="3"/>
    <x v="2"/>
    <s v="Indore"/>
    <x v="0"/>
    <x v="2"/>
    <x v="5"/>
    <n v="1386.81"/>
    <n v="13"/>
    <x v="85"/>
    <n v="17"/>
    <x v="85"/>
    <n v="38.5"/>
    <n v="5761.02"/>
    <x v="1"/>
  </r>
  <r>
    <s v="ORD-2026-0087"/>
    <s v="2026-09-17"/>
    <x v="3"/>
    <s v="Q3"/>
    <x v="25"/>
    <x v="5"/>
    <x v="2"/>
    <s v="Indore"/>
    <x v="4"/>
    <x v="1"/>
    <x v="4"/>
    <n v="4443.5600000000004"/>
    <n v="17"/>
    <x v="86"/>
    <n v="16.600000000000001"/>
    <x v="86"/>
    <n v="44.9"/>
    <n v="28287.35"/>
    <x v="3"/>
  </r>
  <r>
    <s v="ORD-2026-0088"/>
    <s v="2026-05-05"/>
    <x v="11"/>
    <s v="Q2"/>
    <x v="10"/>
    <x v="1"/>
    <x v="2"/>
    <s v="Raipur"/>
    <x v="2"/>
    <x v="3"/>
    <x v="6"/>
    <n v="20743.66"/>
    <n v="20"/>
    <x v="87"/>
    <n v="9.1"/>
    <x v="87"/>
    <n v="49.4"/>
    <n v="186297.15"/>
    <x v="3"/>
  </r>
  <r>
    <s v="ORD-2026-0089"/>
    <s v="2026-09-20"/>
    <x v="3"/>
    <s v="Q3"/>
    <x v="24"/>
    <x v="5"/>
    <x v="1"/>
    <s v="Hyderabad"/>
    <x v="3"/>
    <x v="3"/>
    <x v="6"/>
    <n v="1120.6600000000001"/>
    <n v="20"/>
    <x v="88"/>
    <n v="24.9"/>
    <x v="88"/>
    <n v="47.4"/>
    <n v="7978.51"/>
    <x v="1"/>
  </r>
  <r>
    <s v="ORD-2026-0090"/>
    <s v="2026-11-17"/>
    <x v="0"/>
    <s v="Q4"/>
    <x v="16"/>
    <x v="0"/>
    <x v="1"/>
    <s v="Kochi"/>
    <x v="1"/>
    <x v="2"/>
    <x v="1"/>
    <n v="39875.300000000003"/>
    <n v="15"/>
    <x v="89"/>
    <n v="15.9"/>
    <x v="89"/>
    <n v="24"/>
    <n v="120726.46"/>
    <x v="3"/>
  </r>
  <r>
    <s v="ORD-2026-0091"/>
    <s v="2026-02-20"/>
    <x v="6"/>
    <s v="Q1"/>
    <x v="28"/>
    <x v="0"/>
    <x v="4"/>
    <s v="Delhi"/>
    <x v="1"/>
    <x v="0"/>
    <x v="8"/>
    <n v="84981.85"/>
    <n v="25"/>
    <x v="90"/>
    <n v="3.8"/>
    <x v="90"/>
    <n v="18.8"/>
    <n v="384236.94"/>
    <x v="1"/>
  </r>
  <r>
    <s v="ORD-2026-0092"/>
    <s v="2026-02-20"/>
    <x v="6"/>
    <s v="Q1"/>
    <x v="4"/>
    <x v="4"/>
    <x v="1"/>
    <s v="Kochi"/>
    <x v="1"/>
    <x v="3"/>
    <x v="4"/>
    <n v="672.53"/>
    <n v="12"/>
    <x v="91"/>
    <n v="11.1"/>
    <x v="91"/>
    <n v="53.7"/>
    <n v="3852.73"/>
    <x v="3"/>
  </r>
  <r>
    <s v="ORD-2026-0093"/>
    <s v="2026-02-20"/>
    <x v="6"/>
    <s v="Q1"/>
    <x v="18"/>
    <x v="3"/>
    <x v="3"/>
    <s v="Surat"/>
    <x v="1"/>
    <x v="0"/>
    <x v="6"/>
    <n v="3979.48"/>
    <n v="3"/>
    <x v="92"/>
    <n v="1.5"/>
    <x v="92"/>
    <n v="33.5"/>
    <n v="3939.39"/>
    <x v="1"/>
  </r>
  <r>
    <s v="ORD-2026-0094"/>
    <s v="2026-03-14"/>
    <x v="9"/>
    <s v="Q1"/>
    <x v="2"/>
    <x v="2"/>
    <x v="2"/>
    <s v="Indore"/>
    <x v="2"/>
    <x v="0"/>
    <x v="6"/>
    <n v="832.57"/>
    <n v="14"/>
    <x v="93"/>
    <n v="23.8"/>
    <x v="93"/>
    <n v="20.6"/>
    <n v="1829.66"/>
    <x v="1"/>
  </r>
  <r>
    <s v="ORD-2026-0095"/>
    <s v="2026-11-13"/>
    <x v="0"/>
    <s v="Q4"/>
    <x v="29"/>
    <x v="3"/>
    <x v="1"/>
    <s v="Hyderabad"/>
    <x v="4"/>
    <x v="2"/>
    <x v="9"/>
    <n v="3473.59"/>
    <n v="25"/>
    <x v="94"/>
    <n v="21.9"/>
    <x v="94"/>
    <n v="24"/>
    <n v="16277.24"/>
    <x v="1"/>
  </r>
  <r>
    <s v="ORD-2026-0096"/>
    <s v="2026-09-27"/>
    <x v="3"/>
    <s v="Q3"/>
    <x v="33"/>
    <x v="3"/>
    <x v="2"/>
    <s v="Indore"/>
    <x v="4"/>
    <x v="2"/>
    <x v="9"/>
    <n v="4855.6400000000003"/>
    <n v="17"/>
    <x v="95"/>
    <n v="0.9"/>
    <x v="95"/>
    <n v="32.9"/>
    <n v="26913.18"/>
    <x v="1"/>
  </r>
  <r>
    <s v="ORD-2026-0097"/>
    <s v="2026-02-26"/>
    <x v="6"/>
    <s v="Q1"/>
    <x v="27"/>
    <x v="3"/>
    <x v="2"/>
    <s v="Bhopal"/>
    <x v="3"/>
    <x v="1"/>
    <x v="0"/>
    <n v="4142.3999999999996"/>
    <n v="12"/>
    <x v="96"/>
    <n v="7.7"/>
    <x v="96"/>
    <n v="43.2"/>
    <n v="19820.689999999999"/>
    <x v="1"/>
  </r>
  <r>
    <s v="ORD-2026-0098"/>
    <s v="2026-07-27"/>
    <x v="5"/>
    <s v="Q3"/>
    <x v="36"/>
    <x v="4"/>
    <x v="0"/>
    <s v="Guwahati"/>
    <x v="0"/>
    <x v="0"/>
    <x v="0"/>
    <n v="2848.26"/>
    <n v="24"/>
    <x v="97"/>
    <n v="15.9"/>
    <x v="97"/>
    <n v="70.099999999999994"/>
    <n v="40299.99"/>
    <x v="2"/>
  </r>
  <r>
    <s v="ORD-2026-0099"/>
    <s v="2026-07-13"/>
    <x v="5"/>
    <s v="Q3"/>
    <x v="37"/>
    <x v="1"/>
    <x v="4"/>
    <s v="Delhi"/>
    <x v="2"/>
    <x v="0"/>
    <x v="8"/>
    <n v="43966.7"/>
    <n v="14"/>
    <x v="98"/>
    <n v="11.3"/>
    <x v="98"/>
    <n v="46.1"/>
    <n v="251696.08"/>
    <x v="1"/>
  </r>
  <r>
    <s v="ORD-2026-0100"/>
    <s v="2026-05-31"/>
    <x v="11"/>
    <s v="Q2"/>
    <x v="2"/>
    <x v="2"/>
    <x v="3"/>
    <s v="Mumbai"/>
    <x v="3"/>
    <x v="2"/>
    <x v="5"/>
    <n v="113.03"/>
    <n v="14"/>
    <x v="99"/>
    <n v="15.1"/>
    <x v="99"/>
    <n v="29.2"/>
    <n v="392.29"/>
    <x v="0"/>
  </r>
  <r>
    <s v="ORD-2026-0101"/>
    <s v="2026-04-28"/>
    <x v="4"/>
    <s v="Q2"/>
    <x v="11"/>
    <x v="2"/>
    <x v="3"/>
    <s v="Mumbai"/>
    <x v="2"/>
    <x v="0"/>
    <x v="6"/>
    <n v="519.04999999999995"/>
    <n v="23"/>
    <x v="100"/>
    <n v="5.2"/>
    <x v="100"/>
    <n v="24.2"/>
    <n v="2738.8"/>
    <x v="1"/>
  </r>
  <r>
    <s v="ORD-2026-0102"/>
    <s v="2026-08-03"/>
    <x v="8"/>
    <s v="Q3"/>
    <x v="8"/>
    <x v="3"/>
    <x v="2"/>
    <s v="Nagpur"/>
    <x v="3"/>
    <x v="3"/>
    <x v="6"/>
    <n v="4967.0600000000004"/>
    <n v="21"/>
    <x v="101"/>
    <n v="7.2"/>
    <x v="101"/>
    <n v="38.1"/>
    <n v="36880.06"/>
    <x v="1"/>
  </r>
  <r>
    <s v="ORD-2026-0103"/>
    <s v="2026-05-27"/>
    <x v="11"/>
    <s v="Q2"/>
    <x v="30"/>
    <x v="4"/>
    <x v="3"/>
    <s v="Ahmedabad"/>
    <x v="0"/>
    <x v="0"/>
    <x v="9"/>
    <n v="338.82"/>
    <n v="15"/>
    <x v="102"/>
    <n v="14"/>
    <x v="102"/>
    <n v="71.3"/>
    <n v="3116.37"/>
    <x v="1"/>
  </r>
  <r>
    <s v="ORD-2026-0104"/>
    <s v="2026-07-23"/>
    <x v="5"/>
    <s v="Q3"/>
    <x v="28"/>
    <x v="0"/>
    <x v="3"/>
    <s v="Mumbai"/>
    <x v="3"/>
    <x v="0"/>
    <x v="0"/>
    <n v="32014.22"/>
    <n v="9"/>
    <x v="103"/>
    <n v="24.6"/>
    <x v="103"/>
    <n v="24.8"/>
    <n v="53877.63"/>
    <x v="1"/>
  </r>
  <r>
    <s v="ORD-2026-0105"/>
    <s v="2026-02-18"/>
    <x v="6"/>
    <s v="Q1"/>
    <x v="9"/>
    <x v="1"/>
    <x v="3"/>
    <s v="Pune"/>
    <x v="4"/>
    <x v="1"/>
    <x v="1"/>
    <n v="21246.36"/>
    <n v="21"/>
    <x v="104"/>
    <n v="0"/>
    <x v="104"/>
    <n v="31.5"/>
    <n v="140544.67000000001"/>
    <x v="2"/>
  </r>
  <r>
    <s v="ORD-2026-0106"/>
    <s v="2026-06-01"/>
    <x v="10"/>
    <s v="Q2"/>
    <x v="18"/>
    <x v="3"/>
    <x v="3"/>
    <s v="Mumbai"/>
    <x v="1"/>
    <x v="0"/>
    <x v="5"/>
    <n v="4856.6099999999997"/>
    <n v="5"/>
    <x v="105"/>
    <n v="4"/>
    <x v="105"/>
    <n v="27.3"/>
    <n v="6364.1"/>
    <x v="2"/>
  </r>
  <r>
    <s v="ORD-2026-0107"/>
    <s v="2026-02-17"/>
    <x v="6"/>
    <s v="Q1"/>
    <x v="38"/>
    <x v="0"/>
    <x v="0"/>
    <s v="Bhubaneswar"/>
    <x v="1"/>
    <x v="2"/>
    <x v="1"/>
    <n v="39268.57"/>
    <n v="3"/>
    <x v="106"/>
    <n v="0.3"/>
    <x v="106"/>
    <n v="29.1"/>
    <n v="34178.620000000003"/>
    <x v="1"/>
  </r>
  <r>
    <s v="ORD-2026-0108"/>
    <s v="2026-10-13"/>
    <x v="2"/>
    <s v="Q4"/>
    <x v="38"/>
    <x v="0"/>
    <x v="0"/>
    <s v="Bhubaneswar"/>
    <x v="1"/>
    <x v="1"/>
    <x v="9"/>
    <n v="52823.87"/>
    <n v="4"/>
    <x v="107"/>
    <n v="1.8"/>
    <x v="107"/>
    <n v="28.5"/>
    <n v="59135.27"/>
    <x v="1"/>
  </r>
  <r>
    <s v="ORD-2026-0109"/>
    <s v="2026-04-07"/>
    <x v="4"/>
    <s v="Q2"/>
    <x v="13"/>
    <x v="4"/>
    <x v="0"/>
    <s v="Bhubaneswar"/>
    <x v="2"/>
    <x v="0"/>
    <x v="6"/>
    <n v="2794.87"/>
    <n v="13"/>
    <x v="108"/>
    <n v="16.2"/>
    <x v="108"/>
    <n v="54"/>
    <n v="16441.55"/>
    <x v="1"/>
  </r>
  <r>
    <s v="ORD-2026-0110"/>
    <s v="2026-10-12"/>
    <x v="2"/>
    <s v="Q4"/>
    <x v="29"/>
    <x v="3"/>
    <x v="2"/>
    <s v="Bhopal"/>
    <x v="2"/>
    <x v="0"/>
    <x v="4"/>
    <n v="1476.1"/>
    <n v="10"/>
    <x v="109"/>
    <n v="20"/>
    <x v="109"/>
    <n v="42.8"/>
    <n v="5054.17"/>
    <x v="1"/>
  </r>
  <r>
    <s v="ORD-2026-0111"/>
    <s v="2026-04-17"/>
    <x v="4"/>
    <s v="Q2"/>
    <x v="15"/>
    <x v="2"/>
    <x v="1"/>
    <s v="Bengaluru"/>
    <x v="2"/>
    <x v="0"/>
    <x v="6"/>
    <n v="474.54"/>
    <n v="13"/>
    <x v="110"/>
    <n v="23.7"/>
    <x v="110"/>
    <n v="39.299999999999997"/>
    <n v="1849.84"/>
    <x v="2"/>
  </r>
  <r>
    <s v="ORD-2026-0112"/>
    <s v="2026-02-04"/>
    <x v="6"/>
    <s v="Q1"/>
    <x v="37"/>
    <x v="1"/>
    <x v="0"/>
    <s v="Guwahati"/>
    <x v="3"/>
    <x v="1"/>
    <x v="9"/>
    <n v="14567.8"/>
    <n v="5"/>
    <x v="111"/>
    <n v="17.600000000000001"/>
    <x v="111"/>
    <n v="51.3"/>
    <n v="30789.919999999998"/>
    <x v="0"/>
  </r>
  <r>
    <s v="ORD-2026-0113"/>
    <s v="2026-05-10"/>
    <x v="11"/>
    <s v="Q2"/>
    <x v="30"/>
    <x v="4"/>
    <x v="4"/>
    <s v="Jaipur"/>
    <x v="2"/>
    <x v="1"/>
    <x v="4"/>
    <n v="313.2"/>
    <n v="11"/>
    <x v="112"/>
    <n v="15.7"/>
    <x v="112"/>
    <n v="52.8"/>
    <n v="1533.47"/>
    <x v="1"/>
  </r>
  <r>
    <s v="ORD-2026-0114"/>
    <s v="2026-06-25"/>
    <x v="10"/>
    <s v="Q2"/>
    <x v="14"/>
    <x v="2"/>
    <x v="2"/>
    <s v="Indore"/>
    <x v="1"/>
    <x v="2"/>
    <x v="3"/>
    <n v="1102.97"/>
    <n v="22"/>
    <x v="113"/>
    <n v="10.7"/>
    <x v="113"/>
    <n v="29.7"/>
    <n v="6435.68"/>
    <x v="1"/>
  </r>
  <r>
    <s v="ORD-2026-0115"/>
    <s v="2026-01-11"/>
    <x v="7"/>
    <s v="Q1"/>
    <x v="33"/>
    <x v="3"/>
    <x v="2"/>
    <s v="Raipur"/>
    <x v="3"/>
    <x v="3"/>
    <x v="7"/>
    <n v="3295.31"/>
    <n v="13"/>
    <x v="114"/>
    <n v="19.100000000000001"/>
    <x v="114"/>
    <n v="36"/>
    <n v="12476.44"/>
    <x v="1"/>
  </r>
  <r>
    <s v="ORD-2026-0116"/>
    <s v="2026-05-16"/>
    <x v="11"/>
    <s v="Q2"/>
    <x v="32"/>
    <x v="5"/>
    <x v="3"/>
    <s v="Pune"/>
    <x v="4"/>
    <x v="1"/>
    <x v="9"/>
    <n v="2195.16"/>
    <n v="23"/>
    <x v="115"/>
    <n v="21.6"/>
    <x v="115"/>
    <n v="60"/>
    <n v="23749.88"/>
    <x v="3"/>
  </r>
  <r>
    <s v="ORD-2026-0117"/>
    <s v="2026-09-01"/>
    <x v="3"/>
    <s v="Q3"/>
    <x v="15"/>
    <x v="2"/>
    <x v="1"/>
    <s v="Chennai"/>
    <x v="4"/>
    <x v="1"/>
    <x v="9"/>
    <n v="743.22"/>
    <n v="22"/>
    <x v="116"/>
    <n v="1"/>
    <x v="116"/>
    <n v="18.2"/>
    <n v="2946.09"/>
    <x v="3"/>
  </r>
  <r>
    <s v="ORD-2026-0118"/>
    <s v="2026-10-12"/>
    <x v="2"/>
    <s v="Q4"/>
    <x v="33"/>
    <x v="3"/>
    <x v="2"/>
    <s v="Bhopal"/>
    <x v="3"/>
    <x v="0"/>
    <x v="5"/>
    <n v="2922.52"/>
    <n v="10"/>
    <x v="117"/>
    <n v="7.2"/>
    <x v="117"/>
    <n v="41.5"/>
    <n v="11255.21"/>
    <x v="2"/>
  </r>
  <r>
    <s v="ORD-2026-0119"/>
    <s v="2026-05-15"/>
    <x v="11"/>
    <s v="Q2"/>
    <x v="14"/>
    <x v="2"/>
    <x v="1"/>
    <s v="Hyderabad"/>
    <x v="1"/>
    <x v="2"/>
    <x v="3"/>
    <n v="950.1"/>
    <n v="24"/>
    <x v="118"/>
    <n v="19.2"/>
    <x v="118"/>
    <n v="32.299999999999997"/>
    <n v="5951.06"/>
    <x v="3"/>
  </r>
  <r>
    <s v="ORD-2026-0120"/>
    <s v="2026-04-26"/>
    <x v="4"/>
    <s v="Q2"/>
    <x v="38"/>
    <x v="0"/>
    <x v="1"/>
    <s v="Kochi"/>
    <x v="4"/>
    <x v="0"/>
    <x v="4"/>
    <n v="71181.100000000006"/>
    <n v="6"/>
    <x v="119"/>
    <n v="4.4000000000000004"/>
    <x v="119"/>
    <n v="13.6"/>
    <n v="55528.09"/>
    <x v="2"/>
  </r>
  <r>
    <s v="ORD-2026-0121"/>
    <s v="2026-06-22"/>
    <x v="10"/>
    <s v="Q2"/>
    <x v="23"/>
    <x v="2"/>
    <x v="0"/>
    <s v="Kolkata"/>
    <x v="4"/>
    <x v="0"/>
    <x v="8"/>
    <n v="1070.69"/>
    <n v="21"/>
    <x v="120"/>
    <n v="20.8"/>
    <x v="120"/>
    <n v="19.100000000000001"/>
    <n v="3401.27"/>
    <x v="2"/>
  </r>
  <r>
    <s v="ORD-2026-0122"/>
    <s v="2026-03-08"/>
    <x v="9"/>
    <s v="Q1"/>
    <x v="39"/>
    <x v="1"/>
    <x v="4"/>
    <s v="Lucknow"/>
    <x v="0"/>
    <x v="2"/>
    <x v="9"/>
    <n v="7585.8"/>
    <n v="22"/>
    <x v="121"/>
    <n v="17.600000000000001"/>
    <x v="121"/>
    <n v="34.700000000000003"/>
    <n v="47717.84"/>
    <x v="1"/>
  </r>
  <r>
    <s v="ORD-2026-0123"/>
    <s v="2026-05-21"/>
    <x v="11"/>
    <s v="Q2"/>
    <x v="14"/>
    <x v="2"/>
    <x v="2"/>
    <s v="Raipur"/>
    <x v="2"/>
    <x v="0"/>
    <x v="3"/>
    <n v="1041.75"/>
    <n v="1"/>
    <x v="122"/>
    <n v="22.8"/>
    <x v="122"/>
    <n v="34.299999999999997"/>
    <n v="275.85000000000002"/>
    <x v="1"/>
  </r>
  <r>
    <s v="ORD-2026-0124"/>
    <s v="2026-07-20"/>
    <x v="5"/>
    <s v="Q3"/>
    <x v="18"/>
    <x v="3"/>
    <x v="4"/>
    <s v="Lucknow"/>
    <x v="4"/>
    <x v="3"/>
    <x v="3"/>
    <n v="6970.01"/>
    <n v="5"/>
    <x v="123"/>
    <n v="6.7"/>
    <x v="123"/>
    <n v="28.9"/>
    <n v="9396.86"/>
    <x v="1"/>
  </r>
  <r>
    <s v="ORD-2026-0125"/>
    <s v="2026-03-09"/>
    <x v="9"/>
    <s v="Q1"/>
    <x v="16"/>
    <x v="0"/>
    <x v="4"/>
    <s v="Delhi"/>
    <x v="4"/>
    <x v="3"/>
    <x v="4"/>
    <n v="8507.09"/>
    <n v="1"/>
    <x v="124"/>
    <n v="1.1000000000000001"/>
    <x v="124"/>
    <n v="31.6"/>
    <n v="2658.67"/>
    <x v="1"/>
  </r>
  <r>
    <s v="ORD-2026-0126"/>
    <s v="2026-04-13"/>
    <x v="4"/>
    <s v="Q2"/>
    <x v="31"/>
    <x v="4"/>
    <x v="4"/>
    <s v="Delhi"/>
    <x v="2"/>
    <x v="0"/>
    <x v="4"/>
    <n v="1885.01"/>
    <n v="2"/>
    <x v="125"/>
    <n v="20.100000000000001"/>
    <x v="125"/>
    <n v="52.8"/>
    <n v="1590.47"/>
    <x v="1"/>
  </r>
  <r>
    <s v="ORD-2026-0127"/>
    <s v="2026-02-19"/>
    <x v="6"/>
    <s v="Q1"/>
    <x v="35"/>
    <x v="5"/>
    <x v="4"/>
    <s v="Jaipur"/>
    <x v="3"/>
    <x v="3"/>
    <x v="1"/>
    <n v="1764.38"/>
    <n v="17"/>
    <x v="126"/>
    <n v="17.3"/>
    <x v="126"/>
    <n v="49.5"/>
    <n v="12278.68"/>
    <x v="2"/>
  </r>
  <r>
    <s v="ORD-2026-0128"/>
    <s v="2026-01-20"/>
    <x v="7"/>
    <s v="Q1"/>
    <x v="40"/>
    <x v="1"/>
    <x v="1"/>
    <s v="Hyderabad"/>
    <x v="3"/>
    <x v="1"/>
    <x v="4"/>
    <n v="17607.669999999998"/>
    <n v="3"/>
    <x v="127"/>
    <n v="0.7"/>
    <x v="127"/>
    <n v="28.1"/>
    <n v="14739.36"/>
    <x v="1"/>
  </r>
  <r>
    <s v="ORD-2026-0129"/>
    <s v="2026-09-10"/>
    <x v="3"/>
    <s v="Q3"/>
    <x v="16"/>
    <x v="0"/>
    <x v="0"/>
    <s v="Patna"/>
    <x v="2"/>
    <x v="1"/>
    <x v="0"/>
    <n v="18749.53"/>
    <n v="7"/>
    <x v="128"/>
    <n v="24.1"/>
    <x v="128"/>
    <n v="27.1"/>
    <n v="26996"/>
    <x v="0"/>
  </r>
  <r>
    <s v="ORD-2026-0130"/>
    <s v="2026-03-18"/>
    <x v="9"/>
    <s v="Q1"/>
    <x v="21"/>
    <x v="5"/>
    <x v="4"/>
    <s v="Jaipur"/>
    <x v="4"/>
    <x v="3"/>
    <x v="8"/>
    <n v="683.06"/>
    <n v="5"/>
    <x v="129"/>
    <n v="1.1000000000000001"/>
    <x v="129"/>
    <n v="48"/>
    <n v="1621.31"/>
    <x v="2"/>
  </r>
  <r>
    <s v="ORD-2026-0131"/>
    <s v="2026-09-18"/>
    <x v="3"/>
    <s v="Q3"/>
    <x v="40"/>
    <x v="1"/>
    <x v="2"/>
    <s v="Bhopal"/>
    <x v="1"/>
    <x v="0"/>
    <x v="4"/>
    <n v="33195.449999999997"/>
    <n v="19"/>
    <x v="130"/>
    <n v="4.2"/>
    <x v="130"/>
    <n v="45.1"/>
    <n v="272504.83"/>
    <x v="1"/>
  </r>
  <r>
    <s v="ORD-2026-0132"/>
    <s v="2026-03-03"/>
    <x v="9"/>
    <s v="Q1"/>
    <x v="24"/>
    <x v="5"/>
    <x v="3"/>
    <s v="Mumbai"/>
    <x v="2"/>
    <x v="0"/>
    <x v="4"/>
    <n v="3515.09"/>
    <n v="4"/>
    <x v="131"/>
    <n v="3.1"/>
    <x v="131"/>
    <n v="50.3"/>
    <n v="6853.12"/>
    <x v="1"/>
  </r>
  <r>
    <s v="ORD-2026-0133"/>
    <s v="2026-08-05"/>
    <x v="8"/>
    <s v="Q3"/>
    <x v="33"/>
    <x v="3"/>
    <x v="3"/>
    <s v="Pune"/>
    <x v="2"/>
    <x v="3"/>
    <x v="5"/>
    <n v="4394.9799999999996"/>
    <n v="11"/>
    <x v="132"/>
    <n v="13.6"/>
    <x v="132"/>
    <n v="30.2"/>
    <n v="12614.51"/>
    <x v="1"/>
  </r>
  <r>
    <s v="ORD-2026-0134"/>
    <s v="2026-08-26"/>
    <x v="8"/>
    <s v="Q3"/>
    <x v="39"/>
    <x v="1"/>
    <x v="3"/>
    <s v="Ahmedabad"/>
    <x v="0"/>
    <x v="3"/>
    <x v="2"/>
    <n v="35918.71"/>
    <n v="17"/>
    <x v="133"/>
    <n v="22.6"/>
    <x v="133"/>
    <n v="31.5"/>
    <n v="148874.79"/>
    <x v="1"/>
  </r>
  <r>
    <s v="ORD-2026-0135"/>
    <s v="2026-04-25"/>
    <x v="4"/>
    <s v="Q2"/>
    <x v="14"/>
    <x v="2"/>
    <x v="4"/>
    <s v="Jaipur"/>
    <x v="4"/>
    <x v="1"/>
    <x v="3"/>
    <n v="736.26"/>
    <n v="22"/>
    <x v="134"/>
    <n v="17.7"/>
    <x v="134"/>
    <n v="41.8"/>
    <n v="5572.24"/>
    <x v="1"/>
  </r>
  <r>
    <s v="ORD-2026-0136"/>
    <s v="2026-09-28"/>
    <x v="3"/>
    <s v="Q3"/>
    <x v="34"/>
    <x v="5"/>
    <x v="2"/>
    <s v="Bhopal"/>
    <x v="2"/>
    <x v="1"/>
    <x v="2"/>
    <n v="415.82"/>
    <n v="22"/>
    <x v="135"/>
    <n v="19.8"/>
    <x v="135"/>
    <n v="58.6"/>
    <n v="4299.32"/>
    <x v="1"/>
  </r>
  <r>
    <s v="ORD-2026-0137"/>
    <s v="2026-01-13"/>
    <x v="7"/>
    <s v="Q1"/>
    <x v="5"/>
    <x v="0"/>
    <x v="0"/>
    <s v="Patna"/>
    <x v="3"/>
    <x v="0"/>
    <x v="4"/>
    <n v="15947.25"/>
    <n v="6"/>
    <x v="136"/>
    <n v="23.6"/>
    <x v="136"/>
    <n v="22.4"/>
    <n v="16374.89"/>
    <x v="2"/>
  </r>
  <r>
    <s v="ORD-2026-0138"/>
    <s v="2026-03-04"/>
    <x v="9"/>
    <s v="Q1"/>
    <x v="29"/>
    <x v="3"/>
    <x v="4"/>
    <s v="Delhi"/>
    <x v="4"/>
    <x v="3"/>
    <x v="6"/>
    <n v="5018.16"/>
    <n v="17"/>
    <x v="137"/>
    <n v="13.9"/>
    <x v="137"/>
    <n v="37.299999999999997"/>
    <n v="27397.15"/>
    <x v="1"/>
  </r>
  <r>
    <s v="ORD-2026-0139"/>
    <s v="2026-08-12"/>
    <x v="8"/>
    <s v="Q3"/>
    <x v="34"/>
    <x v="5"/>
    <x v="1"/>
    <s v="Chennai"/>
    <x v="4"/>
    <x v="1"/>
    <x v="7"/>
    <n v="3822.61"/>
    <n v="5"/>
    <x v="138"/>
    <n v="4.5"/>
    <x v="138"/>
    <n v="46.2"/>
    <n v="8432.8700000000008"/>
    <x v="1"/>
  </r>
  <r>
    <s v="ORD-2026-0140"/>
    <s v="2026-02-25"/>
    <x v="6"/>
    <s v="Q1"/>
    <x v="39"/>
    <x v="1"/>
    <x v="4"/>
    <s v="Delhi"/>
    <x v="1"/>
    <x v="2"/>
    <x v="5"/>
    <n v="29825.79"/>
    <n v="5"/>
    <x v="139"/>
    <n v="21.4"/>
    <x v="139"/>
    <n v="30.3"/>
    <n v="35516.25"/>
    <x v="1"/>
  </r>
  <r>
    <s v="ORD-2026-0141"/>
    <s v="2026-12-20"/>
    <x v="1"/>
    <s v="Q4"/>
    <x v="0"/>
    <x v="0"/>
    <x v="3"/>
    <s v="Surat"/>
    <x v="0"/>
    <x v="2"/>
    <x v="9"/>
    <n v="7330.16"/>
    <n v="6"/>
    <x v="140"/>
    <n v="13.6"/>
    <x v="140"/>
    <n v="14.6"/>
    <n v="5547.93"/>
    <x v="3"/>
  </r>
  <r>
    <s v="ORD-2026-0142"/>
    <s v="2026-01-18"/>
    <x v="7"/>
    <s v="Q1"/>
    <x v="26"/>
    <x v="2"/>
    <x v="1"/>
    <s v="Chennai"/>
    <x v="2"/>
    <x v="3"/>
    <x v="4"/>
    <n v="276.05"/>
    <n v="10"/>
    <x v="141"/>
    <n v="21.8"/>
    <x v="141"/>
    <n v="36.6"/>
    <n v="790.09"/>
    <x v="0"/>
  </r>
  <r>
    <s v="ORD-2026-0143"/>
    <s v="2026-08-31"/>
    <x v="8"/>
    <s v="Q3"/>
    <x v="18"/>
    <x v="3"/>
    <x v="4"/>
    <s v="Delhi"/>
    <x v="1"/>
    <x v="2"/>
    <x v="9"/>
    <n v="4091.01"/>
    <n v="24"/>
    <x v="142"/>
    <n v="1.8"/>
    <x v="142"/>
    <n v="34.6"/>
    <n v="33360.25"/>
    <x v="2"/>
  </r>
  <r>
    <s v="ORD-2026-0144"/>
    <s v="2026-12-02"/>
    <x v="1"/>
    <s v="Q4"/>
    <x v="35"/>
    <x v="5"/>
    <x v="0"/>
    <s v="Kolkata"/>
    <x v="3"/>
    <x v="2"/>
    <x v="1"/>
    <n v="640.72"/>
    <n v="11"/>
    <x v="143"/>
    <n v="0.9"/>
    <x v="143"/>
    <n v="51.3"/>
    <n v="3583.04"/>
    <x v="0"/>
  </r>
  <r>
    <s v="ORD-2026-0145"/>
    <s v="2026-04-01"/>
    <x v="4"/>
    <s v="Q2"/>
    <x v="25"/>
    <x v="5"/>
    <x v="4"/>
    <s v="Delhi"/>
    <x v="1"/>
    <x v="3"/>
    <x v="8"/>
    <n v="2117.48"/>
    <n v="2"/>
    <x v="144"/>
    <n v="15.7"/>
    <x v="144"/>
    <n v="42.7"/>
    <n v="1524.42"/>
    <x v="1"/>
  </r>
  <r>
    <s v="ORD-2026-0146"/>
    <s v="2026-11-04"/>
    <x v="0"/>
    <s v="Q4"/>
    <x v="34"/>
    <x v="5"/>
    <x v="4"/>
    <s v="Lucknow"/>
    <x v="3"/>
    <x v="1"/>
    <x v="1"/>
    <n v="2028.04"/>
    <n v="23"/>
    <x v="145"/>
    <n v="6.8"/>
    <x v="145"/>
    <n v="40.799999999999997"/>
    <n v="17737.009999999998"/>
    <x v="0"/>
  </r>
  <r>
    <s v="ORD-2026-0147"/>
    <s v="2026-11-22"/>
    <x v="0"/>
    <s v="Q4"/>
    <x v="16"/>
    <x v="0"/>
    <x v="2"/>
    <s v="Bhopal"/>
    <x v="2"/>
    <x v="1"/>
    <x v="6"/>
    <n v="5110.5200000000004"/>
    <n v="17"/>
    <x v="146"/>
    <n v="5.4"/>
    <x v="146"/>
    <n v="14.7"/>
    <n v="12081.54"/>
    <x v="1"/>
  </r>
  <r>
    <s v="ORD-2026-0148"/>
    <s v="2026-12-21"/>
    <x v="1"/>
    <s v="Q4"/>
    <x v="33"/>
    <x v="3"/>
    <x v="1"/>
    <s v="Chennai"/>
    <x v="4"/>
    <x v="0"/>
    <x v="7"/>
    <n v="1906.56"/>
    <n v="7"/>
    <x v="147"/>
    <n v="20.100000000000001"/>
    <x v="147"/>
    <n v="40.200000000000003"/>
    <n v="4286.68"/>
    <x v="0"/>
  </r>
  <r>
    <s v="ORD-2026-0149"/>
    <s v="2026-07-18"/>
    <x v="5"/>
    <s v="Q3"/>
    <x v="10"/>
    <x v="1"/>
    <x v="4"/>
    <s v="Lucknow"/>
    <x v="2"/>
    <x v="1"/>
    <x v="1"/>
    <n v="14787.36"/>
    <n v="1"/>
    <x v="148"/>
    <n v="22.7"/>
    <x v="148"/>
    <n v="36.6"/>
    <n v="4183.6099999999997"/>
    <x v="1"/>
  </r>
  <r>
    <s v="ORD-2026-0150"/>
    <s v="2026-11-18"/>
    <x v="0"/>
    <s v="Q4"/>
    <x v="35"/>
    <x v="5"/>
    <x v="3"/>
    <s v="Ahmedabad"/>
    <x v="2"/>
    <x v="0"/>
    <x v="5"/>
    <n v="2322.14"/>
    <n v="3"/>
    <x v="149"/>
    <n v="3.9"/>
    <x v="149"/>
    <n v="53.2"/>
    <n v="3561.6"/>
    <x v="2"/>
  </r>
  <r>
    <s v="ORD-2026-0151"/>
    <s v="2026-01-27"/>
    <x v="7"/>
    <s v="Q1"/>
    <x v="20"/>
    <x v="1"/>
    <x v="4"/>
    <s v="Lucknow"/>
    <x v="2"/>
    <x v="3"/>
    <x v="1"/>
    <n v="14226.29"/>
    <n v="24"/>
    <x v="150"/>
    <n v="5.6"/>
    <x v="150"/>
    <n v="39.200000000000003"/>
    <n v="126345.85"/>
    <x v="1"/>
  </r>
  <r>
    <s v="ORD-2026-0152"/>
    <s v="2026-05-16"/>
    <x v="11"/>
    <s v="Q2"/>
    <x v="36"/>
    <x v="4"/>
    <x v="3"/>
    <s v="Pune"/>
    <x v="1"/>
    <x v="1"/>
    <x v="3"/>
    <n v="1584.11"/>
    <n v="15"/>
    <x v="151"/>
    <n v="10.3"/>
    <x v="151"/>
    <n v="48.3"/>
    <n v="10294.76"/>
    <x v="1"/>
  </r>
  <r>
    <s v="ORD-2026-0153"/>
    <s v="2026-11-04"/>
    <x v="0"/>
    <s v="Q4"/>
    <x v="1"/>
    <x v="1"/>
    <x v="2"/>
    <s v="Indore"/>
    <x v="2"/>
    <x v="2"/>
    <x v="5"/>
    <n v="9584.2800000000007"/>
    <n v="18"/>
    <x v="152"/>
    <n v="11.6"/>
    <x v="152"/>
    <n v="48.3"/>
    <n v="73659.94"/>
    <x v="1"/>
  </r>
  <r>
    <s v="ORD-2026-0154"/>
    <s v="2026-08-02"/>
    <x v="8"/>
    <s v="Q3"/>
    <x v="4"/>
    <x v="4"/>
    <x v="0"/>
    <s v="Bhubaneswar"/>
    <x v="1"/>
    <x v="0"/>
    <x v="5"/>
    <n v="3264.3"/>
    <n v="2"/>
    <x v="153"/>
    <n v="11.5"/>
    <x v="153"/>
    <n v="69.099999999999994"/>
    <n v="3992.47"/>
    <x v="1"/>
  </r>
  <r>
    <s v="ORD-2026-0155"/>
    <s v="2026-07-29"/>
    <x v="5"/>
    <s v="Q3"/>
    <x v="22"/>
    <x v="3"/>
    <x v="4"/>
    <s v="Lucknow"/>
    <x v="0"/>
    <x v="3"/>
    <x v="7"/>
    <n v="4452.47"/>
    <n v="13"/>
    <x v="154"/>
    <n v="23.6"/>
    <x v="154"/>
    <n v="35.1"/>
    <n v="15521.9"/>
    <x v="1"/>
  </r>
  <r>
    <s v="ORD-2026-0156"/>
    <s v="2026-04-03"/>
    <x v="4"/>
    <s v="Q2"/>
    <x v="12"/>
    <x v="4"/>
    <x v="2"/>
    <s v="Raipur"/>
    <x v="4"/>
    <x v="2"/>
    <x v="9"/>
    <n v="863.78"/>
    <n v="22"/>
    <x v="155"/>
    <n v="6.2"/>
    <x v="155"/>
    <n v="70.7"/>
    <n v="12602.25"/>
    <x v="1"/>
  </r>
  <r>
    <s v="ORD-2026-0157"/>
    <s v="2026-09-13"/>
    <x v="3"/>
    <s v="Q3"/>
    <x v="33"/>
    <x v="3"/>
    <x v="2"/>
    <s v="Nagpur"/>
    <x v="3"/>
    <x v="1"/>
    <x v="3"/>
    <n v="4629.7700000000004"/>
    <n v="4"/>
    <x v="156"/>
    <n v="19.5"/>
    <x v="156"/>
    <n v="22.2"/>
    <n v="3309.54"/>
    <x v="1"/>
  </r>
  <r>
    <s v="ORD-2026-0158"/>
    <s v="2026-08-06"/>
    <x v="8"/>
    <s v="Q3"/>
    <x v="41"/>
    <x v="5"/>
    <x v="1"/>
    <s v="Chennai"/>
    <x v="0"/>
    <x v="2"/>
    <x v="1"/>
    <n v="4323.32"/>
    <n v="16"/>
    <x v="157"/>
    <n v="2.2000000000000002"/>
    <x v="157"/>
    <n v="38.4"/>
    <n v="25978.1"/>
    <x v="0"/>
  </r>
  <r>
    <s v="ORD-2026-0159"/>
    <s v="2026-05-22"/>
    <x v="11"/>
    <s v="Q2"/>
    <x v="21"/>
    <x v="5"/>
    <x v="3"/>
    <s v="Ahmedabad"/>
    <x v="1"/>
    <x v="3"/>
    <x v="7"/>
    <n v="2726.43"/>
    <n v="2"/>
    <x v="158"/>
    <n v="18.399999999999999"/>
    <x v="158"/>
    <n v="54.8"/>
    <n v="2438.34"/>
    <x v="2"/>
  </r>
  <r>
    <s v="ORD-2026-0160"/>
    <s v="2026-08-10"/>
    <x v="8"/>
    <s v="Q3"/>
    <x v="20"/>
    <x v="1"/>
    <x v="0"/>
    <s v="Guwahati"/>
    <x v="4"/>
    <x v="0"/>
    <x v="0"/>
    <n v="20562.95"/>
    <n v="13"/>
    <x v="159"/>
    <n v="4.0999999999999996"/>
    <x v="159"/>
    <n v="34.5"/>
    <n v="88443.61"/>
    <x v="1"/>
  </r>
  <r>
    <s v="ORD-2026-0161"/>
    <s v="2026-05-29"/>
    <x v="11"/>
    <s v="Q2"/>
    <x v="25"/>
    <x v="5"/>
    <x v="4"/>
    <s v="Jaipur"/>
    <x v="0"/>
    <x v="0"/>
    <x v="7"/>
    <n v="1645.67"/>
    <n v="23"/>
    <x v="160"/>
    <n v="23.9"/>
    <x v="160"/>
    <n v="46.9"/>
    <n v="13509.15"/>
    <x v="0"/>
  </r>
  <r>
    <s v="ORD-2026-0162"/>
    <s v="2026-04-18"/>
    <x v="4"/>
    <s v="Q2"/>
    <x v="24"/>
    <x v="5"/>
    <x v="0"/>
    <s v="Bhubaneswar"/>
    <x v="3"/>
    <x v="1"/>
    <x v="5"/>
    <n v="4349.88"/>
    <n v="3"/>
    <x v="161"/>
    <n v="14.8"/>
    <x v="161"/>
    <n v="50.8"/>
    <n v="5648.09"/>
    <x v="1"/>
  </r>
  <r>
    <s v="ORD-2026-0163"/>
    <s v="2026-02-15"/>
    <x v="6"/>
    <s v="Q1"/>
    <x v="8"/>
    <x v="3"/>
    <x v="3"/>
    <s v="Pune"/>
    <x v="3"/>
    <x v="1"/>
    <x v="0"/>
    <n v="4736.99"/>
    <n v="19"/>
    <x v="162"/>
    <n v="22"/>
    <x v="162"/>
    <n v="26.1"/>
    <n v="18322.77"/>
    <x v="1"/>
  </r>
  <r>
    <s v="ORD-2026-0164"/>
    <s v="2026-11-14"/>
    <x v="0"/>
    <s v="Q4"/>
    <x v="15"/>
    <x v="2"/>
    <x v="3"/>
    <s v="Pune"/>
    <x v="0"/>
    <x v="1"/>
    <x v="4"/>
    <n v="226.12"/>
    <n v="22"/>
    <x v="163"/>
    <n v="24.1"/>
    <x v="163"/>
    <n v="18.7"/>
    <n v="706.07"/>
    <x v="1"/>
  </r>
  <r>
    <s v="ORD-2026-0165"/>
    <s v="2026-08-29"/>
    <x v="8"/>
    <s v="Q3"/>
    <x v="40"/>
    <x v="1"/>
    <x v="0"/>
    <s v="Guwahati"/>
    <x v="4"/>
    <x v="1"/>
    <x v="1"/>
    <n v="9771.5"/>
    <n v="13"/>
    <x v="164"/>
    <n v="12.4"/>
    <x v="164"/>
    <n v="51"/>
    <n v="56751.7"/>
    <x v="1"/>
  </r>
  <r>
    <s v="ORD-2026-0166"/>
    <s v="2026-01-02"/>
    <x v="7"/>
    <s v="Q1"/>
    <x v="14"/>
    <x v="2"/>
    <x v="1"/>
    <s v="Bengaluru"/>
    <x v="3"/>
    <x v="2"/>
    <x v="8"/>
    <n v="700.84"/>
    <n v="2"/>
    <x v="165"/>
    <n v="22.4"/>
    <x v="165"/>
    <n v="35"/>
    <n v="380.69"/>
    <x v="1"/>
  </r>
  <r>
    <s v="ORD-2026-0167"/>
    <s v="2026-05-26"/>
    <x v="11"/>
    <s v="Q2"/>
    <x v="17"/>
    <x v="4"/>
    <x v="0"/>
    <s v="Kolkata"/>
    <x v="3"/>
    <x v="0"/>
    <x v="1"/>
    <n v="1760.05"/>
    <n v="19"/>
    <x v="166"/>
    <n v="9"/>
    <x v="166"/>
    <n v="58.3"/>
    <n v="17741.419999999998"/>
    <x v="1"/>
  </r>
  <r>
    <s v="ORD-2026-0168"/>
    <s v="2026-05-02"/>
    <x v="11"/>
    <s v="Q2"/>
    <x v="18"/>
    <x v="3"/>
    <x v="2"/>
    <s v="Indore"/>
    <x v="4"/>
    <x v="3"/>
    <x v="1"/>
    <n v="3113.03"/>
    <n v="10"/>
    <x v="167"/>
    <n v="24.3"/>
    <x v="167"/>
    <n v="36.1"/>
    <n v="8507.2000000000007"/>
    <x v="1"/>
  </r>
  <r>
    <s v="ORD-2026-0169"/>
    <s v="2026-11-08"/>
    <x v="0"/>
    <s v="Q4"/>
    <x v="29"/>
    <x v="3"/>
    <x v="4"/>
    <s v="Jaipur"/>
    <x v="3"/>
    <x v="3"/>
    <x v="6"/>
    <n v="5120.75"/>
    <n v="7"/>
    <x v="168"/>
    <n v="12.8"/>
    <x v="168"/>
    <n v="45.3"/>
    <n v="14159.45"/>
    <x v="0"/>
  </r>
  <r>
    <s v="ORD-2026-0170"/>
    <s v="2026-06-08"/>
    <x v="10"/>
    <s v="Q2"/>
    <x v="19"/>
    <x v="0"/>
    <x v="4"/>
    <s v="Delhi"/>
    <x v="2"/>
    <x v="3"/>
    <x v="8"/>
    <n v="56161.17"/>
    <n v="11"/>
    <x v="169"/>
    <n v="23.6"/>
    <x v="169"/>
    <n v="26.2"/>
    <n v="123658.36"/>
    <x v="3"/>
  </r>
  <r>
    <s v="ORD-2026-0171"/>
    <s v="2026-01-26"/>
    <x v="7"/>
    <s v="Q1"/>
    <x v="20"/>
    <x v="1"/>
    <x v="0"/>
    <s v="Bhubaneswar"/>
    <x v="2"/>
    <x v="2"/>
    <x v="0"/>
    <n v="34052"/>
    <n v="8"/>
    <x v="170"/>
    <n v="15.9"/>
    <x v="170"/>
    <n v="42.8"/>
    <n v="98055.6"/>
    <x v="2"/>
  </r>
  <r>
    <s v="ORD-2026-0172"/>
    <s v="2026-02-03"/>
    <x v="6"/>
    <s v="Q1"/>
    <x v="3"/>
    <x v="3"/>
    <x v="4"/>
    <s v="Delhi"/>
    <x v="2"/>
    <x v="2"/>
    <x v="9"/>
    <n v="7725.55"/>
    <n v="20"/>
    <x v="171"/>
    <n v="4.0999999999999996"/>
    <x v="171"/>
    <n v="42.9"/>
    <n v="63567.53"/>
    <x v="2"/>
  </r>
  <r>
    <s v="ORD-2026-0173"/>
    <s v="2026-10-17"/>
    <x v="2"/>
    <s v="Q4"/>
    <x v="5"/>
    <x v="0"/>
    <x v="0"/>
    <s v="Guwahati"/>
    <x v="0"/>
    <x v="2"/>
    <x v="6"/>
    <n v="19871.46"/>
    <n v="16"/>
    <x v="172"/>
    <n v="5.4"/>
    <x v="172"/>
    <n v="24.5"/>
    <n v="73689.73"/>
    <x v="1"/>
  </r>
  <r>
    <s v="ORD-2026-0174"/>
    <s v="2026-09-18"/>
    <x v="3"/>
    <s v="Q3"/>
    <x v="40"/>
    <x v="1"/>
    <x v="2"/>
    <s v="Indore"/>
    <x v="0"/>
    <x v="2"/>
    <x v="0"/>
    <n v="16374.96"/>
    <n v="10"/>
    <x v="173"/>
    <n v="11.5"/>
    <x v="173"/>
    <n v="31.4"/>
    <n v="45504.38"/>
    <x v="1"/>
  </r>
  <r>
    <s v="ORD-2026-0175"/>
    <s v="2026-03-12"/>
    <x v="9"/>
    <s v="Q1"/>
    <x v="13"/>
    <x v="4"/>
    <x v="4"/>
    <s v="Lucknow"/>
    <x v="1"/>
    <x v="2"/>
    <x v="8"/>
    <n v="2983.25"/>
    <n v="12"/>
    <x v="174"/>
    <n v="21.3"/>
    <x v="174"/>
    <n v="56.8"/>
    <n v="16002.72"/>
    <x v="0"/>
  </r>
  <r>
    <s v="ORD-2026-0176"/>
    <s v="2026-07-24"/>
    <x v="5"/>
    <s v="Q3"/>
    <x v="40"/>
    <x v="1"/>
    <x v="4"/>
    <s v="Chandigarh"/>
    <x v="2"/>
    <x v="0"/>
    <x v="8"/>
    <n v="44753.47"/>
    <n v="14"/>
    <x v="175"/>
    <n v="6.5"/>
    <x v="175"/>
    <n v="44.9"/>
    <n v="263034.49"/>
    <x v="1"/>
  </r>
  <r>
    <s v="ORD-2026-0177"/>
    <s v="2026-10-04"/>
    <x v="2"/>
    <s v="Q4"/>
    <x v="28"/>
    <x v="0"/>
    <x v="3"/>
    <s v="Mumbai"/>
    <x v="2"/>
    <x v="1"/>
    <x v="9"/>
    <n v="57087.85"/>
    <n v="10"/>
    <x v="176"/>
    <n v="16.2"/>
    <x v="176"/>
    <n v="15.2"/>
    <n v="72716.22"/>
    <x v="1"/>
  </r>
  <r>
    <s v="ORD-2026-0178"/>
    <s v="2026-05-21"/>
    <x v="11"/>
    <s v="Q2"/>
    <x v="19"/>
    <x v="0"/>
    <x v="3"/>
    <s v="Surat"/>
    <x v="4"/>
    <x v="0"/>
    <x v="9"/>
    <n v="59502.29"/>
    <n v="3"/>
    <x v="177"/>
    <n v="5.5"/>
    <x v="177"/>
    <n v="30.5"/>
    <n v="51450.14"/>
    <x v="1"/>
  </r>
  <r>
    <s v="ORD-2026-0179"/>
    <s v="2026-12-23"/>
    <x v="1"/>
    <s v="Q4"/>
    <x v="29"/>
    <x v="3"/>
    <x v="2"/>
    <s v="Nagpur"/>
    <x v="0"/>
    <x v="0"/>
    <x v="6"/>
    <n v="4816.1099999999997"/>
    <n v="13"/>
    <x v="178"/>
    <n v="1.8"/>
    <x v="178"/>
    <n v="39"/>
    <n v="23978.16"/>
    <x v="1"/>
  </r>
  <r>
    <s v="ORD-2026-0180"/>
    <s v="2026-02-23"/>
    <x v="6"/>
    <s v="Q1"/>
    <x v="25"/>
    <x v="5"/>
    <x v="0"/>
    <s v="Bhubaneswar"/>
    <x v="0"/>
    <x v="2"/>
    <x v="1"/>
    <n v="514.66"/>
    <n v="14"/>
    <x v="179"/>
    <n v="7.9"/>
    <x v="179"/>
    <n v="52.7"/>
    <n v="3497.19"/>
    <x v="3"/>
  </r>
  <r>
    <s v="ORD-2026-0181"/>
    <s v="2026-06-29"/>
    <x v="10"/>
    <s v="Q2"/>
    <x v="33"/>
    <x v="3"/>
    <x v="3"/>
    <s v="Surat"/>
    <x v="0"/>
    <x v="3"/>
    <x v="7"/>
    <n v="8892.84"/>
    <n v="4"/>
    <x v="180"/>
    <n v="18.2"/>
    <x v="180"/>
    <n v="35.299999999999997"/>
    <n v="10271.370000000001"/>
    <x v="0"/>
  </r>
  <r>
    <s v="ORD-2026-0182"/>
    <s v="2026-01-07"/>
    <x v="7"/>
    <s v="Q1"/>
    <x v="24"/>
    <x v="5"/>
    <x v="0"/>
    <s v="Patna"/>
    <x v="0"/>
    <x v="2"/>
    <x v="2"/>
    <n v="3576.39"/>
    <n v="13"/>
    <x v="181"/>
    <n v="4.3"/>
    <x v="181"/>
    <n v="45.1"/>
    <n v="20066.740000000002"/>
    <x v="1"/>
  </r>
  <r>
    <s v="ORD-2026-0183"/>
    <s v="2026-08-27"/>
    <x v="8"/>
    <s v="Q3"/>
    <x v="27"/>
    <x v="3"/>
    <x v="0"/>
    <s v="Guwahati"/>
    <x v="0"/>
    <x v="3"/>
    <x v="7"/>
    <n v="7449.41"/>
    <n v="1"/>
    <x v="182"/>
    <n v="16.899999999999999"/>
    <x v="182"/>
    <n v="43"/>
    <n v="2661.9"/>
    <x v="0"/>
  </r>
  <r>
    <s v="ORD-2026-0184"/>
    <s v="2026-12-08"/>
    <x v="1"/>
    <s v="Q4"/>
    <x v="40"/>
    <x v="1"/>
    <x v="2"/>
    <s v="Raipur"/>
    <x v="0"/>
    <x v="0"/>
    <x v="3"/>
    <n v="24305.38"/>
    <n v="17"/>
    <x v="183"/>
    <n v="14.4"/>
    <x v="183"/>
    <n v="34.1"/>
    <n v="120608.93"/>
    <x v="3"/>
  </r>
  <r>
    <s v="ORD-2026-0185"/>
    <s v="2026-05-30"/>
    <x v="11"/>
    <s v="Q2"/>
    <x v="22"/>
    <x v="3"/>
    <x v="0"/>
    <s v="Bhubaneswar"/>
    <x v="4"/>
    <x v="0"/>
    <x v="4"/>
    <n v="3052.47"/>
    <n v="11"/>
    <x v="184"/>
    <n v="0.3"/>
    <x v="184"/>
    <n v="32.700000000000003"/>
    <n v="10946.8"/>
    <x v="1"/>
  </r>
  <r>
    <s v="ORD-2026-0186"/>
    <s v="2026-05-14"/>
    <x v="11"/>
    <s v="Q2"/>
    <x v="13"/>
    <x v="4"/>
    <x v="2"/>
    <s v="Indore"/>
    <x v="0"/>
    <x v="0"/>
    <x v="6"/>
    <n v="2948.42"/>
    <n v="17"/>
    <x v="185"/>
    <n v="1.7"/>
    <x v="185"/>
    <n v="56.1"/>
    <n v="27641.06"/>
    <x v="0"/>
  </r>
  <r>
    <s v="ORD-2026-0187"/>
    <s v="2026-03-13"/>
    <x v="9"/>
    <s v="Q1"/>
    <x v="40"/>
    <x v="1"/>
    <x v="3"/>
    <s v="Mumbai"/>
    <x v="0"/>
    <x v="3"/>
    <x v="7"/>
    <n v="13566.29"/>
    <n v="7"/>
    <x v="186"/>
    <n v="7"/>
    <x v="186"/>
    <n v="37.799999999999997"/>
    <n v="33383.660000000003"/>
    <x v="2"/>
  </r>
  <r>
    <s v="ORD-2026-0188"/>
    <s v="2026-09-29"/>
    <x v="3"/>
    <s v="Q3"/>
    <x v="32"/>
    <x v="5"/>
    <x v="1"/>
    <s v="Kochi"/>
    <x v="4"/>
    <x v="0"/>
    <x v="3"/>
    <n v="3199.24"/>
    <n v="7"/>
    <x v="187"/>
    <n v="11.4"/>
    <x v="187"/>
    <n v="56.4"/>
    <n v="11190.71"/>
    <x v="1"/>
  </r>
  <r>
    <s v="ORD-2026-0189"/>
    <s v="2026-07-17"/>
    <x v="5"/>
    <s v="Q3"/>
    <x v="2"/>
    <x v="2"/>
    <x v="0"/>
    <s v="Bhubaneswar"/>
    <x v="0"/>
    <x v="1"/>
    <x v="3"/>
    <n v="592.70000000000005"/>
    <n v="19"/>
    <x v="188"/>
    <n v="2.8"/>
    <x v="188"/>
    <n v="20.100000000000001"/>
    <n v="2200.14"/>
    <x v="3"/>
  </r>
  <r>
    <s v="ORD-2026-0190"/>
    <s v="2026-05-21"/>
    <x v="11"/>
    <s v="Q2"/>
    <x v="24"/>
    <x v="5"/>
    <x v="1"/>
    <s v="Hyderabad"/>
    <x v="3"/>
    <x v="3"/>
    <x v="8"/>
    <n v="2394.88"/>
    <n v="16"/>
    <x v="189"/>
    <n v="7"/>
    <x v="189"/>
    <n v="58.9"/>
    <n v="20989.49"/>
    <x v="2"/>
  </r>
  <r>
    <s v="ORD-2026-0191"/>
    <s v="2026-12-23"/>
    <x v="1"/>
    <s v="Q4"/>
    <x v="17"/>
    <x v="4"/>
    <x v="1"/>
    <s v="Kochi"/>
    <x v="3"/>
    <x v="2"/>
    <x v="7"/>
    <n v="2094.92"/>
    <n v="17"/>
    <x v="190"/>
    <n v="10.1"/>
    <x v="190"/>
    <n v="58.9"/>
    <n v="18857.810000000001"/>
    <x v="1"/>
  </r>
  <r>
    <s v="ORD-2026-0192"/>
    <s v="2026-10-09"/>
    <x v="2"/>
    <s v="Q4"/>
    <x v="35"/>
    <x v="5"/>
    <x v="1"/>
    <s v="Kochi"/>
    <x v="3"/>
    <x v="1"/>
    <x v="2"/>
    <n v="1351.82"/>
    <n v="6"/>
    <x v="191"/>
    <n v="6.8"/>
    <x v="191"/>
    <n v="61.3"/>
    <n v="4633.8999999999996"/>
    <x v="1"/>
  </r>
  <r>
    <s v="ORD-2026-0193"/>
    <s v="2026-08-01"/>
    <x v="8"/>
    <s v="Q3"/>
    <x v="29"/>
    <x v="3"/>
    <x v="3"/>
    <s v="Pune"/>
    <x v="0"/>
    <x v="1"/>
    <x v="1"/>
    <n v="2653.16"/>
    <n v="1"/>
    <x v="192"/>
    <n v="20.6"/>
    <x v="192"/>
    <n v="29.7"/>
    <n v="625.66"/>
    <x v="1"/>
  </r>
  <r>
    <s v="ORD-2026-0194"/>
    <s v="2026-09-20"/>
    <x v="3"/>
    <s v="Q3"/>
    <x v="21"/>
    <x v="5"/>
    <x v="4"/>
    <s v="Chandigarh"/>
    <x v="0"/>
    <x v="3"/>
    <x v="1"/>
    <n v="4794.71"/>
    <n v="7"/>
    <x v="193"/>
    <n v="14.4"/>
    <x v="193"/>
    <n v="42.7"/>
    <n v="12267.67"/>
    <x v="0"/>
  </r>
  <r>
    <s v="ORD-2026-0195"/>
    <s v="2026-06-17"/>
    <x v="10"/>
    <s v="Q2"/>
    <x v="3"/>
    <x v="3"/>
    <x v="2"/>
    <s v="Raipur"/>
    <x v="4"/>
    <x v="1"/>
    <x v="7"/>
    <n v="8696.34"/>
    <n v="16"/>
    <x v="194"/>
    <n v="18.8"/>
    <x v="194"/>
    <n v="29.3"/>
    <n v="33103.980000000003"/>
    <x v="1"/>
  </r>
  <r>
    <s v="ORD-2026-0196"/>
    <s v="2026-03-15"/>
    <x v="9"/>
    <s v="Q1"/>
    <x v="19"/>
    <x v="0"/>
    <x v="1"/>
    <s v="Hyderabad"/>
    <x v="3"/>
    <x v="3"/>
    <x v="5"/>
    <n v="36756.120000000003"/>
    <n v="5"/>
    <x v="195"/>
    <n v="18"/>
    <x v="195"/>
    <n v="12.5"/>
    <n v="18837.509999999998"/>
    <x v="1"/>
  </r>
  <r>
    <s v="ORD-2026-0197"/>
    <s v="2026-11-10"/>
    <x v="0"/>
    <s v="Q4"/>
    <x v="32"/>
    <x v="5"/>
    <x v="3"/>
    <s v="Pune"/>
    <x v="4"/>
    <x v="3"/>
    <x v="4"/>
    <n v="4551.5200000000004"/>
    <n v="20"/>
    <x v="196"/>
    <n v="8.5"/>
    <x v="196"/>
    <n v="61.6"/>
    <n v="51308.38"/>
    <x v="1"/>
  </r>
  <r>
    <s v="ORD-2026-0198"/>
    <s v="2026-01-11"/>
    <x v="7"/>
    <s v="Q1"/>
    <x v="29"/>
    <x v="3"/>
    <x v="0"/>
    <s v="Patna"/>
    <x v="3"/>
    <x v="1"/>
    <x v="4"/>
    <n v="1570.97"/>
    <n v="25"/>
    <x v="197"/>
    <n v="18.5"/>
    <x v="197"/>
    <n v="32.299999999999997"/>
    <n v="10338.75"/>
    <x v="1"/>
  </r>
  <r>
    <s v="ORD-2026-0199"/>
    <s v="2026-06-18"/>
    <x v="10"/>
    <s v="Q2"/>
    <x v="19"/>
    <x v="0"/>
    <x v="4"/>
    <s v="Chandigarh"/>
    <x v="1"/>
    <x v="1"/>
    <x v="1"/>
    <n v="44960.12"/>
    <n v="10"/>
    <x v="198"/>
    <n v="8.1999999999999993"/>
    <x v="198"/>
    <n v="28.5"/>
    <n v="117629.16"/>
    <x v="1"/>
  </r>
  <r>
    <s v="ORD-2026-0200"/>
    <s v="2026-06-25"/>
    <x v="10"/>
    <s v="Q2"/>
    <x v="17"/>
    <x v="4"/>
    <x v="2"/>
    <s v="Nagpur"/>
    <x v="0"/>
    <x v="1"/>
    <x v="9"/>
    <n v="2184.79"/>
    <n v="8"/>
    <x v="199"/>
    <n v="18.899999999999999"/>
    <x v="199"/>
    <n v="49.2"/>
    <n v="6974.06"/>
    <x v="1"/>
  </r>
  <r>
    <s v="ORD-2026-0201"/>
    <s v="2026-10-31"/>
    <x v="2"/>
    <s v="Q4"/>
    <x v="34"/>
    <x v="5"/>
    <x v="2"/>
    <s v="Nagpur"/>
    <x v="4"/>
    <x v="3"/>
    <x v="0"/>
    <n v="4073.17"/>
    <n v="7"/>
    <x v="200"/>
    <n v="24.8"/>
    <x v="200"/>
    <n v="38"/>
    <n v="8147.64"/>
    <x v="0"/>
  </r>
  <r>
    <s v="ORD-2026-0202"/>
    <s v="2026-05-03"/>
    <x v="11"/>
    <s v="Q2"/>
    <x v="21"/>
    <x v="5"/>
    <x v="1"/>
    <s v="Hyderabad"/>
    <x v="2"/>
    <x v="0"/>
    <x v="1"/>
    <n v="4105.82"/>
    <n v="12"/>
    <x v="201"/>
    <n v="21.8"/>
    <x v="201"/>
    <n v="45.8"/>
    <n v="17646.29"/>
    <x v="1"/>
  </r>
  <r>
    <s v="ORD-2026-0203"/>
    <s v="2026-07-04"/>
    <x v="5"/>
    <s v="Q3"/>
    <x v="2"/>
    <x v="2"/>
    <x v="0"/>
    <s v="Bhubaneswar"/>
    <x v="0"/>
    <x v="1"/>
    <x v="0"/>
    <n v="210.66"/>
    <n v="19"/>
    <x v="202"/>
    <n v="23.4"/>
    <x v="202"/>
    <n v="25.7"/>
    <n v="787.95"/>
    <x v="2"/>
  </r>
  <r>
    <s v="ORD-2026-0204"/>
    <s v="2026-04-08"/>
    <x v="4"/>
    <s v="Q2"/>
    <x v="36"/>
    <x v="4"/>
    <x v="4"/>
    <s v="Jaipur"/>
    <x v="1"/>
    <x v="3"/>
    <x v="9"/>
    <n v="1962.01"/>
    <n v="25"/>
    <x v="203"/>
    <n v="17.8"/>
    <x v="203"/>
    <n v="65.8"/>
    <n v="26530.11"/>
    <x v="1"/>
  </r>
  <r>
    <s v="ORD-2026-0205"/>
    <s v="2026-07-28"/>
    <x v="5"/>
    <s v="Q3"/>
    <x v="40"/>
    <x v="1"/>
    <x v="0"/>
    <s v="Patna"/>
    <x v="3"/>
    <x v="1"/>
    <x v="7"/>
    <n v="8584.51"/>
    <n v="14"/>
    <x v="204"/>
    <n v="7.9"/>
    <x v="204"/>
    <n v="40.299999999999997"/>
    <n v="44607.53"/>
    <x v="1"/>
  </r>
  <r>
    <s v="ORD-2026-0206"/>
    <s v="2026-04-05"/>
    <x v="4"/>
    <s v="Q2"/>
    <x v="9"/>
    <x v="1"/>
    <x v="4"/>
    <s v="Lucknow"/>
    <x v="4"/>
    <x v="2"/>
    <x v="9"/>
    <n v="8678.41"/>
    <n v="8"/>
    <x v="205"/>
    <n v="13.9"/>
    <x v="205"/>
    <n v="41.9"/>
    <n v="25046.52"/>
    <x v="3"/>
  </r>
  <r>
    <s v="ORD-2026-0207"/>
    <s v="2026-10-03"/>
    <x v="2"/>
    <s v="Q4"/>
    <x v="1"/>
    <x v="1"/>
    <x v="4"/>
    <s v="Chandigarh"/>
    <x v="4"/>
    <x v="0"/>
    <x v="9"/>
    <n v="33412.5"/>
    <n v="16"/>
    <x v="206"/>
    <n v="12.5"/>
    <x v="206"/>
    <n v="32.6"/>
    <n v="152494.65"/>
    <x v="1"/>
  </r>
  <r>
    <s v="ORD-2026-0208"/>
    <s v="2026-08-04"/>
    <x v="8"/>
    <s v="Q3"/>
    <x v="34"/>
    <x v="5"/>
    <x v="3"/>
    <s v="Mumbai"/>
    <x v="2"/>
    <x v="1"/>
    <x v="6"/>
    <n v="1585.81"/>
    <n v="9"/>
    <x v="207"/>
    <n v="12.3"/>
    <x v="207"/>
    <n v="45.9"/>
    <n v="5745.21"/>
    <x v="3"/>
  </r>
  <r>
    <s v="ORD-2026-0209"/>
    <s v="2026-12-15"/>
    <x v="1"/>
    <s v="Q4"/>
    <x v="7"/>
    <x v="0"/>
    <x v="0"/>
    <s v="Bhubaneswar"/>
    <x v="2"/>
    <x v="3"/>
    <x v="8"/>
    <n v="66965.33"/>
    <n v="4"/>
    <x v="208"/>
    <n v="10.1"/>
    <x v="208"/>
    <n v="21.8"/>
    <n v="52496"/>
    <x v="1"/>
  </r>
  <r>
    <s v="ORD-2026-0210"/>
    <s v="2026-07-03"/>
    <x v="5"/>
    <s v="Q3"/>
    <x v="34"/>
    <x v="5"/>
    <x v="4"/>
    <s v="Chandigarh"/>
    <x v="4"/>
    <x v="3"/>
    <x v="8"/>
    <n v="2160.7199999999998"/>
    <n v="21"/>
    <x v="209"/>
    <n v="10"/>
    <x v="209"/>
    <n v="46.1"/>
    <n v="18826.14"/>
    <x v="2"/>
  </r>
  <r>
    <s v="ORD-2026-0211"/>
    <s v="2026-04-10"/>
    <x v="4"/>
    <s v="Q2"/>
    <x v="4"/>
    <x v="4"/>
    <x v="4"/>
    <s v="Chandigarh"/>
    <x v="1"/>
    <x v="3"/>
    <x v="7"/>
    <n v="2193.5"/>
    <n v="17"/>
    <x v="210"/>
    <n v="13.5"/>
    <x v="210"/>
    <n v="65.8"/>
    <n v="21224.07"/>
    <x v="1"/>
  </r>
  <r>
    <s v="ORD-2026-0212"/>
    <s v="2026-07-19"/>
    <x v="5"/>
    <s v="Q3"/>
    <x v="40"/>
    <x v="1"/>
    <x v="4"/>
    <s v="Delhi"/>
    <x v="4"/>
    <x v="0"/>
    <x v="7"/>
    <n v="28120.48"/>
    <n v="8"/>
    <x v="211"/>
    <n v="11.2"/>
    <x v="211"/>
    <n v="50.8"/>
    <n v="101482.09"/>
    <x v="1"/>
  </r>
  <r>
    <s v="ORD-2026-0213"/>
    <s v="2026-08-09"/>
    <x v="8"/>
    <s v="Q3"/>
    <x v="10"/>
    <x v="1"/>
    <x v="0"/>
    <s v="Kolkata"/>
    <x v="4"/>
    <x v="0"/>
    <x v="5"/>
    <n v="40969.89"/>
    <n v="15"/>
    <x v="212"/>
    <n v="23.5"/>
    <x v="212"/>
    <n v="42.3"/>
    <n v="198864.77"/>
    <x v="1"/>
  </r>
  <r>
    <s v="ORD-2026-0214"/>
    <s v="2026-12-28"/>
    <x v="1"/>
    <s v="Q4"/>
    <x v="3"/>
    <x v="3"/>
    <x v="4"/>
    <s v="Jaipur"/>
    <x v="4"/>
    <x v="3"/>
    <x v="2"/>
    <n v="1944.81"/>
    <n v="10"/>
    <x v="213"/>
    <n v="4.8"/>
    <x v="213"/>
    <n v="44.9"/>
    <n v="8313.0499999999993"/>
    <x v="1"/>
  </r>
  <r>
    <s v="ORD-2026-0215"/>
    <s v="2026-06-18"/>
    <x v="10"/>
    <s v="Q2"/>
    <x v="37"/>
    <x v="1"/>
    <x v="2"/>
    <s v="Raipur"/>
    <x v="4"/>
    <x v="1"/>
    <x v="9"/>
    <n v="13016.82"/>
    <n v="15"/>
    <x v="214"/>
    <n v="18.600000000000001"/>
    <x v="214"/>
    <n v="36"/>
    <n v="57216.73"/>
    <x v="1"/>
  </r>
  <r>
    <s v="ORD-2026-0216"/>
    <s v="2026-07-19"/>
    <x v="5"/>
    <s v="Q3"/>
    <x v="22"/>
    <x v="3"/>
    <x v="1"/>
    <s v="Chennai"/>
    <x v="3"/>
    <x v="2"/>
    <x v="1"/>
    <n v="4288.63"/>
    <n v="25"/>
    <x v="215"/>
    <n v="5.8"/>
    <x v="215"/>
    <n v="39.299999999999997"/>
    <n v="39691.919999999998"/>
    <x v="3"/>
  </r>
  <r>
    <s v="ORD-2026-0217"/>
    <s v="2026-04-19"/>
    <x v="4"/>
    <s v="Q2"/>
    <x v="40"/>
    <x v="1"/>
    <x v="4"/>
    <s v="Jaipur"/>
    <x v="0"/>
    <x v="1"/>
    <x v="4"/>
    <n v="26247.79"/>
    <n v="3"/>
    <x v="216"/>
    <n v="12.7"/>
    <x v="216"/>
    <n v="30.9"/>
    <n v="21241.57"/>
    <x v="2"/>
  </r>
  <r>
    <s v="ORD-2026-0218"/>
    <s v="2026-04-22"/>
    <x v="4"/>
    <s v="Q2"/>
    <x v="11"/>
    <x v="2"/>
    <x v="0"/>
    <s v="Kolkata"/>
    <x v="4"/>
    <x v="0"/>
    <x v="4"/>
    <n v="109.57"/>
    <n v="24"/>
    <x v="217"/>
    <n v="7.7"/>
    <x v="217"/>
    <n v="39.700000000000003"/>
    <n v="963.59"/>
    <x v="1"/>
  </r>
  <r>
    <s v="ORD-2026-0219"/>
    <s v="2026-11-27"/>
    <x v="0"/>
    <s v="Q4"/>
    <x v="20"/>
    <x v="1"/>
    <x v="2"/>
    <s v="Nagpur"/>
    <x v="4"/>
    <x v="1"/>
    <x v="5"/>
    <n v="32567.17"/>
    <n v="10"/>
    <x v="218"/>
    <n v="23.8"/>
    <x v="218"/>
    <n v="34.299999999999997"/>
    <n v="85119.51"/>
    <x v="1"/>
  </r>
  <r>
    <s v="ORD-2026-0220"/>
    <s v="2026-07-11"/>
    <x v="5"/>
    <s v="Q3"/>
    <x v="37"/>
    <x v="1"/>
    <x v="0"/>
    <s v="Patna"/>
    <x v="4"/>
    <x v="2"/>
    <x v="6"/>
    <n v="6316.67"/>
    <n v="6"/>
    <x v="219"/>
    <n v="23.7"/>
    <x v="219"/>
    <n v="49.3"/>
    <n v="14256.44"/>
    <x v="2"/>
  </r>
  <r>
    <s v="ORD-2026-0221"/>
    <s v="2026-02-13"/>
    <x v="6"/>
    <s v="Q1"/>
    <x v="39"/>
    <x v="1"/>
    <x v="0"/>
    <s v="Kolkata"/>
    <x v="1"/>
    <x v="0"/>
    <x v="5"/>
    <n v="34484.199999999997"/>
    <n v="5"/>
    <x v="220"/>
    <n v="20.9"/>
    <x v="220"/>
    <n v="45.5"/>
    <n v="62055.18"/>
    <x v="1"/>
  </r>
  <r>
    <s v="ORD-2026-0222"/>
    <s v="2026-08-07"/>
    <x v="8"/>
    <s v="Q3"/>
    <x v="41"/>
    <x v="5"/>
    <x v="3"/>
    <s v="Surat"/>
    <x v="3"/>
    <x v="0"/>
    <x v="0"/>
    <n v="3104.55"/>
    <n v="7"/>
    <x v="221"/>
    <n v="16.399999999999999"/>
    <x v="221"/>
    <n v="48"/>
    <n v="8720.56"/>
    <x v="1"/>
  </r>
  <r>
    <s v="ORD-2026-0223"/>
    <s v="2026-10-18"/>
    <x v="2"/>
    <s v="Q4"/>
    <x v="3"/>
    <x v="3"/>
    <x v="3"/>
    <s v="Ahmedabad"/>
    <x v="3"/>
    <x v="1"/>
    <x v="7"/>
    <n v="6943.28"/>
    <n v="3"/>
    <x v="222"/>
    <n v="13.7"/>
    <x v="222"/>
    <n v="33.200000000000003"/>
    <n v="5968.08"/>
    <x v="2"/>
  </r>
  <r>
    <s v="ORD-2026-0224"/>
    <s v="2026-11-25"/>
    <x v="0"/>
    <s v="Q4"/>
    <x v="4"/>
    <x v="4"/>
    <x v="3"/>
    <s v="Mumbai"/>
    <x v="3"/>
    <x v="2"/>
    <x v="7"/>
    <n v="1298.9000000000001"/>
    <n v="13"/>
    <x v="223"/>
    <n v="3.4"/>
    <x v="223"/>
    <n v="69.2"/>
    <n v="11287.62"/>
    <x v="1"/>
  </r>
  <r>
    <s v="ORD-2026-0225"/>
    <s v="2026-03-24"/>
    <x v="9"/>
    <s v="Q1"/>
    <x v="19"/>
    <x v="0"/>
    <x v="2"/>
    <s v="Indore"/>
    <x v="2"/>
    <x v="3"/>
    <x v="1"/>
    <n v="31934.04"/>
    <n v="24"/>
    <x v="224"/>
    <n v="0.8"/>
    <x v="224"/>
    <n v="30.6"/>
    <n v="232647.4"/>
    <x v="2"/>
  </r>
  <r>
    <s v="ORD-2026-0226"/>
    <s v="2026-03-18"/>
    <x v="9"/>
    <s v="Q1"/>
    <x v="25"/>
    <x v="5"/>
    <x v="2"/>
    <s v="Bhopal"/>
    <x v="3"/>
    <x v="0"/>
    <x v="4"/>
    <n v="3954.29"/>
    <n v="16"/>
    <x v="225"/>
    <n v="21.6"/>
    <x v="225"/>
    <n v="61.7"/>
    <n v="30604.81"/>
    <x v="1"/>
  </r>
  <r>
    <s v="ORD-2026-0227"/>
    <s v="2026-12-21"/>
    <x v="1"/>
    <s v="Q4"/>
    <x v="10"/>
    <x v="1"/>
    <x v="3"/>
    <s v="Mumbai"/>
    <x v="2"/>
    <x v="0"/>
    <x v="4"/>
    <n v="42368.84"/>
    <n v="18"/>
    <x v="226"/>
    <n v="7.8"/>
    <x v="226"/>
    <n v="49.8"/>
    <n v="350170.33"/>
    <x v="1"/>
  </r>
  <r>
    <s v="ORD-2026-0228"/>
    <s v="2026-11-03"/>
    <x v="0"/>
    <s v="Q4"/>
    <x v="36"/>
    <x v="4"/>
    <x v="3"/>
    <s v="Surat"/>
    <x v="0"/>
    <x v="3"/>
    <x v="5"/>
    <n v="3900.03"/>
    <n v="3"/>
    <x v="227"/>
    <n v="12"/>
    <x v="227"/>
    <n v="65.400000000000006"/>
    <n v="6733.64"/>
    <x v="1"/>
  </r>
  <r>
    <s v="ORD-2026-0229"/>
    <s v="2026-08-17"/>
    <x v="8"/>
    <s v="Q3"/>
    <x v="21"/>
    <x v="5"/>
    <x v="1"/>
    <s v="Bengaluru"/>
    <x v="4"/>
    <x v="0"/>
    <x v="1"/>
    <n v="4828.96"/>
    <n v="23"/>
    <x v="228"/>
    <n v="14.2"/>
    <x v="228"/>
    <n v="42.3"/>
    <n v="40309.660000000003"/>
    <x v="1"/>
  </r>
  <r>
    <s v="ORD-2026-0230"/>
    <s v="2026-05-15"/>
    <x v="11"/>
    <s v="Q2"/>
    <x v="23"/>
    <x v="2"/>
    <x v="0"/>
    <s v="Patna"/>
    <x v="1"/>
    <x v="1"/>
    <x v="2"/>
    <n v="901.2"/>
    <n v="5"/>
    <x v="229"/>
    <n v="18.600000000000001"/>
    <x v="229"/>
    <n v="31.1"/>
    <n v="1140.71"/>
    <x v="2"/>
  </r>
  <r>
    <s v="ORD-2026-0231"/>
    <s v="2026-10-23"/>
    <x v="2"/>
    <s v="Q4"/>
    <x v="33"/>
    <x v="3"/>
    <x v="0"/>
    <s v="Guwahati"/>
    <x v="3"/>
    <x v="2"/>
    <x v="9"/>
    <n v="8453.99"/>
    <n v="21"/>
    <x v="230"/>
    <n v="5.8"/>
    <x v="230"/>
    <n v="28.7"/>
    <n v="47996.97"/>
    <x v="1"/>
  </r>
  <r>
    <s v="ORD-2026-0232"/>
    <s v="2026-04-09"/>
    <x v="4"/>
    <s v="Q2"/>
    <x v="2"/>
    <x v="2"/>
    <x v="1"/>
    <s v="Hyderabad"/>
    <x v="4"/>
    <x v="3"/>
    <x v="5"/>
    <n v="874.4"/>
    <n v="15"/>
    <x v="231"/>
    <n v="2.1"/>
    <x v="231"/>
    <n v="21.7"/>
    <n v="2786.4"/>
    <x v="0"/>
  </r>
  <r>
    <s v="ORD-2026-0233"/>
    <s v="2026-04-06"/>
    <x v="4"/>
    <s v="Q2"/>
    <x v="25"/>
    <x v="5"/>
    <x v="4"/>
    <s v="Jaipur"/>
    <x v="0"/>
    <x v="0"/>
    <x v="8"/>
    <n v="4587.9799999999996"/>
    <n v="9"/>
    <x v="232"/>
    <n v="1.4"/>
    <x v="232"/>
    <n v="50.2"/>
    <n v="20438.29"/>
    <x v="0"/>
  </r>
  <r>
    <s v="ORD-2026-0234"/>
    <s v="2026-11-18"/>
    <x v="0"/>
    <s v="Q4"/>
    <x v="21"/>
    <x v="5"/>
    <x v="4"/>
    <s v="Jaipur"/>
    <x v="2"/>
    <x v="0"/>
    <x v="1"/>
    <n v="454.22"/>
    <n v="2"/>
    <x v="233"/>
    <n v="17.5"/>
    <x v="233"/>
    <n v="42.4"/>
    <n v="317.77"/>
    <x v="1"/>
  </r>
  <r>
    <s v="ORD-2026-0235"/>
    <s v="2026-01-23"/>
    <x v="7"/>
    <s v="Q1"/>
    <x v="31"/>
    <x v="4"/>
    <x v="2"/>
    <s v="Bhopal"/>
    <x v="1"/>
    <x v="3"/>
    <x v="0"/>
    <n v="2039.39"/>
    <n v="3"/>
    <x v="234"/>
    <n v="1.8"/>
    <x v="234"/>
    <n v="48.9"/>
    <n v="2937.93"/>
    <x v="1"/>
  </r>
  <r>
    <s v="ORD-2026-0236"/>
    <s v="2026-09-13"/>
    <x v="3"/>
    <s v="Q3"/>
    <x v="18"/>
    <x v="3"/>
    <x v="1"/>
    <s v="Chennai"/>
    <x v="1"/>
    <x v="0"/>
    <x v="5"/>
    <n v="819.5"/>
    <n v="12"/>
    <x v="235"/>
    <n v="24.6"/>
    <x v="235"/>
    <n v="42.6"/>
    <n v="3158.72"/>
    <x v="1"/>
  </r>
  <r>
    <s v="ORD-2026-0237"/>
    <s v="2026-06-29"/>
    <x v="10"/>
    <s v="Q2"/>
    <x v="21"/>
    <x v="5"/>
    <x v="2"/>
    <s v="Bhopal"/>
    <x v="1"/>
    <x v="3"/>
    <x v="5"/>
    <n v="3634.66"/>
    <n v="21"/>
    <x v="236"/>
    <n v="4.3"/>
    <x v="236"/>
    <n v="60.2"/>
    <n v="43973.55"/>
    <x v="2"/>
  </r>
  <r>
    <s v="ORD-2026-0238"/>
    <s v="2026-08-16"/>
    <x v="8"/>
    <s v="Q3"/>
    <x v="19"/>
    <x v="0"/>
    <x v="2"/>
    <s v="Nagpur"/>
    <x v="3"/>
    <x v="3"/>
    <x v="2"/>
    <n v="54126.43"/>
    <n v="9"/>
    <x v="237"/>
    <n v="7.8"/>
    <x v="237"/>
    <n v="27.6"/>
    <n v="123962.95"/>
    <x v="1"/>
  </r>
  <r>
    <s v="ORD-2026-0239"/>
    <s v="2026-03-17"/>
    <x v="9"/>
    <s v="Q1"/>
    <x v="5"/>
    <x v="0"/>
    <x v="1"/>
    <s v="Bengaluru"/>
    <x v="2"/>
    <x v="2"/>
    <x v="0"/>
    <n v="90440.46"/>
    <n v="2"/>
    <x v="238"/>
    <n v="9.6"/>
    <x v="238"/>
    <n v="25.9"/>
    <n v="42350.73"/>
    <x v="1"/>
  </r>
  <r>
    <s v="ORD-2026-0240"/>
    <s v="2026-12-11"/>
    <x v="1"/>
    <s v="Q4"/>
    <x v="22"/>
    <x v="3"/>
    <x v="1"/>
    <s v="Bengaluru"/>
    <x v="3"/>
    <x v="2"/>
    <x v="5"/>
    <n v="6440.87"/>
    <n v="18"/>
    <x v="239"/>
    <n v="24.6"/>
    <x v="239"/>
    <n v="25.4"/>
    <n v="22203.53"/>
    <x v="1"/>
  </r>
  <r>
    <s v="ORD-2026-0241"/>
    <s v="2026-05-09"/>
    <x v="11"/>
    <s v="Q2"/>
    <x v="2"/>
    <x v="2"/>
    <x v="3"/>
    <s v="Mumbai"/>
    <x v="1"/>
    <x v="3"/>
    <x v="6"/>
    <n v="682.8"/>
    <n v="5"/>
    <x v="240"/>
    <n v="10.6"/>
    <x v="240"/>
    <n v="41"/>
    <n v="1251.3699999999999"/>
    <x v="2"/>
  </r>
  <r>
    <s v="ORD-2026-0242"/>
    <s v="2026-06-22"/>
    <x v="10"/>
    <s v="Q2"/>
    <x v="14"/>
    <x v="2"/>
    <x v="3"/>
    <s v="Pune"/>
    <x v="1"/>
    <x v="0"/>
    <x v="6"/>
    <n v="1021.33"/>
    <n v="25"/>
    <x v="241"/>
    <n v="5.2"/>
    <x v="241"/>
    <n v="22.2"/>
    <n v="5373.63"/>
    <x v="2"/>
  </r>
  <r>
    <s v="ORD-2026-0243"/>
    <s v="2026-01-25"/>
    <x v="7"/>
    <s v="Q1"/>
    <x v="39"/>
    <x v="1"/>
    <x v="1"/>
    <s v="Hyderabad"/>
    <x v="0"/>
    <x v="1"/>
    <x v="1"/>
    <n v="11157.97"/>
    <n v="19"/>
    <x v="242"/>
    <n v="8.1999999999999993"/>
    <x v="242"/>
    <n v="31.3"/>
    <n v="60915.22"/>
    <x v="1"/>
  </r>
  <r>
    <s v="ORD-2026-0244"/>
    <s v="2026-08-30"/>
    <x v="8"/>
    <s v="Q3"/>
    <x v="23"/>
    <x v="2"/>
    <x v="1"/>
    <s v="Kochi"/>
    <x v="1"/>
    <x v="3"/>
    <x v="4"/>
    <n v="1486.52"/>
    <n v="9"/>
    <x v="243"/>
    <n v="19.8"/>
    <x v="243"/>
    <n v="23.9"/>
    <n v="2564.4"/>
    <x v="1"/>
  </r>
  <r>
    <s v="ORD-2026-0245"/>
    <s v="2026-10-30"/>
    <x v="2"/>
    <s v="Q4"/>
    <x v="13"/>
    <x v="4"/>
    <x v="1"/>
    <s v="Kochi"/>
    <x v="3"/>
    <x v="2"/>
    <x v="9"/>
    <n v="3601.67"/>
    <n v="11"/>
    <x v="244"/>
    <n v="18.8"/>
    <x v="244"/>
    <n v="58.8"/>
    <n v="18916.03"/>
    <x v="2"/>
  </r>
  <r>
    <s v="ORD-2026-0246"/>
    <s v="2026-02-12"/>
    <x v="6"/>
    <s v="Q1"/>
    <x v="5"/>
    <x v="0"/>
    <x v="2"/>
    <s v="Nagpur"/>
    <x v="4"/>
    <x v="0"/>
    <x v="2"/>
    <n v="82082.41"/>
    <n v="12"/>
    <x v="245"/>
    <n v="3"/>
    <x v="245"/>
    <n v="14.9"/>
    <n v="142360.45000000001"/>
    <x v="2"/>
  </r>
  <r>
    <s v="ORD-2026-0247"/>
    <s v="2026-02-24"/>
    <x v="6"/>
    <s v="Q1"/>
    <x v="13"/>
    <x v="4"/>
    <x v="0"/>
    <s v="Guwahati"/>
    <x v="3"/>
    <x v="3"/>
    <x v="2"/>
    <n v="1200.1500000000001"/>
    <n v="4"/>
    <x v="246"/>
    <n v="22.4"/>
    <x v="246"/>
    <n v="64.900000000000006"/>
    <n v="2417.6999999999998"/>
    <x v="1"/>
  </r>
  <r>
    <s v="ORD-2026-0248"/>
    <s v="2026-05-16"/>
    <x v="11"/>
    <s v="Q2"/>
    <x v="29"/>
    <x v="3"/>
    <x v="4"/>
    <s v="Lucknow"/>
    <x v="2"/>
    <x v="2"/>
    <x v="6"/>
    <n v="8618.16"/>
    <n v="24"/>
    <x v="247"/>
    <n v="23"/>
    <x v="247"/>
    <n v="25"/>
    <n v="39815.9"/>
    <x v="1"/>
  </r>
  <r>
    <s v="ORD-2026-0249"/>
    <s v="2026-10-02"/>
    <x v="2"/>
    <s v="Q4"/>
    <x v="31"/>
    <x v="4"/>
    <x v="0"/>
    <s v="Patna"/>
    <x v="1"/>
    <x v="2"/>
    <x v="0"/>
    <n v="2055.2800000000002"/>
    <n v="17"/>
    <x v="248"/>
    <n v="6.9"/>
    <x v="248"/>
    <n v="66.599999999999994"/>
    <n v="21664.26"/>
    <x v="1"/>
  </r>
  <r>
    <s v="ORD-2026-0250"/>
    <s v="2026-05-15"/>
    <x v="11"/>
    <s v="Q2"/>
    <x v="0"/>
    <x v="0"/>
    <x v="4"/>
    <s v="Chandigarh"/>
    <x v="3"/>
    <x v="2"/>
    <x v="4"/>
    <n v="57628"/>
    <n v="16"/>
    <x v="249"/>
    <n v="20.5"/>
    <x v="249"/>
    <n v="12.5"/>
    <n v="91628.52"/>
    <x v="1"/>
  </r>
  <r>
    <s v="ORD-2026-0251"/>
    <s v="2026-01-17"/>
    <x v="7"/>
    <s v="Q1"/>
    <x v="26"/>
    <x v="2"/>
    <x v="2"/>
    <s v="Nagpur"/>
    <x v="0"/>
    <x v="0"/>
    <x v="8"/>
    <n v="186.83"/>
    <n v="17"/>
    <x v="250"/>
    <n v="16.899999999999999"/>
    <x v="250"/>
    <n v="18.5"/>
    <n v="488.28"/>
    <x v="1"/>
  </r>
  <r>
    <s v="ORD-2026-0252"/>
    <s v="2026-04-14"/>
    <x v="4"/>
    <s v="Q2"/>
    <x v="25"/>
    <x v="5"/>
    <x v="4"/>
    <s v="Delhi"/>
    <x v="4"/>
    <x v="0"/>
    <x v="1"/>
    <n v="496.12"/>
    <n v="21"/>
    <x v="251"/>
    <n v="13.2"/>
    <x v="251"/>
    <n v="45.1"/>
    <n v="4078.52"/>
    <x v="1"/>
  </r>
  <r>
    <s v="ORD-2026-0253"/>
    <s v="2026-04-29"/>
    <x v="4"/>
    <s v="Q2"/>
    <x v="19"/>
    <x v="0"/>
    <x v="0"/>
    <s v="Patna"/>
    <x v="4"/>
    <x v="1"/>
    <x v="4"/>
    <n v="15106.41"/>
    <n v="19"/>
    <x v="252"/>
    <n v="11.4"/>
    <x v="252"/>
    <n v="21.5"/>
    <n v="54674.78"/>
    <x v="1"/>
  </r>
  <r>
    <s v="ORD-2026-0254"/>
    <s v="2026-01-23"/>
    <x v="7"/>
    <s v="Q1"/>
    <x v="19"/>
    <x v="0"/>
    <x v="4"/>
    <s v="Delhi"/>
    <x v="3"/>
    <x v="3"/>
    <x v="8"/>
    <n v="94524.95"/>
    <n v="1"/>
    <x v="253"/>
    <n v="11.1"/>
    <x v="253"/>
    <n v="23.1"/>
    <n v="19411.55"/>
    <x v="3"/>
  </r>
  <r>
    <s v="ORD-2026-0255"/>
    <s v="2026-03-05"/>
    <x v="9"/>
    <s v="Q1"/>
    <x v="27"/>
    <x v="3"/>
    <x v="1"/>
    <s v="Kochi"/>
    <x v="1"/>
    <x v="1"/>
    <x v="1"/>
    <n v="4623.9799999999996"/>
    <n v="4"/>
    <x v="254"/>
    <n v="11.3"/>
    <x v="254"/>
    <n v="22.3"/>
    <n v="3658.51"/>
    <x v="0"/>
  </r>
  <r>
    <s v="ORD-2026-0256"/>
    <s v="2026-07-11"/>
    <x v="5"/>
    <s v="Q3"/>
    <x v="8"/>
    <x v="3"/>
    <x v="0"/>
    <s v="Bhubaneswar"/>
    <x v="3"/>
    <x v="1"/>
    <x v="6"/>
    <n v="7509.15"/>
    <n v="19"/>
    <x v="255"/>
    <n v="21.8"/>
    <x v="255"/>
    <n v="29.4"/>
    <n v="32801.86"/>
    <x v="1"/>
  </r>
  <r>
    <s v="ORD-2026-0257"/>
    <s v="2026-05-18"/>
    <x v="11"/>
    <s v="Q2"/>
    <x v="32"/>
    <x v="5"/>
    <x v="2"/>
    <s v="Nagpur"/>
    <x v="0"/>
    <x v="0"/>
    <x v="0"/>
    <n v="4853.66"/>
    <n v="1"/>
    <x v="256"/>
    <n v="18"/>
    <x v="256"/>
    <n v="54.6"/>
    <n v="2173.08"/>
    <x v="1"/>
  </r>
  <r>
    <s v="ORD-2026-0258"/>
    <s v="2026-04-01"/>
    <x v="4"/>
    <s v="Q2"/>
    <x v="14"/>
    <x v="2"/>
    <x v="1"/>
    <s v="Hyderabad"/>
    <x v="0"/>
    <x v="0"/>
    <x v="8"/>
    <n v="650.69000000000005"/>
    <n v="13"/>
    <x v="257"/>
    <n v="19.2"/>
    <x v="257"/>
    <n v="38.6"/>
    <n v="2638.25"/>
    <x v="1"/>
  </r>
  <r>
    <s v="ORD-2026-0259"/>
    <s v="2026-08-24"/>
    <x v="8"/>
    <s v="Q3"/>
    <x v="3"/>
    <x v="3"/>
    <x v="3"/>
    <s v="Ahmedabad"/>
    <x v="4"/>
    <x v="2"/>
    <x v="9"/>
    <n v="6088.66"/>
    <n v="23"/>
    <x v="258"/>
    <n v="14.6"/>
    <x v="258"/>
    <n v="34.700000000000003"/>
    <n v="41498.93"/>
    <x v="1"/>
  </r>
  <r>
    <s v="ORD-2026-0260"/>
    <s v="2026-06-13"/>
    <x v="10"/>
    <s v="Q2"/>
    <x v="21"/>
    <x v="5"/>
    <x v="4"/>
    <s v="Jaipur"/>
    <x v="2"/>
    <x v="2"/>
    <x v="4"/>
    <n v="3697.38"/>
    <n v="16"/>
    <x v="259"/>
    <n v="24.2"/>
    <x v="259"/>
    <n v="57.6"/>
    <n v="25828.89"/>
    <x v="1"/>
  </r>
  <r>
    <s v="ORD-2026-0261"/>
    <s v="2026-07-08"/>
    <x v="5"/>
    <s v="Q3"/>
    <x v="17"/>
    <x v="4"/>
    <x v="4"/>
    <s v="Chandigarh"/>
    <x v="2"/>
    <x v="1"/>
    <x v="0"/>
    <n v="321.39999999999998"/>
    <n v="25"/>
    <x v="260"/>
    <n v="0.9"/>
    <x v="260"/>
    <n v="61.2"/>
    <n v="4873.16"/>
    <x v="1"/>
  </r>
  <r>
    <s v="ORD-2026-0262"/>
    <s v="2026-01-09"/>
    <x v="7"/>
    <s v="Q1"/>
    <x v="37"/>
    <x v="1"/>
    <x v="0"/>
    <s v="Kolkata"/>
    <x v="2"/>
    <x v="1"/>
    <x v="3"/>
    <n v="4313.93"/>
    <n v="15"/>
    <x v="261"/>
    <n v="23.7"/>
    <x v="261"/>
    <n v="38.700000000000003"/>
    <n v="19107.32"/>
    <x v="1"/>
  </r>
  <r>
    <s v="ORD-2026-0263"/>
    <s v="2026-05-20"/>
    <x v="11"/>
    <s v="Q2"/>
    <x v="28"/>
    <x v="0"/>
    <x v="0"/>
    <s v="Kolkata"/>
    <x v="4"/>
    <x v="2"/>
    <x v="6"/>
    <n v="56386.7"/>
    <n v="9"/>
    <x v="262"/>
    <n v="18.5"/>
    <x v="262"/>
    <n v="30.9"/>
    <n v="127801.3"/>
    <x v="1"/>
  </r>
  <r>
    <s v="ORD-2026-0264"/>
    <s v="2026-08-09"/>
    <x v="8"/>
    <s v="Q3"/>
    <x v="34"/>
    <x v="5"/>
    <x v="1"/>
    <s v="Bengaluru"/>
    <x v="1"/>
    <x v="0"/>
    <x v="9"/>
    <n v="4433.84"/>
    <n v="18"/>
    <x v="263"/>
    <n v="13.2"/>
    <x v="263"/>
    <n v="53.5"/>
    <n v="37061.760000000002"/>
    <x v="1"/>
  </r>
  <r>
    <s v="ORD-2026-0265"/>
    <s v="2026-12-03"/>
    <x v="1"/>
    <s v="Q4"/>
    <x v="23"/>
    <x v="2"/>
    <x v="0"/>
    <s v="Guwahati"/>
    <x v="1"/>
    <x v="3"/>
    <x v="9"/>
    <n v="506.02"/>
    <n v="5"/>
    <x v="264"/>
    <n v="12.5"/>
    <x v="264"/>
    <n v="34.1"/>
    <n v="754.92"/>
    <x v="3"/>
  </r>
  <r>
    <s v="ORD-2026-0266"/>
    <s v="2026-06-23"/>
    <x v="10"/>
    <s v="Q2"/>
    <x v="16"/>
    <x v="0"/>
    <x v="0"/>
    <s v="Patna"/>
    <x v="1"/>
    <x v="0"/>
    <x v="8"/>
    <n v="13228.25"/>
    <n v="21"/>
    <x v="265"/>
    <n v="10.199999999999999"/>
    <x v="265"/>
    <n v="27.2"/>
    <n v="67852.67"/>
    <x v="1"/>
  </r>
  <r>
    <s v="ORD-2026-0267"/>
    <s v="2026-12-01"/>
    <x v="1"/>
    <s v="Q4"/>
    <x v="19"/>
    <x v="0"/>
    <x v="3"/>
    <s v="Ahmedabad"/>
    <x v="1"/>
    <x v="0"/>
    <x v="1"/>
    <n v="8499.0400000000009"/>
    <n v="8"/>
    <x v="266"/>
    <n v="10.7"/>
    <x v="266"/>
    <n v="25"/>
    <n v="15179.28"/>
    <x v="2"/>
  </r>
  <r>
    <s v="ORD-2026-0268"/>
    <s v="2026-04-21"/>
    <x v="4"/>
    <s v="Q2"/>
    <x v="17"/>
    <x v="4"/>
    <x v="1"/>
    <s v="Chennai"/>
    <x v="4"/>
    <x v="2"/>
    <x v="8"/>
    <n v="925.54"/>
    <n v="14"/>
    <x v="267"/>
    <n v="20.5"/>
    <x v="267"/>
    <n v="60.5"/>
    <n v="6232.26"/>
    <x v="2"/>
  </r>
  <r>
    <s v="ORD-2026-0269"/>
    <s v="2026-12-26"/>
    <x v="1"/>
    <s v="Q4"/>
    <x v="40"/>
    <x v="1"/>
    <x v="4"/>
    <s v="Chandigarh"/>
    <x v="1"/>
    <x v="0"/>
    <x v="2"/>
    <n v="35220.269999999997"/>
    <n v="7"/>
    <x v="268"/>
    <n v="6.3"/>
    <x v="268"/>
    <n v="46.5"/>
    <n v="107419.53"/>
    <x v="1"/>
  </r>
  <r>
    <s v="ORD-2026-0270"/>
    <s v="2026-11-21"/>
    <x v="0"/>
    <s v="Q4"/>
    <x v="33"/>
    <x v="3"/>
    <x v="2"/>
    <s v="Nagpur"/>
    <x v="3"/>
    <x v="2"/>
    <x v="2"/>
    <n v="3639.78"/>
    <n v="22"/>
    <x v="269"/>
    <n v="2.6"/>
    <x v="269"/>
    <n v="24"/>
    <n v="18718.37"/>
    <x v="1"/>
  </r>
  <r>
    <s v="ORD-2026-0271"/>
    <s v="2026-03-29"/>
    <x v="9"/>
    <s v="Q1"/>
    <x v="14"/>
    <x v="2"/>
    <x v="2"/>
    <s v="Bhopal"/>
    <x v="0"/>
    <x v="2"/>
    <x v="9"/>
    <n v="264.48"/>
    <n v="17"/>
    <x v="270"/>
    <n v="13.2"/>
    <x v="270"/>
    <n v="24.4"/>
    <n v="952.25"/>
    <x v="1"/>
  </r>
  <r>
    <s v="ORD-2026-0272"/>
    <s v="2026-03-13"/>
    <x v="9"/>
    <s v="Q1"/>
    <x v="30"/>
    <x v="4"/>
    <x v="0"/>
    <s v="Bhubaneswar"/>
    <x v="3"/>
    <x v="3"/>
    <x v="0"/>
    <n v="2416.73"/>
    <n v="17"/>
    <x v="271"/>
    <n v="4.9000000000000004"/>
    <x v="271"/>
    <n v="71.5"/>
    <n v="27935.96"/>
    <x v="2"/>
  </r>
  <r>
    <s v="ORD-2026-0273"/>
    <s v="2026-08-21"/>
    <x v="8"/>
    <s v="Q3"/>
    <x v="6"/>
    <x v="2"/>
    <x v="4"/>
    <s v="Lucknow"/>
    <x v="1"/>
    <x v="3"/>
    <x v="5"/>
    <n v="1025.73"/>
    <n v="15"/>
    <x v="272"/>
    <n v="24.8"/>
    <x v="272"/>
    <n v="32"/>
    <n v="3702.47"/>
    <x v="2"/>
  </r>
  <r>
    <s v="ORD-2026-0274"/>
    <s v="2026-04-22"/>
    <x v="4"/>
    <s v="Q2"/>
    <x v="34"/>
    <x v="5"/>
    <x v="4"/>
    <s v="Lucknow"/>
    <x v="0"/>
    <x v="0"/>
    <x v="8"/>
    <n v="1568.74"/>
    <n v="9"/>
    <x v="273"/>
    <n v="2.4"/>
    <x v="273"/>
    <n v="55.4"/>
    <n v="7634.01"/>
    <x v="1"/>
  </r>
  <r>
    <s v="ORD-2026-0275"/>
    <s v="2026-06-15"/>
    <x v="10"/>
    <s v="Q2"/>
    <x v="14"/>
    <x v="2"/>
    <x v="3"/>
    <s v="Surat"/>
    <x v="2"/>
    <x v="1"/>
    <x v="2"/>
    <n v="311.58"/>
    <n v="2"/>
    <x v="274"/>
    <n v="22.3"/>
    <x v="274"/>
    <n v="26.6"/>
    <n v="128.80000000000001"/>
    <x v="1"/>
  </r>
  <r>
    <s v="ORD-2026-0276"/>
    <s v="2026-07-14"/>
    <x v="5"/>
    <s v="Q3"/>
    <x v="34"/>
    <x v="5"/>
    <x v="2"/>
    <s v="Raipur"/>
    <x v="2"/>
    <x v="2"/>
    <x v="4"/>
    <n v="2123.6999999999998"/>
    <n v="14"/>
    <x v="275"/>
    <n v="4.5999999999999996"/>
    <x v="275"/>
    <n v="54.2"/>
    <n v="15373.36"/>
    <x v="1"/>
  </r>
  <r>
    <s v="ORD-2026-0277"/>
    <s v="2026-07-18"/>
    <x v="5"/>
    <s v="Q3"/>
    <x v="9"/>
    <x v="1"/>
    <x v="4"/>
    <s v="Jaipur"/>
    <x v="1"/>
    <x v="0"/>
    <x v="7"/>
    <n v="11204.96"/>
    <n v="8"/>
    <x v="276"/>
    <n v="7.7"/>
    <x v="276"/>
    <n v="45.5"/>
    <n v="37645.53"/>
    <x v="2"/>
  </r>
  <r>
    <s v="ORD-2026-0278"/>
    <s v="2026-06-30"/>
    <x v="10"/>
    <s v="Q2"/>
    <x v="3"/>
    <x v="3"/>
    <x v="2"/>
    <s v="Raipur"/>
    <x v="2"/>
    <x v="2"/>
    <x v="2"/>
    <n v="7797.01"/>
    <n v="2"/>
    <x v="277"/>
    <n v="2.9"/>
    <x v="277"/>
    <n v="33"/>
    <n v="4996.79"/>
    <x v="1"/>
  </r>
  <r>
    <s v="ORD-2026-0279"/>
    <s v="2026-08-08"/>
    <x v="8"/>
    <s v="Q3"/>
    <x v="20"/>
    <x v="1"/>
    <x v="2"/>
    <s v="Indore"/>
    <x v="3"/>
    <x v="0"/>
    <x v="6"/>
    <n v="7671.79"/>
    <n v="17"/>
    <x v="278"/>
    <n v="2.1"/>
    <x v="278"/>
    <n v="41.2"/>
    <n v="52604.82"/>
    <x v="1"/>
  </r>
  <r>
    <s v="ORD-2026-0280"/>
    <s v="2026-01-23"/>
    <x v="7"/>
    <s v="Q1"/>
    <x v="19"/>
    <x v="0"/>
    <x v="4"/>
    <s v="Lucknow"/>
    <x v="3"/>
    <x v="2"/>
    <x v="2"/>
    <n v="4668.8"/>
    <n v="23"/>
    <x v="279"/>
    <n v="20.3"/>
    <x v="279"/>
    <n v="15"/>
    <n v="12837.57"/>
    <x v="1"/>
  </r>
  <r>
    <s v="ORD-2026-0281"/>
    <s v="2026-01-07"/>
    <x v="7"/>
    <s v="Q1"/>
    <x v="17"/>
    <x v="4"/>
    <x v="1"/>
    <s v="Bengaluru"/>
    <x v="2"/>
    <x v="0"/>
    <x v="1"/>
    <n v="307.08999999999997"/>
    <n v="19"/>
    <x v="280"/>
    <n v="7.1"/>
    <x v="280"/>
    <n v="52.3"/>
    <n v="2834.9"/>
    <x v="1"/>
  </r>
  <r>
    <s v="ORD-2026-0282"/>
    <s v="2026-10-27"/>
    <x v="2"/>
    <s v="Q4"/>
    <x v="6"/>
    <x v="2"/>
    <x v="0"/>
    <s v="Patna"/>
    <x v="4"/>
    <x v="0"/>
    <x v="3"/>
    <n v="1404.67"/>
    <n v="17"/>
    <x v="281"/>
    <n v="12.1"/>
    <x v="281"/>
    <n v="27.3"/>
    <n v="5730.26"/>
    <x v="0"/>
  </r>
  <r>
    <s v="ORD-2026-0283"/>
    <s v="2026-02-19"/>
    <x v="6"/>
    <s v="Q1"/>
    <x v="25"/>
    <x v="5"/>
    <x v="4"/>
    <s v="Lucknow"/>
    <x v="1"/>
    <x v="3"/>
    <x v="2"/>
    <n v="2753.34"/>
    <n v="9"/>
    <x v="282"/>
    <n v="18.399999999999999"/>
    <x v="282"/>
    <n v="46.6"/>
    <n v="9422.77"/>
    <x v="2"/>
  </r>
  <r>
    <s v="ORD-2026-0284"/>
    <s v="2026-05-25"/>
    <x v="11"/>
    <s v="Q2"/>
    <x v="26"/>
    <x v="2"/>
    <x v="0"/>
    <s v="Patna"/>
    <x v="2"/>
    <x v="2"/>
    <x v="8"/>
    <n v="518.27"/>
    <n v="21"/>
    <x v="283"/>
    <n v="19.899999999999999"/>
    <x v="283"/>
    <n v="22.5"/>
    <n v="1961.51"/>
    <x v="1"/>
  </r>
  <r>
    <s v="ORD-2026-0285"/>
    <s v="2026-10-01"/>
    <x v="2"/>
    <s v="Q4"/>
    <x v="30"/>
    <x v="4"/>
    <x v="2"/>
    <s v="Nagpur"/>
    <x v="3"/>
    <x v="3"/>
    <x v="2"/>
    <n v="789.55"/>
    <n v="1"/>
    <x v="284"/>
    <n v="17.100000000000001"/>
    <x v="284"/>
    <n v="54.8"/>
    <n v="358.69"/>
    <x v="1"/>
  </r>
  <r>
    <s v="ORD-2026-0286"/>
    <s v="2026-11-24"/>
    <x v="0"/>
    <s v="Q4"/>
    <x v="23"/>
    <x v="2"/>
    <x v="4"/>
    <s v="Lucknow"/>
    <x v="0"/>
    <x v="0"/>
    <x v="1"/>
    <n v="1061.05"/>
    <n v="11"/>
    <x v="285"/>
    <n v="21.5"/>
    <x v="285"/>
    <n v="29.5"/>
    <n v="2702.84"/>
    <x v="1"/>
  </r>
  <r>
    <s v="ORD-2026-0287"/>
    <s v="2026-10-11"/>
    <x v="2"/>
    <s v="Q4"/>
    <x v="38"/>
    <x v="0"/>
    <x v="1"/>
    <s v="Bengaluru"/>
    <x v="4"/>
    <x v="2"/>
    <x v="0"/>
    <n v="77167"/>
    <n v="16"/>
    <x v="286"/>
    <n v="18.8"/>
    <x v="286"/>
    <n v="14.2"/>
    <n v="142362.62"/>
    <x v="0"/>
  </r>
  <r>
    <s v="ORD-2026-0288"/>
    <s v="2026-11-16"/>
    <x v="0"/>
    <s v="Q4"/>
    <x v="10"/>
    <x v="1"/>
    <x v="2"/>
    <s v="Nagpur"/>
    <x v="0"/>
    <x v="0"/>
    <x v="0"/>
    <n v="33976.699999999997"/>
    <n v="1"/>
    <x v="287"/>
    <n v="23.9"/>
    <x v="287"/>
    <n v="33.5"/>
    <n v="8661.85"/>
    <x v="1"/>
  </r>
  <r>
    <s v="ORD-2026-0289"/>
    <s v="2026-10-11"/>
    <x v="2"/>
    <s v="Q4"/>
    <x v="14"/>
    <x v="2"/>
    <x v="4"/>
    <s v="Jaipur"/>
    <x v="2"/>
    <x v="2"/>
    <x v="5"/>
    <n v="155.91"/>
    <n v="24"/>
    <x v="288"/>
    <n v="10.3"/>
    <x v="288"/>
    <n v="26.6"/>
    <n v="892.81"/>
    <x v="1"/>
  </r>
  <r>
    <s v="ORD-2026-0290"/>
    <s v="2026-08-25"/>
    <x v="8"/>
    <s v="Q3"/>
    <x v="0"/>
    <x v="0"/>
    <x v="2"/>
    <s v="Indore"/>
    <x v="1"/>
    <x v="3"/>
    <x v="2"/>
    <n v="35102.910000000003"/>
    <n v="7"/>
    <x v="289"/>
    <n v="13.1"/>
    <x v="289"/>
    <n v="27.9"/>
    <n v="59575.15"/>
    <x v="1"/>
  </r>
  <r>
    <s v="ORD-2026-0291"/>
    <s v="2026-01-11"/>
    <x v="7"/>
    <s v="Q1"/>
    <x v="17"/>
    <x v="4"/>
    <x v="3"/>
    <s v="Mumbai"/>
    <x v="3"/>
    <x v="2"/>
    <x v="3"/>
    <n v="3636.05"/>
    <n v="9"/>
    <x v="290"/>
    <n v="16.3"/>
    <x v="290"/>
    <n v="58.9"/>
    <n v="16132.92"/>
    <x v="1"/>
  </r>
  <r>
    <s v="ORD-2026-0292"/>
    <s v="2026-08-27"/>
    <x v="8"/>
    <s v="Q3"/>
    <x v="37"/>
    <x v="1"/>
    <x v="4"/>
    <s v="Chandigarh"/>
    <x v="0"/>
    <x v="3"/>
    <x v="9"/>
    <n v="44252.17"/>
    <n v="6"/>
    <x v="291"/>
    <n v="20.6"/>
    <x v="291"/>
    <n v="34.6"/>
    <n v="72942.8"/>
    <x v="1"/>
  </r>
  <r>
    <s v="ORD-2026-0293"/>
    <s v="2026-01-19"/>
    <x v="7"/>
    <s v="Q1"/>
    <x v="24"/>
    <x v="5"/>
    <x v="3"/>
    <s v="Pune"/>
    <x v="4"/>
    <x v="3"/>
    <x v="0"/>
    <n v="557.22"/>
    <n v="20"/>
    <x v="292"/>
    <n v="6.6"/>
    <x v="292"/>
    <n v="50"/>
    <n v="5204.4399999999996"/>
    <x v="1"/>
  </r>
  <r>
    <s v="ORD-2026-0294"/>
    <s v="2026-11-11"/>
    <x v="0"/>
    <s v="Q4"/>
    <x v="21"/>
    <x v="5"/>
    <x v="3"/>
    <s v="Surat"/>
    <x v="0"/>
    <x v="0"/>
    <x v="7"/>
    <n v="1069.8399999999999"/>
    <n v="9"/>
    <x v="293"/>
    <n v="21.2"/>
    <x v="293"/>
    <n v="56.8"/>
    <n v="4309.59"/>
    <x v="1"/>
  </r>
  <r>
    <s v="ORD-2026-0295"/>
    <s v="2026-09-08"/>
    <x v="3"/>
    <s v="Q3"/>
    <x v="5"/>
    <x v="0"/>
    <x v="1"/>
    <s v="Hyderabad"/>
    <x v="2"/>
    <x v="2"/>
    <x v="4"/>
    <n v="63415.86"/>
    <n v="13"/>
    <x v="294"/>
    <n v="18.100000000000001"/>
    <x v="294"/>
    <n v="17.3"/>
    <n v="116807.64"/>
    <x v="1"/>
  </r>
  <r>
    <s v="ORD-2026-0296"/>
    <s v="2026-04-28"/>
    <x v="4"/>
    <s v="Q2"/>
    <x v="4"/>
    <x v="4"/>
    <x v="4"/>
    <s v="Chandigarh"/>
    <x v="0"/>
    <x v="1"/>
    <x v="9"/>
    <n v="3908.13"/>
    <n v="20"/>
    <x v="295"/>
    <n v="8.5"/>
    <x v="295"/>
    <n v="64.599999999999994"/>
    <n v="46201.13"/>
    <x v="1"/>
  </r>
  <r>
    <s v="ORD-2026-0297"/>
    <s v="2026-01-25"/>
    <x v="7"/>
    <s v="Q1"/>
    <x v="13"/>
    <x v="4"/>
    <x v="4"/>
    <s v="Lucknow"/>
    <x v="4"/>
    <x v="2"/>
    <x v="7"/>
    <n v="639.15"/>
    <n v="3"/>
    <x v="296"/>
    <n v="1"/>
    <x v="296"/>
    <n v="60"/>
    <n v="1138.97"/>
    <x v="0"/>
  </r>
  <r>
    <s v="ORD-2026-0298"/>
    <s v="2026-12-26"/>
    <x v="1"/>
    <s v="Q4"/>
    <x v="0"/>
    <x v="0"/>
    <x v="2"/>
    <s v="Indore"/>
    <x v="3"/>
    <x v="1"/>
    <x v="1"/>
    <n v="42072.41"/>
    <n v="14"/>
    <x v="297"/>
    <n v="3"/>
    <x v="297"/>
    <n v="23"/>
    <n v="131408.97"/>
    <x v="1"/>
  </r>
  <r>
    <s v="ORD-2026-0299"/>
    <s v="2026-09-29"/>
    <x v="3"/>
    <s v="Q3"/>
    <x v="33"/>
    <x v="3"/>
    <x v="1"/>
    <s v="Chennai"/>
    <x v="2"/>
    <x v="1"/>
    <x v="3"/>
    <n v="7938.43"/>
    <n v="1"/>
    <x v="298"/>
    <n v="22"/>
    <x v="298"/>
    <n v="29.4"/>
    <n v="1820.44"/>
    <x v="1"/>
  </r>
  <r>
    <s v="ORD-2026-0300"/>
    <s v="2026-09-04"/>
    <x v="3"/>
    <s v="Q3"/>
    <x v="3"/>
    <x v="3"/>
    <x v="0"/>
    <s v="Bhubaneswar"/>
    <x v="4"/>
    <x v="1"/>
    <x v="7"/>
    <n v="3965.21"/>
    <n v="3"/>
    <x v="299"/>
    <n v="19.8"/>
    <x v="299"/>
    <n v="26.4"/>
    <n v="2518.64"/>
    <x v="1"/>
  </r>
  <r>
    <s v="ORD-2026-0301"/>
    <s v="2026-05-10"/>
    <x v="11"/>
    <s v="Q2"/>
    <x v="19"/>
    <x v="0"/>
    <x v="4"/>
    <s v="Lucknow"/>
    <x v="3"/>
    <x v="1"/>
    <x v="2"/>
    <n v="11296.5"/>
    <n v="16"/>
    <x v="300"/>
    <n v="20.5"/>
    <x v="300"/>
    <n v="25.9"/>
    <n v="37216.089999999997"/>
    <x v="2"/>
  </r>
  <r>
    <s v="ORD-2026-0302"/>
    <s v="2026-07-18"/>
    <x v="5"/>
    <s v="Q3"/>
    <x v="31"/>
    <x v="4"/>
    <x v="1"/>
    <s v="Bengaluru"/>
    <x v="0"/>
    <x v="2"/>
    <x v="6"/>
    <n v="1623.05"/>
    <n v="16"/>
    <x v="301"/>
    <n v="13.1"/>
    <x v="301"/>
    <n v="63"/>
    <n v="14217.14"/>
    <x v="1"/>
  </r>
  <r>
    <s v="ORD-2026-0303"/>
    <s v="2026-11-29"/>
    <x v="0"/>
    <s v="Q4"/>
    <x v="14"/>
    <x v="2"/>
    <x v="0"/>
    <s v="Bhubaneswar"/>
    <x v="1"/>
    <x v="1"/>
    <x v="9"/>
    <n v="461.83"/>
    <n v="23"/>
    <x v="302"/>
    <n v="0.6"/>
    <x v="302"/>
    <n v="35.1"/>
    <n v="3705.98"/>
    <x v="1"/>
  </r>
  <r>
    <s v="ORD-2026-0304"/>
    <s v="2026-05-15"/>
    <x v="11"/>
    <s v="Q2"/>
    <x v="25"/>
    <x v="5"/>
    <x v="0"/>
    <s v="Bhubaneswar"/>
    <x v="2"/>
    <x v="1"/>
    <x v="6"/>
    <n v="1776.11"/>
    <n v="14"/>
    <x v="303"/>
    <n v="0.1"/>
    <x v="303"/>
    <n v="45.8"/>
    <n v="11377.03"/>
    <x v="1"/>
  </r>
  <r>
    <s v="ORD-2026-0305"/>
    <s v="2026-05-20"/>
    <x v="11"/>
    <s v="Q2"/>
    <x v="24"/>
    <x v="5"/>
    <x v="4"/>
    <s v="Chandigarh"/>
    <x v="3"/>
    <x v="2"/>
    <x v="1"/>
    <n v="836.6"/>
    <n v="23"/>
    <x v="304"/>
    <n v="24.1"/>
    <x v="304"/>
    <n v="45.2"/>
    <n v="6601.25"/>
    <x v="1"/>
  </r>
  <r>
    <s v="ORD-2026-0306"/>
    <s v="2026-04-16"/>
    <x v="4"/>
    <s v="Q2"/>
    <x v="23"/>
    <x v="2"/>
    <x v="3"/>
    <s v="Pune"/>
    <x v="0"/>
    <x v="1"/>
    <x v="7"/>
    <n v="576.94000000000005"/>
    <n v="21"/>
    <x v="305"/>
    <n v="17.600000000000001"/>
    <x v="305"/>
    <n v="22.5"/>
    <n v="2246.2600000000002"/>
    <x v="0"/>
  </r>
  <r>
    <s v="ORD-2026-0307"/>
    <s v="2026-09-15"/>
    <x v="3"/>
    <s v="Q3"/>
    <x v="39"/>
    <x v="1"/>
    <x v="0"/>
    <s v="Bhubaneswar"/>
    <x v="1"/>
    <x v="2"/>
    <x v="0"/>
    <n v="36180.49"/>
    <n v="17"/>
    <x v="306"/>
    <n v="20.9"/>
    <x v="306"/>
    <n v="37"/>
    <n v="180012.05"/>
    <x v="1"/>
  </r>
  <r>
    <s v="ORD-2026-0308"/>
    <s v="2026-11-29"/>
    <x v="0"/>
    <s v="Q4"/>
    <x v="17"/>
    <x v="4"/>
    <x v="4"/>
    <s v="Chandigarh"/>
    <x v="1"/>
    <x v="3"/>
    <x v="9"/>
    <n v="1937.12"/>
    <n v="22"/>
    <x v="307"/>
    <n v="6.4"/>
    <x v="307"/>
    <n v="53.1"/>
    <n v="21181.15"/>
    <x v="1"/>
  </r>
  <r>
    <s v="ORD-2026-0309"/>
    <s v="2026-01-23"/>
    <x v="7"/>
    <s v="Q1"/>
    <x v="14"/>
    <x v="2"/>
    <x v="2"/>
    <s v="Indore"/>
    <x v="2"/>
    <x v="2"/>
    <x v="9"/>
    <n v="116.67"/>
    <n v="18"/>
    <x v="308"/>
    <n v="17"/>
    <x v="308"/>
    <n v="26.2"/>
    <n v="456.68"/>
    <x v="1"/>
  </r>
  <r>
    <s v="ORD-2026-0310"/>
    <s v="2026-02-20"/>
    <x v="6"/>
    <s v="Q1"/>
    <x v="35"/>
    <x v="5"/>
    <x v="2"/>
    <s v="Indore"/>
    <x v="2"/>
    <x v="3"/>
    <x v="9"/>
    <n v="3237.86"/>
    <n v="20"/>
    <x v="309"/>
    <n v="0.7"/>
    <x v="309"/>
    <n v="52"/>
    <n v="33438.03"/>
    <x v="2"/>
  </r>
  <r>
    <s v="ORD-2026-0311"/>
    <s v="2026-06-01"/>
    <x v="10"/>
    <s v="Q2"/>
    <x v="41"/>
    <x v="5"/>
    <x v="4"/>
    <s v="Jaipur"/>
    <x v="3"/>
    <x v="0"/>
    <x v="3"/>
    <n v="2387.94"/>
    <n v="12"/>
    <x v="310"/>
    <n v="9.6999999999999993"/>
    <x v="310"/>
    <n v="53.4"/>
    <n v="13817.63"/>
    <x v="1"/>
  </r>
  <r>
    <s v="ORD-2026-0312"/>
    <s v="2026-01-27"/>
    <x v="7"/>
    <s v="Q1"/>
    <x v="6"/>
    <x v="2"/>
    <x v="4"/>
    <s v="Lucknow"/>
    <x v="2"/>
    <x v="1"/>
    <x v="5"/>
    <n v="1209.6500000000001"/>
    <n v="9"/>
    <x v="311"/>
    <n v="15.4"/>
    <x v="311"/>
    <n v="39.5"/>
    <n v="3638.06"/>
    <x v="1"/>
  </r>
  <r>
    <s v="ORD-2026-0313"/>
    <s v="2026-02-18"/>
    <x v="6"/>
    <s v="Q1"/>
    <x v="13"/>
    <x v="4"/>
    <x v="4"/>
    <s v="Jaipur"/>
    <x v="2"/>
    <x v="3"/>
    <x v="6"/>
    <n v="2881.56"/>
    <n v="7"/>
    <x v="312"/>
    <n v="2.7"/>
    <x v="312"/>
    <n v="56.3"/>
    <n v="11049.61"/>
    <x v="1"/>
  </r>
  <r>
    <s v="ORD-2026-0314"/>
    <s v="2026-02-21"/>
    <x v="6"/>
    <s v="Q1"/>
    <x v="26"/>
    <x v="2"/>
    <x v="4"/>
    <s v="Delhi"/>
    <x v="2"/>
    <x v="2"/>
    <x v="1"/>
    <n v="995.98"/>
    <n v="14"/>
    <x v="313"/>
    <n v="2.1"/>
    <x v="313"/>
    <n v="18.7"/>
    <n v="2552.7199999999998"/>
    <x v="1"/>
  </r>
  <r>
    <s v="ORD-2026-0315"/>
    <s v="2026-10-03"/>
    <x v="2"/>
    <s v="Q4"/>
    <x v="12"/>
    <x v="4"/>
    <x v="0"/>
    <s v="Guwahati"/>
    <x v="2"/>
    <x v="0"/>
    <x v="9"/>
    <n v="3063.09"/>
    <n v="24"/>
    <x v="314"/>
    <n v="15"/>
    <x v="314"/>
    <n v="61.8"/>
    <n v="38616.99"/>
    <x v="1"/>
  </r>
  <r>
    <s v="ORD-2026-0316"/>
    <s v="2026-12-26"/>
    <x v="1"/>
    <s v="Q4"/>
    <x v="41"/>
    <x v="5"/>
    <x v="4"/>
    <s v="Lucknow"/>
    <x v="2"/>
    <x v="2"/>
    <x v="5"/>
    <n v="4075.97"/>
    <n v="13"/>
    <x v="315"/>
    <n v="6.3"/>
    <x v="315"/>
    <n v="52.7"/>
    <n v="26165.23"/>
    <x v="1"/>
  </r>
  <r>
    <s v="ORD-2026-0317"/>
    <s v="2026-01-01"/>
    <x v="7"/>
    <s v="Q1"/>
    <x v="26"/>
    <x v="2"/>
    <x v="1"/>
    <s v="Chennai"/>
    <x v="0"/>
    <x v="3"/>
    <x v="1"/>
    <n v="777.96"/>
    <n v="11"/>
    <x v="316"/>
    <n v="20.6"/>
    <x v="316"/>
    <n v="18.3"/>
    <n v="1243.43"/>
    <x v="1"/>
  </r>
  <r>
    <s v="ORD-2026-0318"/>
    <s v="2026-08-29"/>
    <x v="8"/>
    <s v="Q3"/>
    <x v="0"/>
    <x v="0"/>
    <x v="1"/>
    <s v="Chennai"/>
    <x v="1"/>
    <x v="0"/>
    <x v="9"/>
    <n v="79460.27"/>
    <n v="5"/>
    <x v="317"/>
    <n v="21.2"/>
    <x v="317"/>
    <n v="24.8"/>
    <n v="77642.22"/>
    <x v="1"/>
  </r>
  <r>
    <s v="ORD-2026-0319"/>
    <s v="2026-10-05"/>
    <x v="2"/>
    <s v="Q4"/>
    <x v="21"/>
    <x v="5"/>
    <x v="3"/>
    <s v="Mumbai"/>
    <x v="4"/>
    <x v="0"/>
    <x v="6"/>
    <n v="2918.18"/>
    <n v="15"/>
    <x v="318"/>
    <n v="9.8000000000000007"/>
    <x v="318"/>
    <n v="60.2"/>
    <n v="23768.75"/>
    <x v="1"/>
  </r>
  <r>
    <s v="ORD-2026-0320"/>
    <s v="2026-10-23"/>
    <x v="2"/>
    <s v="Q4"/>
    <x v="25"/>
    <x v="5"/>
    <x v="0"/>
    <s v="Kolkata"/>
    <x v="4"/>
    <x v="2"/>
    <x v="8"/>
    <n v="1046.25"/>
    <n v="16"/>
    <x v="319"/>
    <n v="23.1"/>
    <x v="319"/>
    <n v="58.5"/>
    <n v="7530.74"/>
    <x v="3"/>
  </r>
  <r>
    <s v="ORD-2026-0321"/>
    <s v="2026-09-12"/>
    <x v="3"/>
    <s v="Q3"/>
    <x v="1"/>
    <x v="1"/>
    <x v="1"/>
    <s v="Kochi"/>
    <x v="1"/>
    <x v="2"/>
    <x v="1"/>
    <n v="24071.61"/>
    <n v="9"/>
    <x v="320"/>
    <n v="22.3"/>
    <x v="320"/>
    <n v="39.5"/>
    <n v="66491.44"/>
    <x v="1"/>
  </r>
  <r>
    <s v="ORD-2026-0322"/>
    <s v="2026-12-10"/>
    <x v="1"/>
    <s v="Q4"/>
    <x v="36"/>
    <x v="4"/>
    <x v="2"/>
    <s v="Nagpur"/>
    <x v="0"/>
    <x v="0"/>
    <x v="9"/>
    <n v="661.06"/>
    <n v="6"/>
    <x v="321"/>
    <n v="14.3"/>
    <x v="321"/>
    <n v="65.900000000000006"/>
    <n v="2240.0500000000002"/>
    <x v="1"/>
  </r>
  <r>
    <s v="ORD-2026-0323"/>
    <s v="2026-03-31"/>
    <x v="9"/>
    <s v="Q1"/>
    <x v="2"/>
    <x v="2"/>
    <x v="0"/>
    <s v="Patna"/>
    <x v="1"/>
    <x v="3"/>
    <x v="9"/>
    <n v="498.12"/>
    <n v="9"/>
    <x v="322"/>
    <n v="24.5"/>
    <x v="322"/>
    <n v="24.7"/>
    <n v="836.03"/>
    <x v="1"/>
  </r>
  <r>
    <s v="ORD-2026-0324"/>
    <s v="2026-07-01"/>
    <x v="5"/>
    <s v="Q3"/>
    <x v="19"/>
    <x v="0"/>
    <x v="0"/>
    <s v="Bhubaneswar"/>
    <x v="3"/>
    <x v="0"/>
    <x v="6"/>
    <n v="57290.52"/>
    <n v="10"/>
    <x v="323"/>
    <n v="20.9"/>
    <x v="323"/>
    <n v="29.1"/>
    <n v="131871.89000000001"/>
    <x v="1"/>
  </r>
  <r>
    <s v="ORD-2026-0325"/>
    <s v="2026-04-13"/>
    <x v="4"/>
    <s v="Q2"/>
    <x v="5"/>
    <x v="0"/>
    <x v="4"/>
    <s v="Delhi"/>
    <x v="2"/>
    <x v="0"/>
    <x v="6"/>
    <n v="63119.93"/>
    <n v="7"/>
    <x v="324"/>
    <n v="22.8"/>
    <x v="324"/>
    <n v="19.8"/>
    <n v="67537.820000000007"/>
    <x v="1"/>
  </r>
  <r>
    <s v="ORD-2026-0326"/>
    <s v="2026-04-12"/>
    <x v="4"/>
    <s v="Q2"/>
    <x v="22"/>
    <x v="3"/>
    <x v="2"/>
    <s v="Raipur"/>
    <x v="1"/>
    <x v="2"/>
    <x v="1"/>
    <n v="4001.25"/>
    <n v="20"/>
    <x v="325"/>
    <n v="7.8"/>
    <x v="325"/>
    <n v="30"/>
    <n v="22134.92"/>
    <x v="2"/>
  </r>
  <r>
    <s v="ORD-2026-0327"/>
    <s v="2026-02-24"/>
    <x v="6"/>
    <s v="Q1"/>
    <x v="36"/>
    <x v="4"/>
    <x v="1"/>
    <s v="Hyderabad"/>
    <x v="2"/>
    <x v="0"/>
    <x v="7"/>
    <n v="1857.08"/>
    <n v="2"/>
    <x v="326"/>
    <n v="23"/>
    <x v="326"/>
    <n v="60.5"/>
    <n v="1730.24"/>
    <x v="1"/>
  </r>
  <r>
    <s v="ORD-2026-0328"/>
    <s v="2026-03-19"/>
    <x v="9"/>
    <s v="Q1"/>
    <x v="8"/>
    <x v="3"/>
    <x v="4"/>
    <s v="Delhi"/>
    <x v="3"/>
    <x v="1"/>
    <x v="2"/>
    <n v="7804"/>
    <n v="5"/>
    <x v="327"/>
    <n v="16.899999999999999"/>
    <x v="327"/>
    <n v="38.6"/>
    <n v="12516.29"/>
    <x v="1"/>
  </r>
  <r>
    <s v="ORD-2026-0329"/>
    <s v="2026-02-14"/>
    <x v="6"/>
    <s v="Q1"/>
    <x v="12"/>
    <x v="4"/>
    <x v="2"/>
    <s v="Bhopal"/>
    <x v="0"/>
    <x v="1"/>
    <x v="2"/>
    <n v="3459.39"/>
    <n v="18"/>
    <x v="328"/>
    <n v="13.2"/>
    <x v="328"/>
    <n v="71.099999999999994"/>
    <n v="38429.199999999997"/>
    <x v="0"/>
  </r>
  <r>
    <s v="ORD-2026-0330"/>
    <s v="2026-06-10"/>
    <x v="10"/>
    <s v="Q2"/>
    <x v="15"/>
    <x v="2"/>
    <x v="2"/>
    <s v="Nagpur"/>
    <x v="2"/>
    <x v="0"/>
    <x v="8"/>
    <n v="1446.72"/>
    <n v="22"/>
    <x v="329"/>
    <n v="6"/>
    <x v="329"/>
    <n v="31"/>
    <n v="9274.6299999999992"/>
    <x v="3"/>
  </r>
  <r>
    <s v="ORD-2026-0331"/>
    <s v="2026-04-24"/>
    <x v="4"/>
    <s v="Q2"/>
    <x v="32"/>
    <x v="5"/>
    <x v="0"/>
    <s v="Patna"/>
    <x v="4"/>
    <x v="0"/>
    <x v="3"/>
    <n v="4813.83"/>
    <n v="7"/>
    <x v="330"/>
    <n v="19.5"/>
    <x v="330"/>
    <n v="42.2"/>
    <n v="11447.14"/>
    <x v="2"/>
  </r>
  <r>
    <s v="ORD-2026-0332"/>
    <s v="2026-12-20"/>
    <x v="1"/>
    <s v="Q4"/>
    <x v="26"/>
    <x v="2"/>
    <x v="1"/>
    <s v="Bengaluru"/>
    <x v="0"/>
    <x v="3"/>
    <x v="5"/>
    <n v="490.75"/>
    <n v="3"/>
    <x v="331"/>
    <n v="13"/>
    <x v="331"/>
    <n v="26"/>
    <n v="333.02"/>
    <x v="0"/>
  </r>
  <r>
    <s v="ORD-2026-0333"/>
    <s v="2026-12-04"/>
    <x v="1"/>
    <s v="Q4"/>
    <x v="21"/>
    <x v="5"/>
    <x v="3"/>
    <s v="Ahmedabad"/>
    <x v="1"/>
    <x v="2"/>
    <x v="5"/>
    <n v="4841.99"/>
    <n v="16"/>
    <x v="332"/>
    <n v="11.6"/>
    <x v="332"/>
    <n v="40.799999999999997"/>
    <n v="27941.919999999998"/>
    <x v="1"/>
  </r>
  <r>
    <s v="ORD-2026-0334"/>
    <s v="2026-08-01"/>
    <x v="8"/>
    <s v="Q3"/>
    <x v="11"/>
    <x v="2"/>
    <x v="2"/>
    <s v="Nagpur"/>
    <x v="4"/>
    <x v="1"/>
    <x v="9"/>
    <n v="413.96"/>
    <n v="12"/>
    <x v="333"/>
    <n v="8.6999999999999993"/>
    <x v="333"/>
    <n v="41.7"/>
    <n v="1891.24"/>
    <x v="1"/>
  </r>
  <r>
    <s v="ORD-2026-0335"/>
    <s v="2026-04-25"/>
    <x v="4"/>
    <s v="Q2"/>
    <x v="9"/>
    <x v="1"/>
    <x v="0"/>
    <s v="Bhubaneswar"/>
    <x v="2"/>
    <x v="1"/>
    <x v="3"/>
    <n v="16100.84"/>
    <n v="20"/>
    <x v="334"/>
    <n v="10.6"/>
    <x v="334"/>
    <n v="31.3"/>
    <n v="90107.39"/>
    <x v="1"/>
  </r>
  <r>
    <s v="ORD-2026-0336"/>
    <s v="2026-09-20"/>
    <x v="3"/>
    <s v="Q3"/>
    <x v="6"/>
    <x v="2"/>
    <x v="4"/>
    <s v="Lucknow"/>
    <x v="4"/>
    <x v="2"/>
    <x v="2"/>
    <n v="1335.94"/>
    <n v="11"/>
    <x v="335"/>
    <n v="22.2"/>
    <x v="335"/>
    <n v="23.2"/>
    <n v="2652.45"/>
    <x v="2"/>
  </r>
  <r>
    <s v="ORD-2026-0337"/>
    <s v="2026-12-18"/>
    <x v="1"/>
    <s v="Q4"/>
    <x v="27"/>
    <x v="3"/>
    <x v="2"/>
    <s v="Raipur"/>
    <x v="1"/>
    <x v="1"/>
    <x v="3"/>
    <n v="5257.84"/>
    <n v="10"/>
    <x v="336"/>
    <n v="22.5"/>
    <x v="336"/>
    <n v="26.8"/>
    <n v="10920.53"/>
    <x v="1"/>
  </r>
  <r>
    <s v="ORD-2026-0338"/>
    <s v="2026-11-10"/>
    <x v="0"/>
    <s v="Q4"/>
    <x v="24"/>
    <x v="5"/>
    <x v="3"/>
    <s v="Mumbai"/>
    <x v="3"/>
    <x v="1"/>
    <x v="0"/>
    <n v="2287.5500000000002"/>
    <n v="21"/>
    <x v="337"/>
    <n v="0.3"/>
    <x v="337"/>
    <n v="61.1"/>
    <n v="29263.5"/>
    <x v="1"/>
  </r>
  <r>
    <s v="ORD-2026-0339"/>
    <s v="2026-12-23"/>
    <x v="1"/>
    <s v="Q4"/>
    <x v="17"/>
    <x v="4"/>
    <x v="3"/>
    <s v="Pune"/>
    <x v="3"/>
    <x v="3"/>
    <x v="9"/>
    <n v="2319.9699999999998"/>
    <n v="3"/>
    <x v="338"/>
    <n v="12"/>
    <x v="338"/>
    <n v="55.7"/>
    <n v="3411.47"/>
    <x v="1"/>
  </r>
  <r>
    <s v="ORD-2026-0340"/>
    <s v="2026-08-26"/>
    <x v="8"/>
    <s v="Q3"/>
    <x v="40"/>
    <x v="1"/>
    <x v="3"/>
    <s v="Mumbai"/>
    <x v="3"/>
    <x v="3"/>
    <x v="7"/>
    <n v="23764.080000000002"/>
    <n v="19"/>
    <x v="339"/>
    <n v="6.2"/>
    <x v="339"/>
    <n v="48.6"/>
    <n v="205832.39"/>
    <x v="2"/>
  </r>
  <r>
    <s v="ORD-2026-0341"/>
    <s v="2026-04-10"/>
    <x v="4"/>
    <s v="Q2"/>
    <x v="38"/>
    <x v="0"/>
    <x v="0"/>
    <s v="Kolkata"/>
    <x v="2"/>
    <x v="3"/>
    <x v="5"/>
    <n v="84715.58"/>
    <n v="10"/>
    <x v="340"/>
    <n v="20.3"/>
    <x v="340"/>
    <n v="25.5"/>
    <n v="172171.71"/>
    <x v="1"/>
  </r>
  <r>
    <s v="ORD-2026-0342"/>
    <s v="2026-08-04"/>
    <x v="8"/>
    <s v="Q3"/>
    <x v="7"/>
    <x v="0"/>
    <x v="2"/>
    <s v="Nagpur"/>
    <x v="1"/>
    <x v="0"/>
    <x v="1"/>
    <n v="45660.41"/>
    <n v="12"/>
    <x v="341"/>
    <n v="0.8"/>
    <x v="341"/>
    <n v="14.6"/>
    <n v="79357.06"/>
    <x v="2"/>
  </r>
  <r>
    <s v="ORD-2026-0343"/>
    <s v="2026-02-11"/>
    <x v="6"/>
    <s v="Q1"/>
    <x v="8"/>
    <x v="3"/>
    <x v="2"/>
    <s v="Indore"/>
    <x v="3"/>
    <x v="0"/>
    <x v="4"/>
    <n v="2572.4299999999998"/>
    <n v="7"/>
    <x v="342"/>
    <n v="0.3"/>
    <x v="342"/>
    <n v="36.4"/>
    <n v="6534.89"/>
    <x v="1"/>
  </r>
  <r>
    <s v="ORD-2026-0344"/>
    <s v="2026-03-13"/>
    <x v="9"/>
    <s v="Q1"/>
    <x v="35"/>
    <x v="5"/>
    <x v="4"/>
    <s v="Jaipur"/>
    <x v="3"/>
    <x v="1"/>
    <x v="4"/>
    <n v="1321.86"/>
    <n v="25"/>
    <x v="343"/>
    <n v="15.2"/>
    <x v="343"/>
    <n v="41.5"/>
    <n v="11629.72"/>
    <x v="3"/>
  </r>
  <r>
    <s v="ORD-2026-0345"/>
    <s v="2026-09-13"/>
    <x v="3"/>
    <s v="Q3"/>
    <x v="4"/>
    <x v="4"/>
    <x v="0"/>
    <s v="Guwahati"/>
    <x v="3"/>
    <x v="1"/>
    <x v="3"/>
    <n v="1875.03"/>
    <n v="8"/>
    <x v="344"/>
    <n v="11.7"/>
    <x v="344"/>
    <n v="52.7"/>
    <n v="6980.23"/>
    <x v="3"/>
  </r>
  <r>
    <s v="ORD-2026-0346"/>
    <s v="2026-04-21"/>
    <x v="4"/>
    <s v="Q2"/>
    <x v="14"/>
    <x v="2"/>
    <x v="1"/>
    <s v="Hyderabad"/>
    <x v="3"/>
    <x v="0"/>
    <x v="3"/>
    <n v="481.87"/>
    <n v="3"/>
    <x v="345"/>
    <n v="19"/>
    <x v="345"/>
    <n v="22.9"/>
    <n v="268.14999999999998"/>
    <x v="1"/>
  </r>
  <r>
    <s v="ORD-2026-0347"/>
    <s v="2026-09-20"/>
    <x v="3"/>
    <s v="Q3"/>
    <x v="24"/>
    <x v="5"/>
    <x v="0"/>
    <s v="Guwahati"/>
    <x v="0"/>
    <x v="1"/>
    <x v="8"/>
    <n v="4680.8900000000003"/>
    <n v="5"/>
    <x v="346"/>
    <n v="8.6"/>
    <x v="346"/>
    <n v="45.4"/>
    <n v="9711.82"/>
    <x v="1"/>
  </r>
  <r>
    <s v="ORD-2026-0348"/>
    <s v="2026-05-15"/>
    <x v="11"/>
    <s v="Q2"/>
    <x v="26"/>
    <x v="2"/>
    <x v="0"/>
    <s v="Kolkata"/>
    <x v="1"/>
    <x v="2"/>
    <x v="4"/>
    <n v="153.06"/>
    <n v="8"/>
    <x v="347"/>
    <n v="12.1"/>
    <x v="347"/>
    <n v="28.6"/>
    <n v="307.83"/>
    <x v="3"/>
  </r>
  <r>
    <s v="ORD-2026-0349"/>
    <s v="2026-02-16"/>
    <x v="6"/>
    <s v="Q1"/>
    <x v="31"/>
    <x v="4"/>
    <x v="0"/>
    <s v="Guwahati"/>
    <x v="2"/>
    <x v="3"/>
    <x v="8"/>
    <n v="2586.29"/>
    <n v="2"/>
    <x v="348"/>
    <n v="15.9"/>
    <x v="348"/>
    <n v="64.900000000000006"/>
    <n v="2823.24"/>
    <x v="1"/>
  </r>
  <r>
    <s v="ORD-2026-0350"/>
    <s v="2026-08-21"/>
    <x v="8"/>
    <s v="Q3"/>
    <x v="19"/>
    <x v="0"/>
    <x v="0"/>
    <s v="Patna"/>
    <x v="0"/>
    <x v="3"/>
    <x v="6"/>
    <n v="83612.160000000003"/>
    <n v="4"/>
    <x v="349"/>
    <n v="1.9"/>
    <x v="349"/>
    <n v="22"/>
    <n v="72180.710000000006"/>
    <x v="1"/>
  </r>
  <r>
    <s v="ORD-2026-0351"/>
    <s v="2026-07-28"/>
    <x v="5"/>
    <s v="Q3"/>
    <x v="2"/>
    <x v="2"/>
    <x v="0"/>
    <s v="Patna"/>
    <x v="3"/>
    <x v="0"/>
    <x v="3"/>
    <n v="899.39"/>
    <n v="6"/>
    <x v="350"/>
    <n v="3.6"/>
    <x v="350"/>
    <n v="26.2"/>
    <n v="1362.94"/>
    <x v="0"/>
  </r>
  <r>
    <s v="ORD-2026-0352"/>
    <s v="2026-08-11"/>
    <x v="8"/>
    <s v="Q3"/>
    <x v="25"/>
    <x v="5"/>
    <x v="3"/>
    <s v="Pune"/>
    <x v="0"/>
    <x v="2"/>
    <x v="7"/>
    <n v="567.79999999999995"/>
    <n v="24"/>
    <x v="351"/>
    <n v="14.6"/>
    <x v="351"/>
    <n v="50.8"/>
    <n v="5911.92"/>
    <x v="3"/>
  </r>
  <r>
    <s v="ORD-2026-0353"/>
    <s v="2026-01-29"/>
    <x v="7"/>
    <s v="Q1"/>
    <x v="21"/>
    <x v="5"/>
    <x v="2"/>
    <s v="Bhopal"/>
    <x v="4"/>
    <x v="2"/>
    <x v="1"/>
    <n v="3030.7"/>
    <n v="17"/>
    <x v="352"/>
    <n v="22.4"/>
    <x v="352"/>
    <n v="45.1"/>
    <n v="18031.43"/>
    <x v="1"/>
  </r>
  <r>
    <s v="ORD-2026-0354"/>
    <s v="2026-01-31"/>
    <x v="7"/>
    <s v="Q1"/>
    <x v="25"/>
    <x v="5"/>
    <x v="1"/>
    <s v="Kochi"/>
    <x v="2"/>
    <x v="1"/>
    <x v="7"/>
    <n v="1526.1"/>
    <n v="21"/>
    <x v="353"/>
    <n v="9.1"/>
    <x v="353"/>
    <n v="40.4"/>
    <n v="11769.21"/>
    <x v="3"/>
  </r>
  <r>
    <s v="ORD-2026-0355"/>
    <s v="2026-08-30"/>
    <x v="8"/>
    <s v="Q3"/>
    <x v="39"/>
    <x v="1"/>
    <x v="0"/>
    <s v="Guwahati"/>
    <x v="4"/>
    <x v="2"/>
    <x v="0"/>
    <n v="7635.45"/>
    <n v="3"/>
    <x v="354"/>
    <n v="17.100000000000001"/>
    <x v="354"/>
    <n v="41.7"/>
    <n v="7918.56"/>
    <x v="2"/>
  </r>
  <r>
    <s v="ORD-2026-0356"/>
    <s v="2026-12-23"/>
    <x v="1"/>
    <s v="Q4"/>
    <x v="41"/>
    <x v="5"/>
    <x v="1"/>
    <s v="Chennai"/>
    <x v="2"/>
    <x v="3"/>
    <x v="3"/>
    <n v="1008.84"/>
    <n v="24"/>
    <x v="355"/>
    <n v="22.1"/>
    <x v="355"/>
    <n v="48.1"/>
    <n v="9072.27"/>
    <x v="1"/>
  </r>
  <r>
    <s v="ORD-2026-0357"/>
    <s v="2026-12-31"/>
    <x v="1"/>
    <s v="Q4"/>
    <x v="14"/>
    <x v="2"/>
    <x v="3"/>
    <s v="Pune"/>
    <x v="2"/>
    <x v="2"/>
    <x v="9"/>
    <n v="1196.82"/>
    <n v="6"/>
    <x v="356"/>
    <n v="12.6"/>
    <x v="356"/>
    <n v="40.1"/>
    <n v="2516.7199999999998"/>
    <x v="1"/>
  </r>
  <r>
    <s v="ORD-2026-0358"/>
    <s v="2026-01-24"/>
    <x v="7"/>
    <s v="Q1"/>
    <x v="11"/>
    <x v="2"/>
    <x v="1"/>
    <s v="Chennai"/>
    <x v="1"/>
    <x v="0"/>
    <x v="7"/>
    <n v="272.36"/>
    <n v="23"/>
    <x v="357"/>
    <n v="8.3000000000000007"/>
    <x v="357"/>
    <n v="37.5"/>
    <n v="2154.13"/>
    <x v="0"/>
  </r>
  <r>
    <s v="ORD-2026-0359"/>
    <s v="2026-07-08"/>
    <x v="5"/>
    <s v="Q3"/>
    <x v="29"/>
    <x v="3"/>
    <x v="3"/>
    <s v="Surat"/>
    <x v="1"/>
    <x v="1"/>
    <x v="8"/>
    <n v="5351.17"/>
    <n v="13"/>
    <x v="358"/>
    <n v="21.6"/>
    <x v="358"/>
    <n v="30.9"/>
    <n v="16852.59"/>
    <x v="1"/>
  </r>
  <r>
    <s v="ORD-2026-0360"/>
    <s v="2026-01-12"/>
    <x v="7"/>
    <s v="Q1"/>
    <x v="40"/>
    <x v="1"/>
    <x v="3"/>
    <s v="Pune"/>
    <x v="2"/>
    <x v="3"/>
    <x v="2"/>
    <n v="8178.48"/>
    <n v="17"/>
    <x v="359"/>
    <n v="16.100000000000001"/>
    <x v="359"/>
    <n v="38.700000000000003"/>
    <n v="45143.42"/>
    <x v="1"/>
  </r>
  <r>
    <s v="ORD-2026-0361"/>
    <s v="2026-08-15"/>
    <x v="8"/>
    <s v="Q3"/>
    <x v="30"/>
    <x v="4"/>
    <x v="2"/>
    <s v="Raipur"/>
    <x v="0"/>
    <x v="0"/>
    <x v="1"/>
    <n v="928.1"/>
    <n v="24"/>
    <x v="360"/>
    <n v="25"/>
    <x v="360"/>
    <n v="65.3"/>
    <n v="10908.89"/>
    <x v="1"/>
  </r>
  <r>
    <s v="ORD-2026-0362"/>
    <s v="2026-04-10"/>
    <x v="4"/>
    <s v="Q2"/>
    <x v="2"/>
    <x v="2"/>
    <x v="3"/>
    <s v="Surat"/>
    <x v="4"/>
    <x v="3"/>
    <x v="6"/>
    <n v="560.42999999999995"/>
    <n v="21"/>
    <x v="361"/>
    <n v="1.3"/>
    <x v="361"/>
    <n v="36.1"/>
    <n v="4193.3900000000003"/>
    <x v="1"/>
  </r>
  <r>
    <s v="ORD-2026-0363"/>
    <s v="2026-02-16"/>
    <x v="6"/>
    <s v="Q1"/>
    <x v="36"/>
    <x v="4"/>
    <x v="4"/>
    <s v="Lucknow"/>
    <x v="1"/>
    <x v="3"/>
    <x v="6"/>
    <n v="2597.2399999999998"/>
    <n v="3"/>
    <x v="362"/>
    <n v="11.6"/>
    <x v="362"/>
    <n v="64.900000000000006"/>
    <n v="4470.2299999999996"/>
    <x v="1"/>
  </r>
  <r>
    <s v="ORD-2026-0364"/>
    <s v="2026-07-23"/>
    <x v="5"/>
    <s v="Q3"/>
    <x v="32"/>
    <x v="5"/>
    <x v="4"/>
    <s v="Delhi"/>
    <x v="3"/>
    <x v="0"/>
    <x v="5"/>
    <n v="2059.67"/>
    <n v="15"/>
    <x v="363"/>
    <n v="13.3"/>
    <x v="363"/>
    <n v="40.6"/>
    <n v="10875.12"/>
    <x v="1"/>
  </r>
  <r>
    <s v="ORD-2026-0365"/>
    <s v="2026-08-20"/>
    <x v="8"/>
    <s v="Q3"/>
    <x v="21"/>
    <x v="5"/>
    <x v="1"/>
    <s v="Chennai"/>
    <x v="3"/>
    <x v="1"/>
    <x v="4"/>
    <n v="1465.37"/>
    <n v="10"/>
    <x v="364"/>
    <n v="2"/>
    <x v="364"/>
    <n v="45.5"/>
    <n v="6534.09"/>
    <x v="1"/>
  </r>
  <r>
    <s v="ORD-2026-0366"/>
    <s v="2026-08-19"/>
    <x v="8"/>
    <s v="Q3"/>
    <x v="21"/>
    <x v="5"/>
    <x v="1"/>
    <s v="Hyderabad"/>
    <x v="3"/>
    <x v="0"/>
    <x v="1"/>
    <n v="939.65"/>
    <n v="25"/>
    <x v="365"/>
    <n v="12.9"/>
    <x v="365"/>
    <n v="49.4"/>
    <n v="10107.67"/>
    <x v="3"/>
  </r>
  <r>
    <s v="ORD-2026-0367"/>
    <s v="2026-06-13"/>
    <x v="10"/>
    <s v="Q2"/>
    <x v="5"/>
    <x v="0"/>
    <x v="3"/>
    <s v="Surat"/>
    <x v="1"/>
    <x v="1"/>
    <x v="0"/>
    <n v="54020.36"/>
    <n v="16"/>
    <x v="366"/>
    <n v="3.2"/>
    <x v="366"/>
    <n v="15.6"/>
    <n v="130520.11"/>
    <x v="1"/>
  </r>
  <r>
    <s v="ORD-2026-0368"/>
    <s v="2026-04-10"/>
    <x v="4"/>
    <s v="Q2"/>
    <x v="37"/>
    <x v="1"/>
    <x v="1"/>
    <s v="Bengaluru"/>
    <x v="2"/>
    <x v="2"/>
    <x v="7"/>
    <n v="12511.69"/>
    <n v="5"/>
    <x v="367"/>
    <n v="9.9"/>
    <x v="367"/>
    <n v="29.7"/>
    <n v="16740.45"/>
    <x v="1"/>
  </r>
  <r>
    <s v="ORD-2026-0369"/>
    <s v="2026-11-23"/>
    <x v="0"/>
    <s v="Q4"/>
    <x v="1"/>
    <x v="1"/>
    <x v="0"/>
    <s v="Guwahati"/>
    <x v="4"/>
    <x v="3"/>
    <x v="8"/>
    <n v="20881.71"/>
    <n v="17"/>
    <x v="368"/>
    <n v="6.7"/>
    <x v="368"/>
    <n v="49.5"/>
    <n v="163946.38"/>
    <x v="1"/>
  </r>
  <r>
    <s v="ORD-2026-0370"/>
    <s v="2026-06-08"/>
    <x v="10"/>
    <s v="Q2"/>
    <x v="10"/>
    <x v="1"/>
    <x v="3"/>
    <s v="Surat"/>
    <x v="4"/>
    <x v="1"/>
    <x v="8"/>
    <n v="33551.9"/>
    <n v="9"/>
    <x v="369"/>
    <n v="1.1000000000000001"/>
    <x v="369"/>
    <n v="30.7"/>
    <n v="91684.160000000003"/>
    <x v="1"/>
  </r>
  <r>
    <s v="ORD-2026-0371"/>
    <s v="2026-08-28"/>
    <x v="8"/>
    <s v="Q3"/>
    <x v="37"/>
    <x v="1"/>
    <x v="2"/>
    <s v="Raipur"/>
    <x v="1"/>
    <x v="3"/>
    <x v="5"/>
    <n v="42797.18"/>
    <n v="12"/>
    <x v="370"/>
    <n v="23.3"/>
    <x v="370"/>
    <n v="30.3"/>
    <n v="119353.29"/>
    <x v="1"/>
  </r>
  <r>
    <s v="ORD-2026-0372"/>
    <s v="2026-04-15"/>
    <x v="4"/>
    <s v="Q2"/>
    <x v="35"/>
    <x v="5"/>
    <x v="0"/>
    <s v="Kolkata"/>
    <x v="0"/>
    <x v="0"/>
    <x v="7"/>
    <n v="1252.8900000000001"/>
    <n v="14"/>
    <x v="371"/>
    <n v="10.1"/>
    <x v="371"/>
    <n v="60.4"/>
    <n v="9524.4"/>
    <x v="1"/>
  </r>
  <r>
    <s v="ORD-2026-0373"/>
    <s v="2026-07-31"/>
    <x v="5"/>
    <s v="Q3"/>
    <x v="34"/>
    <x v="5"/>
    <x v="2"/>
    <s v="Nagpur"/>
    <x v="1"/>
    <x v="0"/>
    <x v="2"/>
    <n v="916.77"/>
    <n v="10"/>
    <x v="372"/>
    <n v="12.9"/>
    <x v="372"/>
    <n v="49.6"/>
    <n v="3960.59"/>
    <x v="1"/>
  </r>
  <r>
    <s v="ORD-2026-0374"/>
    <s v="2026-09-24"/>
    <x v="3"/>
    <s v="Q3"/>
    <x v="23"/>
    <x v="2"/>
    <x v="3"/>
    <s v="Ahmedabad"/>
    <x v="1"/>
    <x v="3"/>
    <x v="1"/>
    <n v="373.2"/>
    <n v="14"/>
    <x v="373"/>
    <n v="5.9"/>
    <x v="373"/>
    <n v="40.9"/>
    <n v="2010.86"/>
    <x v="2"/>
  </r>
  <r>
    <s v="ORD-2026-0375"/>
    <s v="2026-08-06"/>
    <x v="8"/>
    <s v="Q3"/>
    <x v="34"/>
    <x v="5"/>
    <x v="3"/>
    <s v="Ahmedabad"/>
    <x v="3"/>
    <x v="3"/>
    <x v="9"/>
    <n v="2533.65"/>
    <n v="2"/>
    <x v="374"/>
    <n v="25"/>
    <x v="374"/>
    <n v="52"/>
    <n v="1976.25"/>
    <x v="1"/>
  </r>
  <r>
    <s v="ORD-2026-0376"/>
    <s v="2026-09-14"/>
    <x v="3"/>
    <s v="Q3"/>
    <x v="8"/>
    <x v="3"/>
    <x v="0"/>
    <s v="Bhubaneswar"/>
    <x v="3"/>
    <x v="3"/>
    <x v="6"/>
    <n v="1085.1500000000001"/>
    <n v="22"/>
    <x v="375"/>
    <n v="5"/>
    <x v="375"/>
    <n v="23.3"/>
    <n v="5284.35"/>
    <x v="1"/>
  </r>
  <r>
    <s v="ORD-2026-0377"/>
    <s v="2026-01-04"/>
    <x v="7"/>
    <s v="Q1"/>
    <x v="33"/>
    <x v="3"/>
    <x v="4"/>
    <s v="Lucknow"/>
    <x v="1"/>
    <x v="3"/>
    <x v="3"/>
    <n v="6335.26"/>
    <n v="22"/>
    <x v="376"/>
    <n v="23.9"/>
    <x v="376"/>
    <n v="25.7"/>
    <n v="27258.68"/>
    <x v="1"/>
  </r>
  <r>
    <s v="ORD-2026-0378"/>
    <s v="2026-07-07"/>
    <x v="5"/>
    <s v="Q3"/>
    <x v="24"/>
    <x v="5"/>
    <x v="2"/>
    <s v="Raipur"/>
    <x v="1"/>
    <x v="2"/>
    <x v="2"/>
    <n v="334.58"/>
    <n v="17"/>
    <x v="377"/>
    <n v="3.4"/>
    <x v="377"/>
    <n v="47.3"/>
    <n v="2598.88"/>
    <x v="1"/>
  </r>
  <r>
    <s v="ORD-2026-0379"/>
    <s v="2026-01-30"/>
    <x v="7"/>
    <s v="Q1"/>
    <x v="33"/>
    <x v="3"/>
    <x v="1"/>
    <s v="Chennai"/>
    <x v="4"/>
    <x v="2"/>
    <x v="2"/>
    <n v="1228.3900000000001"/>
    <n v="18"/>
    <x v="378"/>
    <n v="14.6"/>
    <x v="378"/>
    <n v="23.6"/>
    <n v="4456.34"/>
    <x v="1"/>
  </r>
  <r>
    <s v="ORD-2026-0380"/>
    <s v="2026-12-22"/>
    <x v="1"/>
    <s v="Q4"/>
    <x v="38"/>
    <x v="0"/>
    <x v="3"/>
    <s v="Mumbai"/>
    <x v="4"/>
    <x v="3"/>
    <x v="7"/>
    <n v="12174.32"/>
    <n v="14"/>
    <x v="379"/>
    <n v="17"/>
    <x v="379"/>
    <n v="20.399999999999999"/>
    <n v="28858.98"/>
    <x v="1"/>
  </r>
  <r>
    <s v="ORD-2026-0381"/>
    <s v="2026-07-12"/>
    <x v="5"/>
    <s v="Q3"/>
    <x v="27"/>
    <x v="3"/>
    <x v="3"/>
    <s v="Pune"/>
    <x v="3"/>
    <x v="3"/>
    <x v="8"/>
    <n v="2646.96"/>
    <n v="3"/>
    <x v="380"/>
    <n v="8.1999999999999993"/>
    <x v="380"/>
    <n v="24.3"/>
    <n v="1771.4"/>
    <x v="1"/>
  </r>
  <r>
    <s v="ORD-2026-0382"/>
    <s v="2026-07-28"/>
    <x v="5"/>
    <s v="Q3"/>
    <x v="15"/>
    <x v="2"/>
    <x v="4"/>
    <s v="Chandigarh"/>
    <x v="1"/>
    <x v="0"/>
    <x v="0"/>
    <n v="306.73"/>
    <n v="23"/>
    <x v="381"/>
    <n v="22.8"/>
    <x v="381"/>
    <n v="27.1"/>
    <n v="1475.95"/>
    <x v="1"/>
  </r>
  <r>
    <s v="ORD-2026-0383"/>
    <s v="2026-08-30"/>
    <x v="8"/>
    <s v="Q3"/>
    <x v="11"/>
    <x v="2"/>
    <x v="1"/>
    <s v="Hyderabad"/>
    <x v="1"/>
    <x v="3"/>
    <x v="5"/>
    <n v="275.10000000000002"/>
    <n v="1"/>
    <x v="382"/>
    <n v="11.8"/>
    <x v="382"/>
    <n v="39.4"/>
    <n v="95.6"/>
    <x v="1"/>
  </r>
  <r>
    <s v="ORD-2026-0384"/>
    <s v="2026-02-08"/>
    <x v="6"/>
    <s v="Q1"/>
    <x v="32"/>
    <x v="5"/>
    <x v="4"/>
    <s v="Delhi"/>
    <x v="1"/>
    <x v="2"/>
    <x v="7"/>
    <n v="1881.06"/>
    <n v="9"/>
    <x v="383"/>
    <n v="6.7"/>
    <x v="383"/>
    <n v="46.1"/>
    <n v="7281.61"/>
    <x v="1"/>
  </r>
  <r>
    <s v="ORD-2026-0385"/>
    <s v="2026-04-06"/>
    <x v="4"/>
    <s v="Q2"/>
    <x v="32"/>
    <x v="5"/>
    <x v="3"/>
    <s v="Pune"/>
    <x v="3"/>
    <x v="3"/>
    <x v="3"/>
    <n v="334.09"/>
    <n v="23"/>
    <x v="384"/>
    <n v="19.899999999999999"/>
    <x v="384"/>
    <n v="42.8"/>
    <n v="2634.31"/>
    <x v="3"/>
  </r>
  <r>
    <s v="ORD-2026-0386"/>
    <s v="2026-09-02"/>
    <x v="3"/>
    <s v="Q3"/>
    <x v="32"/>
    <x v="5"/>
    <x v="1"/>
    <s v="Kochi"/>
    <x v="2"/>
    <x v="2"/>
    <x v="4"/>
    <n v="3827.52"/>
    <n v="5"/>
    <x v="385"/>
    <n v="15.6"/>
    <x v="385"/>
    <n v="43.6"/>
    <n v="7042.33"/>
    <x v="1"/>
  </r>
  <r>
    <s v="ORD-2026-0387"/>
    <s v="2026-12-24"/>
    <x v="1"/>
    <s v="Q4"/>
    <x v="0"/>
    <x v="0"/>
    <x v="2"/>
    <s v="Indore"/>
    <x v="3"/>
    <x v="3"/>
    <x v="0"/>
    <n v="47110.82"/>
    <n v="11"/>
    <x v="386"/>
    <n v="0.5"/>
    <x v="386"/>
    <n v="23.7"/>
    <n v="122203.82"/>
    <x v="1"/>
  </r>
  <r>
    <s v="ORD-2026-0388"/>
    <s v="2026-09-18"/>
    <x v="3"/>
    <s v="Q3"/>
    <x v="23"/>
    <x v="2"/>
    <x v="2"/>
    <s v="Raipur"/>
    <x v="4"/>
    <x v="0"/>
    <x v="5"/>
    <n v="350.26"/>
    <n v="8"/>
    <x v="387"/>
    <n v="18.2"/>
    <x v="387"/>
    <n v="35.6"/>
    <n v="815.99"/>
    <x v="1"/>
  </r>
  <r>
    <s v="ORD-2026-0389"/>
    <s v="2026-08-26"/>
    <x v="8"/>
    <s v="Q3"/>
    <x v="34"/>
    <x v="5"/>
    <x v="0"/>
    <s v="Bhubaneswar"/>
    <x v="0"/>
    <x v="0"/>
    <x v="0"/>
    <n v="579.94000000000005"/>
    <n v="1"/>
    <x v="388"/>
    <n v="1.7"/>
    <x v="388"/>
    <n v="61.4"/>
    <n v="350.03"/>
    <x v="1"/>
  </r>
  <r>
    <s v="ORD-2026-0390"/>
    <s v="2026-09-14"/>
    <x v="3"/>
    <s v="Q3"/>
    <x v="38"/>
    <x v="0"/>
    <x v="4"/>
    <s v="Chandigarh"/>
    <x v="0"/>
    <x v="2"/>
    <x v="1"/>
    <n v="36272.129999999997"/>
    <n v="5"/>
    <x v="389"/>
    <n v="10.8"/>
    <x v="389"/>
    <n v="31.3"/>
    <n v="50635.17"/>
    <x v="1"/>
  </r>
  <r>
    <s v="ORD-2026-0391"/>
    <s v="2026-05-15"/>
    <x v="11"/>
    <s v="Q2"/>
    <x v="18"/>
    <x v="3"/>
    <x v="4"/>
    <s v="Chandigarh"/>
    <x v="4"/>
    <x v="3"/>
    <x v="4"/>
    <n v="6443.9"/>
    <n v="23"/>
    <x v="390"/>
    <n v="5.3"/>
    <x v="390"/>
    <n v="43.3"/>
    <n v="60773.54"/>
    <x v="1"/>
  </r>
  <r>
    <s v="ORD-2026-0392"/>
    <s v="2026-02-22"/>
    <x v="6"/>
    <s v="Q1"/>
    <x v="35"/>
    <x v="5"/>
    <x v="1"/>
    <s v="Kochi"/>
    <x v="2"/>
    <x v="2"/>
    <x v="7"/>
    <n v="3800.84"/>
    <n v="8"/>
    <x v="391"/>
    <n v="22.9"/>
    <x v="391"/>
    <n v="42.4"/>
    <n v="9940.08"/>
    <x v="1"/>
  </r>
  <r>
    <s v="ORD-2026-0393"/>
    <s v="2026-10-02"/>
    <x v="2"/>
    <s v="Q4"/>
    <x v="32"/>
    <x v="5"/>
    <x v="3"/>
    <s v="Ahmedabad"/>
    <x v="3"/>
    <x v="1"/>
    <x v="2"/>
    <n v="2334.62"/>
    <n v="7"/>
    <x v="392"/>
    <n v="18.5"/>
    <x v="392"/>
    <n v="52.4"/>
    <n v="6979.16"/>
    <x v="1"/>
  </r>
  <r>
    <s v="ORD-2026-0394"/>
    <s v="2026-08-30"/>
    <x v="8"/>
    <s v="Q3"/>
    <x v="23"/>
    <x v="2"/>
    <x v="2"/>
    <s v="Bhopal"/>
    <x v="0"/>
    <x v="2"/>
    <x v="2"/>
    <n v="292.31"/>
    <n v="11"/>
    <x v="393"/>
    <n v="2.2999999999999998"/>
    <x v="393"/>
    <n v="36"/>
    <n v="1130.93"/>
    <x v="2"/>
  </r>
  <r>
    <s v="ORD-2026-0395"/>
    <s v="2026-12-11"/>
    <x v="1"/>
    <s v="Q4"/>
    <x v="15"/>
    <x v="2"/>
    <x v="3"/>
    <s v="Mumbai"/>
    <x v="1"/>
    <x v="2"/>
    <x v="6"/>
    <n v="734.06"/>
    <n v="15"/>
    <x v="394"/>
    <n v="9.3000000000000007"/>
    <x v="394"/>
    <n v="27.2"/>
    <n v="2716.43"/>
    <x v="1"/>
  </r>
  <r>
    <s v="ORD-2026-0396"/>
    <s v="2026-10-26"/>
    <x v="2"/>
    <s v="Q4"/>
    <x v="37"/>
    <x v="1"/>
    <x v="4"/>
    <s v="Jaipur"/>
    <x v="0"/>
    <x v="3"/>
    <x v="6"/>
    <n v="33567.46"/>
    <n v="24"/>
    <x v="395"/>
    <n v="20.399999999999999"/>
    <x v="395"/>
    <n v="50.9"/>
    <n v="326407.83"/>
    <x v="3"/>
  </r>
  <r>
    <s v="ORD-2026-0397"/>
    <s v="2026-03-11"/>
    <x v="9"/>
    <s v="Q1"/>
    <x v="6"/>
    <x v="2"/>
    <x v="2"/>
    <s v="Nagpur"/>
    <x v="2"/>
    <x v="3"/>
    <x v="2"/>
    <n v="609.66999999999996"/>
    <n v="14"/>
    <x v="396"/>
    <n v="4.4000000000000004"/>
    <x v="396"/>
    <n v="19"/>
    <n v="1550.37"/>
    <x v="1"/>
  </r>
  <r>
    <s v="ORD-2026-0398"/>
    <s v="2026-10-24"/>
    <x v="2"/>
    <s v="Q4"/>
    <x v="37"/>
    <x v="1"/>
    <x v="0"/>
    <s v="Kolkata"/>
    <x v="2"/>
    <x v="2"/>
    <x v="0"/>
    <n v="13453.87"/>
    <n v="11"/>
    <x v="397"/>
    <n v="18.8"/>
    <x v="397"/>
    <n v="35.299999999999997"/>
    <n v="42420"/>
    <x v="1"/>
  </r>
  <r>
    <s v="ORD-2026-0399"/>
    <s v="2026-03-22"/>
    <x v="9"/>
    <s v="Q1"/>
    <x v="41"/>
    <x v="5"/>
    <x v="4"/>
    <s v="Chandigarh"/>
    <x v="1"/>
    <x v="0"/>
    <x v="5"/>
    <n v="1464.69"/>
    <n v="1"/>
    <x v="398"/>
    <n v="15.8"/>
    <x v="398"/>
    <n v="55.4"/>
    <n v="683.23"/>
    <x v="2"/>
  </r>
  <r>
    <s v="ORD-2026-0400"/>
    <s v="2026-11-04"/>
    <x v="0"/>
    <s v="Q4"/>
    <x v="22"/>
    <x v="3"/>
    <x v="2"/>
    <s v="Nagpur"/>
    <x v="3"/>
    <x v="1"/>
    <x v="9"/>
    <n v="4197.1000000000004"/>
    <n v="12"/>
    <x v="399"/>
    <n v="12.5"/>
    <x v="399"/>
    <n v="34.1"/>
    <n v="15027.72"/>
    <x v="1"/>
  </r>
  <r>
    <s v="ORD-2026-0401"/>
    <s v="2026-07-01"/>
    <x v="5"/>
    <s v="Q3"/>
    <x v="33"/>
    <x v="3"/>
    <x v="0"/>
    <s v="Patna"/>
    <x v="2"/>
    <x v="2"/>
    <x v="0"/>
    <n v="1645.44"/>
    <n v="16"/>
    <x v="400"/>
    <n v="22.3"/>
    <x v="400"/>
    <n v="23"/>
    <n v="4704.91"/>
    <x v="2"/>
  </r>
  <r>
    <s v="ORD-2026-0402"/>
    <s v="2026-04-21"/>
    <x v="4"/>
    <s v="Q2"/>
    <x v="19"/>
    <x v="0"/>
    <x v="0"/>
    <s v="Patna"/>
    <x v="4"/>
    <x v="0"/>
    <x v="3"/>
    <n v="62270.35"/>
    <n v="13"/>
    <x v="401"/>
    <n v="7.9"/>
    <x v="401"/>
    <n v="24.2"/>
    <n v="180426.22"/>
    <x v="1"/>
  </r>
  <r>
    <s v="ORD-2026-0403"/>
    <s v="2026-01-22"/>
    <x v="7"/>
    <s v="Q1"/>
    <x v="32"/>
    <x v="5"/>
    <x v="1"/>
    <s v="Bengaluru"/>
    <x v="1"/>
    <x v="3"/>
    <x v="3"/>
    <n v="4327.97"/>
    <n v="23"/>
    <x v="402"/>
    <n v="0.8"/>
    <x v="402"/>
    <n v="49.5"/>
    <n v="48879.75"/>
    <x v="1"/>
  </r>
  <r>
    <s v="ORD-2026-0404"/>
    <s v="2026-05-06"/>
    <x v="11"/>
    <s v="Q2"/>
    <x v="34"/>
    <x v="5"/>
    <x v="4"/>
    <s v="Jaipur"/>
    <x v="3"/>
    <x v="0"/>
    <x v="1"/>
    <n v="818.02"/>
    <n v="22"/>
    <x v="403"/>
    <n v="7.7"/>
    <x v="403"/>
    <n v="53.6"/>
    <n v="8903.34"/>
    <x v="2"/>
  </r>
  <r>
    <s v="ORD-2026-0405"/>
    <s v="2026-08-27"/>
    <x v="8"/>
    <s v="Q3"/>
    <x v="2"/>
    <x v="2"/>
    <x v="3"/>
    <s v="Ahmedabad"/>
    <x v="4"/>
    <x v="2"/>
    <x v="1"/>
    <n v="1056.27"/>
    <n v="3"/>
    <x v="404"/>
    <n v="4.7"/>
    <x v="404"/>
    <n v="26.2"/>
    <n v="791.21"/>
    <x v="1"/>
  </r>
  <r>
    <s v="ORD-2026-0406"/>
    <s v="2026-03-25"/>
    <x v="9"/>
    <s v="Q1"/>
    <x v="2"/>
    <x v="2"/>
    <x v="3"/>
    <s v="Surat"/>
    <x v="1"/>
    <x v="3"/>
    <x v="3"/>
    <n v="802.18"/>
    <n v="14"/>
    <x v="405"/>
    <n v="16.100000000000001"/>
    <x v="405"/>
    <n v="34.6"/>
    <n v="3260.15"/>
    <x v="1"/>
  </r>
  <r>
    <s v="ORD-2026-0407"/>
    <s v="2026-01-24"/>
    <x v="7"/>
    <s v="Q1"/>
    <x v="27"/>
    <x v="3"/>
    <x v="0"/>
    <s v="Guwahati"/>
    <x v="3"/>
    <x v="0"/>
    <x v="2"/>
    <n v="2193.81"/>
    <n v="21"/>
    <x v="406"/>
    <n v="24.4"/>
    <x v="406"/>
    <n v="44.8"/>
    <n v="15603.36"/>
    <x v="1"/>
  </r>
  <r>
    <s v="ORD-2026-0408"/>
    <s v="2026-08-25"/>
    <x v="8"/>
    <s v="Q3"/>
    <x v="28"/>
    <x v="0"/>
    <x v="0"/>
    <s v="Bhubaneswar"/>
    <x v="3"/>
    <x v="3"/>
    <x v="2"/>
    <n v="62956.94"/>
    <n v="14"/>
    <x v="407"/>
    <n v="9.1"/>
    <x v="407"/>
    <n v="28.2"/>
    <n v="225935.59"/>
    <x v="1"/>
  </r>
  <r>
    <s v="ORD-2026-0409"/>
    <s v="2026-01-27"/>
    <x v="7"/>
    <s v="Q1"/>
    <x v="22"/>
    <x v="3"/>
    <x v="0"/>
    <s v="Kolkata"/>
    <x v="3"/>
    <x v="1"/>
    <x v="8"/>
    <n v="5373.97"/>
    <n v="21"/>
    <x v="408"/>
    <n v="13.8"/>
    <x v="408"/>
    <n v="28.1"/>
    <n v="27335.57"/>
    <x v="3"/>
  </r>
  <r>
    <s v="ORD-2026-0410"/>
    <s v="2026-06-23"/>
    <x v="10"/>
    <s v="Q2"/>
    <x v="13"/>
    <x v="4"/>
    <x v="1"/>
    <s v="Kochi"/>
    <x v="1"/>
    <x v="2"/>
    <x v="7"/>
    <n v="1339.67"/>
    <n v="17"/>
    <x v="409"/>
    <n v="16.899999999999999"/>
    <x v="409"/>
    <n v="55.7"/>
    <n v="10541.51"/>
    <x v="1"/>
  </r>
  <r>
    <s v="ORD-2026-0411"/>
    <s v="2026-11-27"/>
    <x v="0"/>
    <s v="Q4"/>
    <x v="22"/>
    <x v="3"/>
    <x v="4"/>
    <s v="Lucknow"/>
    <x v="0"/>
    <x v="0"/>
    <x v="9"/>
    <n v="8100.15"/>
    <n v="6"/>
    <x v="410"/>
    <n v="1.7"/>
    <x v="410"/>
    <n v="44.2"/>
    <n v="21116.41"/>
    <x v="1"/>
  </r>
  <r>
    <s v="ORD-2026-0412"/>
    <s v="2026-12-01"/>
    <x v="1"/>
    <s v="Q4"/>
    <x v="18"/>
    <x v="3"/>
    <x v="0"/>
    <s v="Bhubaneswar"/>
    <x v="2"/>
    <x v="2"/>
    <x v="1"/>
    <n v="3378.48"/>
    <n v="13"/>
    <x v="411"/>
    <n v="7.2"/>
    <x v="411"/>
    <n v="30.8"/>
    <n v="12553.46"/>
    <x v="1"/>
  </r>
  <r>
    <s v="ORD-2026-0413"/>
    <s v="2026-03-26"/>
    <x v="9"/>
    <s v="Q1"/>
    <x v="12"/>
    <x v="4"/>
    <x v="3"/>
    <s v="Ahmedabad"/>
    <x v="4"/>
    <x v="2"/>
    <x v="8"/>
    <n v="2372.02"/>
    <n v="23"/>
    <x v="412"/>
    <n v="7.3"/>
    <x v="412"/>
    <n v="56.8"/>
    <n v="28725.94"/>
    <x v="1"/>
  </r>
  <r>
    <s v="ORD-2026-0414"/>
    <s v="2026-09-19"/>
    <x v="3"/>
    <s v="Q3"/>
    <x v="35"/>
    <x v="5"/>
    <x v="4"/>
    <s v="Delhi"/>
    <x v="1"/>
    <x v="3"/>
    <x v="6"/>
    <n v="1361.71"/>
    <n v="18"/>
    <x v="413"/>
    <n v="19.7"/>
    <x v="413"/>
    <n v="59.5"/>
    <n v="11710.89"/>
    <x v="1"/>
  </r>
  <r>
    <s v="ORD-2026-0415"/>
    <s v="2026-10-18"/>
    <x v="2"/>
    <s v="Q4"/>
    <x v="41"/>
    <x v="5"/>
    <x v="4"/>
    <s v="Delhi"/>
    <x v="1"/>
    <x v="0"/>
    <x v="0"/>
    <n v="4929.1000000000004"/>
    <n v="14"/>
    <x v="414"/>
    <n v="14.1"/>
    <x v="414"/>
    <n v="40.9"/>
    <n v="24244.44"/>
    <x v="1"/>
  </r>
  <r>
    <s v="ORD-2026-0416"/>
    <s v="2026-11-22"/>
    <x v="0"/>
    <s v="Q4"/>
    <x v="29"/>
    <x v="3"/>
    <x v="0"/>
    <s v="Kolkata"/>
    <x v="2"/>
    <x v="3"/>
    <x v="6"/>
    <n v="6869.73"/>
    <n v="7"/>
    <x v="415"/>
    <n v="1"/>
    <x v="415"/>
    <n v="45.1"/>
    <n v="21470.86"/>
    <x v="1"/>
  </r>
  <r>
    <s v="ORD-2026-0417"/>
    <s v="2026-11-14"/>
    <x v="0"/>
    <s v="Q4"/>
    <x v="28"/>
    <x v="0"/>
    <x v="3"/>
    <s v="Ahmedabad"/>
    <x v="3"/>
    <x v="1"/>
    <x v="8"/>
    <n v="61380.55"/>
    <n v="19"/>
    <x v="416"/>
    <n v="6"/>
    <x v="416"/>
    <n v="28.4"/>
    <n v="311336.88"/>
    <x v="1"/>
  </r>
  <r>
    <s v="ORD-2026-0418"/>
    <s v="2026-06-14"/>
    <x v="10"/>
    <s v="Q2"/>
    <x v="17"/>
    <x v="4"/>
    <x v="1"/>
    <s v="Hyderabad"/>
    <x v="4"/>
    <x v="0"/>
    <x v="9"/>
    <n v="1408.64"/>
    <n v="21"/>
    <x v="417"/>
    <n v="6.8"/>
    <x v="417"/>
    <n v="70.5"/>
    <n v="19436.78"/>
    <x v="1"/>
  </r>
  <r>
    <s v="ORD-2026-0419"/>
    <s v="2026-03-02"/>
    <x v="9"/>
    <s v="Q1"/>
    <x v="34"/>
    <x v="5"/>
    <x v="0"/>
    <s v="Kolkata"/>
    <x v="2"/>
    <x v="2"/>
    <x v="8"/>
    <n v="1959.97"/>
    <n v="18"/>
    <x v="418"/>
    <n v="17.3"/>
    <x v="418"/>
    <n v="59"/>
    <n v="17213.900000000001"/>
    <x v="1"/>
  </r>
  <r>
    <s v="ORD-2026-0420"/>
    <s v="2026-09-01"/>
    <x v="3"/>
    <s v="Q3"/>
    <x v="40"/>
    <x v="1"/>
    <x v="0"/>
    <s v="Kolkata"/>
    <x v="2"/>
    <x v="1"/>
    <x v="6"/>
    <n v="9789.93"/>
    <n v="24"/>
    <x v="419"/>
    <n v="5.3"/>
    <x v="419"/>
    <n v="33.4"/>
    <n v="74316.850000000006"/>
    <x v="1"/>
  </r>
  <r>
    <s v="ORD-2026-0421"/>
    <s v="2026-04-16"/>
    <x v="4"/>
    <s v="Q2"/>
    <x v="4"/>
    <x v="4"/>
    <x v="4"/>
    <s v="Lucknow"/>
    <x v="0"/>
    <x v="0"/>
    <x v="6"/>
    <n v="1536.53"/>
    <n v="6"/>
    <x v="420"/>
    <n v="11.6"/>
    <x v="420"/>
    <n v="59.8"/>
    <n v="4873.5600000000004"/>
    <x v="0"/>
  </r>
  <r>
    <s v="ORD-2026-0422"/>
    <s v="2026-09-03"/>
    <x v="3"/>
    <s v="Q3"/>
    <x v="8"/>
    <x v="3"/>
    <x v="0"/>
    <s v="Kolkata"/>
    <x v="1"/>
    <x v="3"/>
    <x v="5"/>
    <n v="3297.04"/>
    <n v="16"/>
    <x v="421"/>
    <n v="21.6"/>
    <x v="421"/>
    <n v="47.3"/>
    <n v="19562.37"/>
    <x v="1"/>
  </r>
  <r>
    <s v="ORD-2026-0423"/>
    <s v="2026-03-15"/>
    <x v="9"/>
    <s v="Q1"/>
    <x v="15"/>
    <x v="2"/>
    <x v="1"/>
    <s v="Chennai"/>
    <x v="4"/>
    <x v="3"/>
    <x v="1"/>
    <n v="684.22"/>
    <n v="13"/>
    <x v="422"/>
    <n v="3.5"/>
    <x v="422"/>
    <n v="18.2"/>
    <n v="1562.2"/>
    <x v="1"/>
  </r>
  <r>
    <s v="ORD-2026-0424"/>
    <s v="2026-05-10"/>
    <x v="11"/>
    <s v="Q2"/>
    <x v="8"/>
    <x v="3"/>
    <x v="0"/>
    <s v="Bhubaneswar"/>
    <x v="0"/>
    <x v="1"/>
    <x v="1"/>
    <n v="980"/>
    <n v="7"/>
    <x v="423"/>
    <n v="8.1999999999999993"/>
    <x v="423"/>
    <n v="28.8"/>
    <n v="1813.67"/>
    <x v="1"/>
  </r>
  <r>
    <s v="ORD-2026-0425"/>
    <s v="2026-06-12"/>
    <x v="10"/>
    <s v="Q2"/>
    <x v="13"/>
    <x v="4"/>
    <x v="2"/>
    <s v="Nagpur"/>
    <x v="1"/>
    <x v="1"/>
    <x v="2"/>
    <n v="2615.56"/>
    <n v="25"/>
    <x v="424"/>
    <n v="23.9"/>
    <x v="424"/>
    <n v="51.4"/>
    <n v="25577.17"/>
    <x v="1"/>
  </r>
  <r>
    <s v="ORD-2026-0426"/>
    <s v="2026-08-20"/>
    <x v="8"/>
    <s v="Q3"/>
    <x v="22"/>
    <x v="3"/>
    <x v="4"/>
    <s v="Delhi"/>
    <x v="2"/>
    <x v="0"/>
    <x v="9"/>
    <n v="783.92"/>
    <n v="21"/>
    <x v="425"/>
    <n v="24.7"/>
    <x v="425"/>
    <n v="38.299999999999997"/>
    <n v="4747.72"/>
    <x v="3"/>
  </r>
  <r>
    <s v="ORD-2026-0427"/>
    <s v="2026-09-04"/>
    <x v="3"/>
    <s v="Q3"/>
    <x v="20"/>
    <x v="1"/>
    <x v="0"/>
    <s v="Kolkata"/>
    <x v="3"/>
    <x v="0"/>
    <x v="2"/>
    <n v="21709.599999999999"/>
    <n v="1"/>
    <x v="426"/>
    <n v="6.7"/>
    <x v="426"/>
    <n v="33.200000000000003"/>
    <n v="6724.68"/>
    <x v="0"/>
  </r>
  <r>
    <s v="ORD-2026-0428"/>
    <s v="2026-01-10"/>
    <x v="7"/>
    <s v="Q1"/>
    <x v="23"/>
    <x v="2"/>
    <x v="4"/>
    <s v="Jaipur"/>
    <x v="1"/>
    <x v="3"/>
    <x v="0"/>
    <n v="253.53"/>
    <n v="25"/>
    <x v="427"/>
    <n v="2.2999999999999998"/>
    <x v="427"/>
    <n v="34.200000000000003"/>
    <n v="2117.8200000000002"/>
    <x v="1"/>
  </r>
  <r>
    <s v="ORD-2026-0429"/>
    <s v="2026-03-27"/>
    <x v="9"/>
    <s v="Q1"/>
    <x v="20"/>
    <x v="1"/>
    <x v="1"/>
    <s v="Chennai"/>
    <x v="4"/>
    <x v="2"/>
    <x v="1"/>
    <n v="9941.34"/>
    <n v="7"/>
    <x v="428"/>
    <n v="7.6"/>
    <x v="428"/>
    <n v="46"/>
    <n v="29578.27"/>
    <x v="0"/>
  </r>
  <r>
    <s v="ORD-2026-0430"/>
    <s v="2026-12-27"/>
    <x v="1"/>
    <s v="Q4"/>
    <x v="19"/>
    <x v="0"/>
    <x v="3"/>
    <s v="Mumbai"/>
    <x v="3"/>
    <x v="2"/>
    <x v="0"/>
    <n v="79060.94"/>
    <n v="16"/>
    <x v="429"/>
    <n v="10.7"/>
    <x v="429"/>
    <n v="13.5"/>
    <n v="152499.07"/>
    <x v="0"/>
  </r>
  <r>
    <s v="ORD-2026-0431"/>
    <s v="2026-02-03"/>
    <x v="6"/>
    <s v="Q1"/>
    <x v="18"/>
    <x v="3"/>
    <x v="3"/>
    <s v="Mumbai"/>
    <x v="0"/>
    <x v="3"/>
    <x v="3"/>
    <n v="2835.5"/>
    <n v="12"/>
    <x v="430"/>
    <n v="20.9"/>
    <x v="430"/>
    <n v="37.1"/>
    <n v="9985.31"/>
    <x v="1"/>
  </r>
  <r>
    <s v="ORD-2026-0432"/>
    <s v="2026-05-13"/>
    <x v="11"/>
    <s v="Q2"/>
    <x v="22"/>
    <x v="3"/>
    <x v="3"/>
    <s v="Mumbai"/>
    <x v="1"/>
    <x v="1"/>
    <x v="5"/>
    <n v="1487.97"/>
    <n v="5"/>
    <x v="431"/>
    <n v="8.9"/>
    <x v="431"/>
    <n v="25.7"/>
    <n v="1741.87"/>
    <x v="1"/>
  </r>
  <r>
    <s v="ORD-2026-0433"/>
    <s v="2026-11-15"/>
    <x v="0"/>
    <s v="Q4"/>
    <x v="2"/>
    <x v="2"/>
    <x v="0"/>
    <s v="Kolkata"/>
    <x v="2"/>
    <x v="1"/>
    <x v="1"/>
    <n v="690.32"/>
    <n v="25"/>
    <x v="432"/>
    <n v="4.8"/>
    <x v="432"/>
    <n v="25.2"/>
    <n v="4140.26"/>
    <x v="1"/>
  </r>
  <r>
    <s v="ORD-2026-0434"/>
    <s v="2026-07-28"/>
    <x v="5"/>
    <s v="Q3"/>
    <x v="39"/>
    <x v="1"/>
    <x v="4"/>
    <s v="Jaipur"/>
    <x v="4"/>
    <x v="3"/>
    <x v="4"/>
    <n v="31327.39"/>
    <n v="1"/>
    <x v="433"/>
    <n v="21.2"/>
    <x v="433"/>
    <n v="42.5"/>
    <n v="10491.54"/>
    <x v="3"/>
  </r>
  <r>
    <s v="ORD-2026-0435"/>
    <s v="2026-10-12"/>
    <x v="2"/>
    <s v="Q4"/>
    <x v="18"/>
    <x v="3"/>
    <x v="2"/>
    <s v="Raipur"/>
    <x v="2"/>
    <x v="2"/>
    <x v="3"/>
    <n v="1373.9"/>
    <n v="6"/>
    <x v="434"/>
    <n v="2.2999999999999998"/>
    <x v="434"/>
    <n v="37.299999999999997"/>
    <n v="3004.07"/>
    <x v="3"/>
  </r>
  <r>
    <s v="ORD-2026-0436"/>
    <s v="2026-06-07"/>
    <x v="10"/>
    <s v="Q2"/>
    <x v="10"/>
    <x v="1"/>
    <x v="4"/>
    <s v="Delhi"/>
    <x v="0"/>
    <x v="1"/>
    <x v="8"/>
    <n v="43605.2"/>
    <n v="1"/>
    <x v="435"/>
    <n v="13.5"/>
    <x v="435"/>
    <n v="34.5"/>
    <n v="13012.88"/>
    <x v="2"/>
  </r>
  <r>
    <s v="ORD-2026-0437"/>
    <s v="2026-07-11"/>
    <x v="5"/>
    <s v="Q3"/>
    <x v="24"/>
    <x v="5"/>
    <x v="1"/>
    <s v="Kochi"/>
    <x v="0"/>
    <x v="2"/>
    <x v="1"/>
    <n v="4645.82"/>
    <n v="12"/>
    <x v="436"/>
    <n v="16.899999999999999"/>
    <x v="436"/>
    <n v="42.3"/>
    <n v="19596.79"/>
    <x v="3"/>
  </r>
  <r>
    <s v="ORD-2026-0438"/>
    <s v="2026-03-28"/>
    <x v="9"/>
    <s v="Q1"/>
    <x v="0"/>
    <x v="0"/>
    <x v="4"/>
    <s v="Lucknow"/>
    <x v="0"/>
    <x v="3"/>
    <x v="1"/>
    <n v="79216.509999999995"/>
    <n v="15"/>
    <x v="437"/>
    <n v="14.1"/>
    <x v="437"/>
    <n v="13.3"/>
    <n v="135753.73000000001"/>
    <x v="1"/>
  </r>
  <r>
    <s v="ORD-2026-0439"/>
    <s v="2026-07-03"/>
    <x v="5"/>
    <s v="Q3"/>
    <x v="3"/>
    <x v="3"/>
    <x v="1"/>
    <s v="Kochi"/>
    <x v="0"/>
    <x v="3"/>
    <x v="1"/>
    <n v="6867.01"/>
    <n v="25"/>
    <x v="438"/>
    <n v="16.2"/>
    <x v="438"/>
    <n v="23.8"/>
    <n v="34239.599999999999"/>
    <x v="3"/>
  </r>
  <r>
    <s v="ORD-2026-0440"/>
    <s v="2026-10-03"/>
    <x v="2"/>
    <s v="Q4"/>
    <x v="24"/>
    <x v="5"/>
    <x v="1"/>
    <s v="Hyderabad"/>
    <x v="4"/>
    <x v="1"/>
    <x v="2"/>
    <n v="3223.8"/>
    <n v="15"/>
    <x v="439"/>
    <n v="5.9"/>
    <x v="439"/>
    <n v="44.2"/>
    <n v="20112.740000000002"/>
    <x v="1"/>
  </r>
  <r>
    <s v="ORD-2026-0441"/>
    <s v="2026-08-13"/>
    <x v="8"/>
    <s v="Q3"/>
    <x v="5"/>
    <x v="0"/>
    <x v="1"/>
    <s v="Chennai"/>
    <x v="0"/>
    <x v="0"/>
    <x v="5"/>
    <n v="40108.230000000003"/>
    <n v="16"/>
    <x v="440"/>
    <n v="19.399999999999999"/>
    <x v="440"/>
    <n v="17.3"/>
    <n v="89481.78"/>
    <x v="1"/>
  </r>
  <r>
    <s v="ORD-2026-0442"/>
    <s v="2026-07-27"/>
    <x v="5"/>
    <s v="Q3"/>
    <x v="35"/>
    <x v="5"/>
    <x v="0"/>
    <s v="Kolkata"/>
    <x v="0"/>
    <x v="3"/>
    <x v="4"/>
    <n v="3756.62"/>
    <n v="6"/>
    <x v="441"/>
    <n v="2.6"/>
    <x v="441"/>
    <n v="45"/>
    <n v="9879.16"/>
    <x v="1"/>
  </r>
  <r>
    <s v="ORD-2026-0443"/>
    <s v="2026-10-02"/>
    <x v="2"/>
    <s v="Q4"/>
    <x v="5"/>
    <x v="0"/>
    <x v="3"/>
    <s v="Ahmedabad"/>
    <x v="1"/>
    <x v="1"/>
    <x v="6"/>
    <n v="45146.94"/>
    <n v="21"/>
    <x v="442"/>
    <n v="17.899999999999999"/>
    <x v="442"/>
    <n v="26.4"/>
    <n v="205491.89"/>
    <x v="1"/>
  </r>
  <r>
    <s v="ORD-2026-0444"/>
    <s v="2026-09-18"/>
    <x v="3"/>
    <s v="Q3"/>
    <x v="32"/>
    <x v="5"/>
    <x v="3"/>
    <s v="Ahmedabad"/>
    <x v="2"/>
    <x v="3"/>
    <x v="1"/>
    <n v="2642.49"/>
    <n v="14"/>
    <x v="443"/>
    <n v="3"/>
    <x v="443"/>
    <n v="46.7"/>
    <n v="16758.3"/>
    <x v="1"/>
  </r>
  <r>
    <s v="ORD-2026-0445"/>
    <s v="2026-05-29"/>
    <x v="11"/>
    <s v="Q2"/>
    <x v="4"/>
    <x v="4"/>
    <x v="0"/>
    <s v="Kolkata"/>
    <x v="1"/>
    <x v="3"/>
    <x v="4"/>
    <n v="259.86"/>
    <n v="3"/>
    <x v="444"/>
    <n v="7.2"/>
    <x v="444"/>
    <n v="54.8"/>
    <n v="396.45"/>
    <x v="2"/>
  </r>
  <r>
    <s v="ORD-2026-0446"/>
    <s v="2026-03-21"/>
    <x v="9"/>
    <s v="Q1"/>
    <x v="13"/>
    <x v="4"/>
    <x v="3"/>
    <s v="Ahmedabad"/>
    <x v="1"/>
    <x v="0"/>
    <x v="0"/>
    <n v="764.8"/>
    <n v="25"/>
    <x v="445"/>
    <n v="22.7"/>
    <x v="445"/>
    <n v="49.1"/>
    <n v="7256.86"/>
    <x v="1"/>
  </r>
  <r>
    <s v="ORD-2026-0447"/>
    <s v="2026-10-27"/>
    <x v="2"/>
    <s v="Q4"/>
    <x v="41"/>
    <x v="5"/>
    <x v="4"/>
    <s v="Lucknow"/>
    <x v="1"/>
    <x v="0"/>
    <x v="7"/>
    <n v="4512.97"/>
    <n v="3"/>
    <x v="446"/>
    <n v="22.1"/>
    <x v="446"/>
    <n v="38.5"/>
    <n v="4060.52"/>
    <x v="1"/>
  </r>
  <r>
    <s v="ORD-2026-0448"/>
    <s v="2026-04-18"/>
    <x v="4"/>
    <s v="Q2"/>
    <x v="5"/>
    <x v="0"/>
    <x v="3"/>
    <s v="Mumbai"/>
    <x v="0"/>
    <x v="1"/>
    <x v="4"/>
    <n v="91809.46"/>
    <n v="5"/>
    <x v="447"/>
    <n v="1.6"/>
    <x v="447"/>
    <n v="28.4"/>
    <n v="128283.52"/>
    <x v="3"/>
  </r>
  <r>
    <s v="ORD-2026-0449"/>
    <s v="2026-11-20"/>
    <x v="0"/>
    <s v="Q4"/>
    <x v="7"/>
    <x v="0"/>
    <x v="2"/>
    <s v="Bhopal"/>
    <x v="4"/>
    <x v="3"/>
    <x v="6"/>
    <n v="63275.93"/>
    <n v="8"/>
    <x v="448"/>
    <n v="1"/>
    <x v="448"/>
    <n v="28.2"/>
    <n v="141322.99"/>
    <x v="1"/>
  </r>
  <r>
    <s v="ORD-2026-0450"/>
    <s v="2026-12-04"/>
    <x v="1"/>
    <s v="Q4"/>
    <x v="3"/>
    <x v="3"/>
    <x v="1"/>
    <s v="Hyderabad"/>
    <x v="0"/>
    <x v="0"/>
    <x v="7"/>
    <n v="6277.76"/>
    <n v="23"/>
    <x v="449"/>
    <n v="9.3000000000000007"/>
    <x v="449"/>
    <n v="25.5"/>
    <n v="33394.89"/>
    <x v="2"/>
  </r>
  <r>
    <s v="ORD-2026-0451"/>
    <s v="2026-08-28"/>
    <x v="8"/>
    <s v="Q3"/>
    <x v="35"/>
    <x v="5"/>
    <x v="1"/>
    <s v="Kochi"/>
    <x v="2"/>
    <x v="3"/>
    <x v="1"/>
    <n v="3423.71"/>
    <n v="18"/>
    <x v="450"/>
    <n v="2.8"/>
    <x v="450"/>
    <n v="47.3"/>
    <n v="28333.279999999999"/>
    <x v="1"/>
  </r>
  <r>
    <s v="ORD-2026-0452"/>
    <s v="2026-12-21"/>
    <x v="1"/>
    <s v="Q4"/>
    <x v="12"/>
    <x v="4"/>
    <x v="3"/>
    <s v="Surat"/>
    <x v="1"/>
    <x v="2"/>
    <x v="1"/>
    <n v="1419.21"/>
    <n v="3"/>
    <x v="451"/>
    <n v="9.4"/>
    <x v="451"/>
    <n v="51.1"/>
    <n v="1971.14"/>
    <x v="1"/>
  </r>
  <r>
    <s v="ORD-2026-0453"/>
    <s v="2026-07-01"/>
    <x v="5"/>
    <s v="Q3"/>
    <x v="21"/>
    <x v="5"/>
    <x v="3"/>
    <s v="Pune"/>
    <x v="3"/>
    <x v="1"/>
    <x v="0"/>
    <n v="1940.2"/>
    <n v="3"/>
    <x v="452"/>
    <n v="21.6"/>
    <x v="452"/>
    <n v="61.3"/>
    <n v="2797.33"/>
    <x v="1"/>
  </r>
  <r>
    <s v="ORD-2026-0454"/>
    <s v="2026-10-04"/>
    <x v="2"/>
    <s v="Q4"/>
    <x v="10"/>
    <x v="1"/>
    <x v="2"/>
    <s v="Raipur"/>
    <x v="3"/>
    <x v="1"/>
    <x v="9"/>
    <n v="8157.26"/>
    <n v="13"/>
    <x v="453"/>
    <n v="16.8"/>
    <x v="453"/>
    <n v="51.8"/>
    <n v="45702.58"/>
    <x v="1"/>
  </r>
  <r>
    <s v="ORD-2026-0455"/>
    <s v="2026-05-08"/>
    <x v="11"/>
    <s v="Q2"/>
    <x v="27"/>
    <x v="3"/>
    <x v="2"/>
    <s v="Bhopal"/>
    <x v="4"/>
    <x v="3"/>
    <x v="3"/>
    <n v="2209.16"/>
    <n v="8"/>
    <x v="454"/>
    <n v="3.5"/>
    <x v="454"/>
    <n v="44.7"/>
    <n v="7623.46"/>
    <x v="1"/>
  </r>
  <r>
    <s v="ORD-2026-0456"/>
    <s v="2026-03-22"/>
    <x v="9"/>
    <s v="Q1"/>
    <x v="20"/>
    <x v="1"/>
    <x v="1"/>
    <s v="Bengaluru"/>
    <x v="4"/>
    <x v="1"/>
    <x v="1"/>
    <n v="36636.57"/>
    <n v="3"/>
    <x v="455"/>
    <n v="20.7"/>
    <x v="455"/>
    <n v="52"/>
    <n v="45322.37"/>
    <x v="1"/>
  </r>
  <r>
    <s v="ORD-2026-0457"/>
    <s v="2026-04-17"/>
    <x v="4"/>
    <s v="Q2"/>
    <x v="1"/>
    <x v="1"/>
    <x v="1"/>
    <s v="Bengaluru"/>
    <x v="3"/>
    <x v="2"/>
    <x v="0"/>
    <n v="17742.52"/>
    <n v="2"/>
    <x v="456"/>
    <n v="15.7"/>
    <x v="456"/>
    <n v="49.8"/>
    <n v="14897.12"/>
    <x v="2"/>
  </r>
  <r>
    <s v="ORD-2026-0458"/>
    <s v="2026-08-15"/>
    <x v="8"/>
    <s v="Q3"/>
    <x v="38"/>
    <x v="0"/>
    <x v="1"/>
    <s v="Hyderabad"/>
    <x v="4"/>
    <x v="0"/>
    <x v="8"/>
    <n v="69123.58"/>
    <n v="1"/>
    <x v="457"/>
    <n v="3.6"/>
    <x v="457"/>
    <n v="22.6"/>
    <n v="15059.54"/>
    <x v="1"/>
  </r>
  <r>
    <s v="ORD-2026-0459"/>
    <s v="2026-01-29"/>
    <x v="7"/>
    <s v="Q1"/>
    <x v="13"/>
    <x v="4"/>
    <x v="2"/>
    <s v="Nagpur"/>
    <x v="0"/>
    <x v="0"/>
    <x v="0"/>
    <n v="1901.17"/>
    <n v="9"/>
    <x v="458"/>
    <n v="10.1"/>
    <x v="458"/>
    <n v="48.1"/>
    <n v="7398.92"/>
    <x v="3"/>
  </r>
  <r>
    <s v="ORD-2026-0460"/>
    <s v="2026-07-26"/>
    <x v="5"/>
    <s v="Q3"/>
    <x v="25"/>
    <x v="5"/>
    <x v="1"/>
    <s v="Kochi"/>
    <x v="2"/>
    <x v="3"/>
    <x v="2"/>
    <n v="2173.46"/>
    <n v="15"/>
    <x v="459"/>
    <n v="0.9"/>
    <x v="459"/>
    <n v="43.4"/>
    <n v="14021.88"/>
    <x v="3"/>
  </r>
  <r>
    <s v="ORD-2026-0461"/>
    <s v="2026-06-16"/>
    <x v="10"/>
    <s v="Q2"/>
    <x v="5"/>
    <x v="0"/>
    <x v="2"/>
    <s v="Nagpur"/>
    <x v="0"/>
    <x v="1"/>
    <x v="3"/>
    <n v="87428.23"/>
    <n v="8"/>
    <x v="460"/>
    <n v="3.1"/>
    <x v="460"/>
    <n v="22.4"/>
    <n v="151814.57999999999"/>
    <x v="0"/>
  </r>
  <r>
    <s v="ORD-2026-0462"/>
    <s v="2026-10-11"/>
    <x v="2"/>
    <s v="Q4"/>
    <x v="32"/>
    <x v="5"/>
    <x v="3"/>
    <s v="Surat"/>
    <x v="3"/>
    <x v="0"/>
    <x v="1"/>
    <n v="4158.33"/>
    <n v="1"/>
    <x v="461"/>
    <n v="12.1"/>
    <x v="461"/>
    <n v="43.2"/>
    <n v="1579.03"/>
    <x v="1"/>
  </r>
  <r>
    <s v="ORD-2026-0463"/>
    <s v="2026-05-22"/>
    <x v="11"/>
    <s v="Q2"/>
    <x v="9"/>
    <x v="1"/>
    <x v="1"/>
    <s v="Bengaluru"/>
    <x v="2"/>
    <x v="0"/>
    <x v="9"/>
    <n v="4386.37"/>
    <n v="14"/>
    <x v="462"/>
    <n v="5.7"/>
    <x v="462"/>
    <n v="48.2"/>
    <n v="27912.07"/>
    <x v="1"/>
  </r>
  <r>
    <s v="ORD-2026-0464"/>
    <s v="2026-01-08"/>
    <x v="7"/>
    <s v="Q1"/>
    <x v="8"/>
    <x v="3"/>
    <x v="0"/>
    <s v="Kolkata"/>
    <x v="4"/>
    <x v="0"/>
    <x v="9"/>
    <n v="6340.64"/>
    <n v="7"/>
    <x v="463"/>
    <n v="19.899999999999999"/>
    <x v="463"/>
    <n v="32.700000000000003"/>
    <n v="11625.49"/>
    <x v="2"/>
  </r>
  <r>
    <s v="ORD-2026-0465"/>
    <s v="2026-11-14"/>
    <x v="0"/>
    <s v="Q4"/>
    <x v="16"/>
    <x v="0"/>
    <x v="2"/>
    <s v="Raipur"/>
    <x v="0"/>
    <x v="3"/>
    <x v="7"/>
    <n v="72615.31"/>
    <n v="19"/>
    <x v="464"/>
    <n v="12"/>
    <x v="464"/>
    <n v="22.5"/>
    <n v="273178.8"/>
    <x v="1"/>
  </r>
  <r>
    <s v="ORD-2026-0466"/>
    <s v="2026-12-03"/>
    <x v="1"/>
    <s v="Q4"/>
    <x v="12"/>
    <x v="4"/>
    <x v="0"/>
    <s v="Kolkata"/>
    <x v="2"/>
    <x v="2"/>
    <x v="7"/>
    <n v="1464.13"/>
    <n v="6"/>
    <x v="465"/>
    <n v="21.5"/>
    <x v="465"/>
    <n v="49.2"/>
    <n v="3392.86"/>
    <x v="1"/>
  </r>
  <r>
    <s v="ORD-2026-0467"/>
    <s v="2026-04-03"/>
    <x v="4"/>
    <s v="Q2"/>
    <x v="26"/>
    <x v="2"/>
    <x v="0"/>
    <s v="Kolkata"/>
    <x v="1"/>
    <x v="0"/>
    <x v="1"/>
    <n v="655.35"/>
    <n v="16"/>
    <x v="466"/>
    <n v="8.9"/>
    <x v="466"/>
    <n v="32.6"/>
    <n v="3114.08"/>
    <x v="1"/>
  </r>
  <r>
    <s v="ORD-2026-0468"/>
    <s v="2026-12-11"/>
    <x v="1"/>
    <s v="Q4"/>
    <x v="32"/>
    <x v="5"/>
    <x v="0"/>
    <s v="Kolkata"/>
    <x v="1"/>
    <x v="2"/>
    <x v="6"/>
    <n v="4188.05"/>
    <n v="10"/>
    <x v="467"/>
    <n v="9.9"/>
    <x v="467"/>
    <n v="40.9"/>
    <n v="15433.34"/>
    <x v="2"/>
  </r>
  <r>
    <s v="ORD-2026-0469"/>
    <s v="2026-09-04"/>
    <x v="3"/>
    <s v="Q3"/>
    <x v="19"/>
    <x v="0"/>
    <x v="3"/>
    <s v="Surat"/>
    <x v="0"/>
    <x v="1"/>
    <x v="9"/>
    <n v="91938.19"/>
    <n v="6"/>
    <x v="468"/>
    <n v="6.2"/>
    <x v="468"/>
    <n v="26.1"/>
    <n v="135048.74"/>
    <x v="1"/>
  </r>
  <r>
    <s v="ORD-2026-0470"/>
    <s v="2026-01-29"/>
    <x v="7"/>
    <s v="Q1"/>
    <x v="1"/>
    <x v="1"/>
    <x v="0"/>
    <s v="Guwahati"/>
    <x v="2"/>
    <x v="3"/>
    <x v="7"/>
    <n v="33578.5"/>
    <n v="13"/>
    <x v="469"/>
    <n v="22.9"/>
    <x v="469"/>
    <n v="30.9"/>
    <n v="103996.21"/>
    <x v="1"/>
  </r>
  <r>
    <s v="ORD-2026-0471"/>
    <s v="2026-04-22"/>
    <x v="4"/>
    <s v="Q2"/>
    <x v="35"/>
    <x v="5"/>
    <x v="2"/>
    <s v="Indore"/>
    <x v="4"/>
    <x v="0"/>
    <x v="5"/>
    <n v="1266.3499999999999"/>
    <n v="3"/>
    <x v="470"/>
    <n v="19.600000000000001"/>
    <x v="470"/>
    <n v="45.9"/>
    <n v="1401.99"/>
    <x v="3"/>
  </r>
  <r>
    <s v="ORD-2026-0472"/>
    <s v="2026-12-26"/>
    <x v="1"/>
    <s v="Q4"/>
    <x v="14"/>
    <x v="2"/>
    <x v="4"/>
    <s v="Delhi"/>
    <x v="2"/>
    <x v="1"/>
    <x v="0"/>
    <n v="1023.8"/>
    <n v="10"/>
    <x v="471"/>
    <n v="19"/>
    <x v="471"/>
    <n v="22.3"/>
    <n v="1849.29"/>
    <x v="1"/>
  </r>
  <r>
    <s v="ORD-2026-0473"/>
    <s v="2026-11-18"/>
    <x v="0"/>
    <s v="Q4"/>
    <x v="27"/>
    <x v="3"/>
    <x v="3"/>
    <s v="Ahmedabad"/>
    <x v="4"/>
    <x v="3"/>
    <x v="7"/>
    <n v="7278.81"/>
    <n v="13"/>
    <x v="472"/>
    <n v="5.7"/>
    <x v="472"/>
    <n v="32.799999999999997"/>
    <n v="29267.75"/>
    <x v="1"/>
  </r>
  <r>
    <s v="ORD-2026-0474"/>
    <s v="2026-04-25"/>
    <x v="4"/>
    <s v="Q2"/>
    <x v="38"/>
    <x v="0"/>
    <x v="0"/>
    <s v="Kolkata"/>
    <x v="0"/>
    <x v="3"/>
    <x v="0"/>
    <n v="52543.15"/>
    <n v="10"/>
    <x v="473"/>
    <n v="19.600000000000001"/>
    <x v="473"/>
    <n v="30.1"/>
    <n v="127156.53"/>
    <x v="0"/>
  </r>
  <r>
    <s v="ORD-2026-0475"/>
    <s v="2026-08-26"/>
    <x v="8"/>
    <s v="Q3"/>
    <x v="22"/>
    <x v="3"/>
    <x v="3"/>
    <s v="Pune"/>
    <x v="4"/>
    <x v="2"/>
    <x v="8"/>
    <n v="5833.49"/>
    <n v="21"/>
    <x v="474"/>
    <n v="3.4"/>
    <x v="474"/>
    <n v="23.3"/>
    <n v="27572.799999999999"/>
    <x v="1"/>
  </r>
  <r>
    <s v="ORD-2026-0476"/>
    <s v="2026-07-11"/>
    <x v="5"/>
    <s v="Q3"/>
    <x v="16"/>
    <x v="0"/>
    <x v="0"/>
    <s v="Guwahati"/>
    <x v="2"/>
    <x v="2"/>
    <x v="0"/>
    <n v="94488.66"/>
    <n v="21"/>
    <x v="475"/>
    <n v="15.8"/>
    <x v="475"/>
    <n v="28.3"/>
    <n v="472821.82"/>
    <x v="1"/>
  </r>
  <r>
    <s v="ORD-2026-0477"/>
    <s v="2026-05-21"/>
    <x v="11"/>
    <s v="Q2"/>
    <x v="13"/>
    <x v="4"/>
    <x v="4"/>
    <s v="Lucknow"/>
    <x v="2"/>
    <x v="1"/>
    <x v="9"/>
    <n v="960.24"/>
    <n v="17"/>
    <x v="476"/>
    <n v="3.6"/>
    <x v="476"/>
    <n v="70.7"/>
    <n v="11125.64"/>
    <x v="1"/>
  </r>
  <r>
    <s v="ORD-2026-0478"/>
    <s v="2026-01-15"/>
    <x v="7"/>
    <s v="Q1"/>
    <x v="38"/>
    <x v="0"/>
    <x v="0"/>
    <s v="Kolkata"/>
    <x v="0"/>
    <x v="0"/>
    <x v="8"/>
    <n v="17113.240000000002"/>
    <n v="14"/>
    <x v="477"/>
    <n v="24"/>
    <x v="477"/>
    <n v="31.4"/>
    <n v="57174.65"/>
    <x v="2"/>
  </r>
  <r>
    <s v="ORD-2026-0479"/>
    <s v="2026-04-19"/>
    <x v="4"/>
    <s v="Q2"/>
    <x v="23"/>
    <x v="2"/>
    <x v="1"/>
    <s v="Kochi"/>
    <x v="1"/>
    <x v="3"/>
    <x v="3"/>
    <n v="1076.1300000000001"/>
    <n v="6"/>
    <x v="478"/>
    <n v="7.4"/>
    <x v="478"/>
    <n v="18.5"/>
    <n v="1106.1099999999999"/>
    <x v="2"/>
  </r>
  <r>
    <s v="ORD-2026-0480"/>
    <s v="2026-08-19"/>
    <x v="8"/>
    <s v="Q3"/>
    <x v="24"/>
    <x v="5"/>
    <x v="4"/>
    <s v="Lucknow"/>
    <x v="4"/>
    <x v="0"/>
    <x v="6"/>
    <n v="4565.62"/>
    <n v="4"/>
    <x v="479"/>
    <n v="11.1"/>
    <x v="479"/>
    <n v="41.5"/>
    <n v="6737.67"/>
    <x v="1"/>
  </r>
  <r>
    <s v="ORD-2026-0481"/>
    <s v="2026-04-21"/>
    <x v="4"/>
    <s v="Q2"/>
    <x v="14"/>
    <x v="2"/>
    <x v="3"/>
    <s v="Pune"/>
    <x v="3"/>
    <x v="1"/>
    <x v="2"/>
    <n v="1270.0999999999999"/>
    <n v="13"/>
    <x v="480"/>
    <n v="16.600000000000001"/>
    <x v="480"/>
    <n v="22"/>
    <n v="3029.49"/>
    <x v="0"/>
  </r>
  <r>
    <s v="ORD-2026-0482"/>
    <s v="2026-08-23"/>
    <x v="8"/>
    <s v="Q3"/>
    <x v="0"/>
    <x v="0"/>
    <x v="2"/>
    <s v="Bhopal"/>
    <x v="3"/>
    <x v="0"/>
    <x v="4"/>
    <n v="49073.89"/>
    <n v="9"/>
    <x v="481"/>
    <n v="23.4"/>
    <x v="481"/>
    <n v="29.2"/>
    <n v="98788.1"/>
    <x v="1"/>
  </r>
  <r>
    <s v="ORD-2026-0483"/>
    <s v="2026-01-05"/>
    <x v="7"/>
    <s v="Q1"/>
    <x v="1"/>
    <x v="1"/>
    <x v="2"/>
    <s v="Indore"/>
    <x v="3"/>
    <x v="3"/>
    <x v="9"/>
    <n v="13235.49"/>
    <n v="15"/>
    <x v="482"/>
    <n v="10.4"/>
    <x v="482"/>
    <n v="46.1"/>
    <n v="82004.98"/>
    <x v="2"/>
  </r>
  <r>
    <s v="ORD-2026-0484"/>
    <s v="2026-10-02"/>
    <x v="2"/>
    <s v="Q4"/>
    <x v="2"/>
    <x v="2"/>
    <x v="1"/>
    <s v="Bengaluru"/>
    <x v="4"/>
    <x v="2"/>
    <x v="9"/>
    <n v="1192.49"/>
    <n v="17"/>
    <x v="483"/>
    <n v="19.8"/>
    <x v="483"/>
    <n v="22.3"/>
    <n v="3625.63"/>
    <x v="3"/>
  </r>
  <r>
    <s v="ORD-2026-0485"/>
    <s v="2026-04-28"/>
    <x v="4"/>
    <s v="Q2"/>
    <x v="29"/>
    <x v="3"/>
    <x v="3"/>
    <s v="Pune"/>
    <x v="1"/>
    <x v="2"/>
    <x v="4"/>
    <n v="2138.4899999999998"/>
    <n v="14"/>
    <x v="484"/>
    <n v="24.4"/>
    <x v="484"/>
    <n v="47.7"/>
    <n v="10796.31"/>
    <x v="1"/>
  </r>
  <r>
    <s v="ORD-2026-0486"/>
    <s v="2026-04-24"/>
    <x v="4"/>
    <s v="Q2"/>
    <x v="16"/>
    <x v="0"/>
    <x v="3"/>
    <s v="Ahmedabad"/>
    <x v="4"/>
    <x v="1"/>
    <x v="8"/>
    <n v="43417.24"/>
    <n v="12"/>
    <x v="485"/>
    <n v="21.2"/>
    <x v="485"/>
    <n v="21.6"/>
    <n v="88679.54"/>
    <x v="3"/>
  </r>
  <r>
    <s v="ORD-2026-0487"/>
    <s v="2026-10-23"/>
    <x v="2"/>
    <s v="Q4"/>
    <x v="15"/>
    <x v="2"/>
    <x v="1"/>
    <s v="Hyderabad"/>
    <x v="0"/>
    <x v="0"/>
    <x v="1"/>
    <n v="465.79"/>
    <n v="21"/>
    <x v="486"/>
    <n v="23"/>
    <x v="486"/>
    <n v="39.5"/>
    <n v="2975.07"/>
    <x v="1"/>
  </r>
  <r>
    <s v="ORD-2026-0488"/>
    <s v="2026-12-10"/>
    <x v="1"/>
    <s v="Q4"/>
    <x v="30"/>
    <x v="4"/>
    <x v="1"/>
    <s v="Hyderabad"/>
    <x v="1"/>
    <x v="2"/>
    <x v="2"/>
    <n v="1075.26"/>
    <n v="24"/>
    <x v="487"/>
    <n v="24.6"/>
    <x v="487"/>
    <n v="49.7"/>
    <n v="9670.58"/>
    <x v="1"/>
  </r>
  <r>
    <s v="ORD-2026-0489"/>
    <s v="2026-11-06"/>
    <x v="0"/>
    <s v="Q4"/>
    <x v="14"/>
    <x v="2"/>
    <x v="0"/>
    <s v="Patna"/>
    <x v="3"/>
    <x v="0"/>
    <x v="6"/>
    <n v="1484.07"/>
    <n v="18"/>
    <x v="488"/>
    <n v="5.6"/>
    <x v="488"/>
    <n v="39.799999999999997"/>
    <n v="10036.49"/>
    <x v="1"/>
  </r>
  <r>
    <s v="ORD-2026-0490"/>
    <s v="2026-10-03"/>
    <x v="2"/>
    <s v="Q4"/>
    <x v="17"/>
    <x v="4"/>
    <x v="4"/>
    <s v="Chandigarh"/>
    <x v="0"/>
    <x v="2"/>
    <x v="5"/>
    <n v="2722.01"/>
    <n v="14"/>
    <x v="489"/>
    <n v="9.1999999999999993"/>
    <x v="489"/>
    <n v="52.2"/>
    <n v="18062.34"/>
    <x v="1"/>
  </r>
  <r>
    <s v="ORD-2026-0491"/>
    <s v="2026-01-16"/>
    <x v="7"/>
    <s v="Q1"/>
    <x v="34"/>
    <x v="5"/>
    <x v="0"/>
    <s v="Bhubaneswar"/>
    <x v="2"/>
    <x v="3"/>
    <x v="4"/>
    <n v="3099.73"/>
    <n v="17"/>
    <x v="490"/>
    <n v="11.2"/>
    <x v="490"/>
    <n v="51"/>
    <n v="23864.7"/>
    <x v="1"/>
  </r>
  <r>
    <s v="ORD-2026-0492"/>
    <s v="2026-04-12"/>
    <x v="4"/>
    <s v="Q2"/>
    <x v="27"/>
    <x v="3"/>
    <x v="2"/>
    <s v="Bhopal"/>
    <x v="0"/>
    <x v="0"/>
    <x v="1"/>
    <n v="6498.27"/>
    <n v="23"/>
    <x v="491"/>
    <n v="17.899999999999999"/>
    <x v="491"/>
    <n v="29"/>
    <n v="35584.980000000003"/>
    <x v="2"/>
  </r>
  <r>
    <s v="ORD-2026-0493"/>
    <s v="2026-11-04"/>
    <x v="0"/>
    <s v="Q4"/>
    <x v="12"/>
    <x v="4"/>
    <x v="4"/>
    <s v="Lucknow"/>
    <x v="2"/>
    <x v="3"/>
    <x v="4"/>
    <n v="3989.43"/>
    <n v="2"/>
    <x v="492"/>
    <n v="10.5"/>
    <x v="492"/>
    <n v="63.4"/>
    <n v="4527.4399999999996"/>
    <x v="1"/>
  </r>
  <r>
    <s v="ORD-2026-0494"/>
    <s v="2026-01-01"/>
    <x v="7"/>
    <s v="Q1"/>
    <x v="37"/>
    <x v="1"/>
    <x v="0"/>
    <s v="Patna"/>
    <x v="2"/>
    <x v="2"/>
    <x v="3"/>
    <n v="34764.57"/>
    <n v="13"/>
    <x v="493"/>
    <n v="23.2"/>
    <x v="493"/>
    <n v="42.8"/>
    <n v="148554.29"/>
    <x v="1"/>
  </r>
  <r>
    <s v="ORD-2026-0495"/>
    <s v="2026-02-03"/>
    <x v="6"/>
    <s v="Q1"/>
    <x v="27"/>
    <x v="3"/>
    <x v="3"/>
    <s v="Surat"/>
    <x v="2"/>
    <x v="3"/>
    <x v="6"/>
    <n v="2572.6"/>
    <n v="2"/>
    <x v="494"/>
    <n v="5.5"/>
    <x v="494"/>
    <n v="40.6"/>
    <n v="1974.06"/>
    <x v="3"/>
  </r>
  <r>
    <s v="ORD-2026-0496"/>
    <s v="2026-10-16"/>
    <x v="2"/>
    <s v="Q4"/>
    <x v="17"/>
    <x v="4"/>
    <x v="4"/>
    <s v="Chandigarh"/>
    <x v="0"/>
    <x v="3"/>
    <x v="7"/>
    <n v="2983.8"/>
    <n v="7"/>
    <x v="495"/>
    <n v="3.7"/>
    <x v="495"/>
    <n v="51.6"/>
    <n v="10378.719999999999"/>
    <x v="1"/>
  </r>
  <r>
    <s v="ORD-2026-0497"/>
    <s v="2026-09-15"/>
    <x v="3"/>
    <s v="Q3"/>
    <x v="8"/>
    <x v="3"/>
    <x v="4"/>
    <s v="Jaipur"/>
    <x v="0"/>
    <x v="0"/>
    <x v="5"/>
    <n v="8387.52"/>
    <n v="22"/>
    <x v="496"/>
    <n v="2.9"/>
    <x v="496"/>
    <n v="35.1"/>
    <n v="62890.14"/>
    <x v="1"/>
  </r>
  <r>
    <s v="ORD-2026-0498"/>
    <s v="2026-04-26"/>
    <x v="4"/>
    <s v="Q2"/>
    <x v="35"/>
    <x v="5"/>
    <x v="2"/>
    <s v="Raipur"/>
    <x v="4"/>
    <x v="2"/>
    <x v="4"/>
    <n v="1800.4"/>
    <n v="7"/>
    <x v="497"/>
    <n v="9.1999999999999993"/>
    <x v="497"/>
    <n v="58.6"/>
    <n v="6705.8"/>
    <x v="0"/>
  </r>
  <r>
    <s v="ORD-2026-0499"/>
    <s v="2026-12-22"/>
    <x v="1"/>
    <s v="Q4"/>
    <x v="10"/>
    <x v="1"/>
    <x v="2"/>
    <s v="Bhopal"/>
    <x v="1"/>
    <x v="1"/>
    <x v="2"/>
    <n v="10316.75"/>
    <n v="6"/>
    <x v="498"/>
    <n v="20.2"/>
    <x v="498"/>
    <n v="29.9"/>
    <n v="14769.58"/>
    <x v="2"/>
  </r>
  <r>
    <s v="ORD-2026-0500"/>
    <s v="2026-08-27"/>
    <x v="8"/>
    <s v="Q3"/>
    <x v="8"/>
    <x v="3"/>
    <x v="1"/>
    <s v="Chennai"/>
    <x v="1"/>
    <x v="0"/>
    <x v="9"/>
    <n v="7281.04"/>
    <n v="2"/>
    <x v="499"/>
    <n v="0.7"/>
    <x v="499"/>
    <n v="25.4"/>
    <n v="3672.88"/>
    <x v="1"/>
  </r>
  <r>
    <s v="ORD-2026-0501"/>
    <s v="2026-04-20"/>
    <x v="4"/>
    <s v="Q2"/>
    <x v="31"/>
    <x v="4"/>
    <x v="3"/>
    <s v="Pune"/>
    <x v="1"/>
    <x v="2"/>
    <x v="9"/>
    <n v="2519.2399999999998"/>
    <n v="5"/>
    <x v="500"/>
    <n v="8.5"/>
    <x v="500"/>
    <n v="51.6"/>
    <n v="5947.17"/>
    <x v="1"/>
  </r>
  <r>
    <s v="ORD-2026-0502"/>
    <s v="2026-06-09"/>
    <x v="10"/>
    <s v="Q2"/>
    <x v="12"/>
    <x v="4"/>
    <x v="1"/>
    <s v="Hyderabad"/>
    <x v="0"/>
    <x v="1"/>
    <x v="9"/>
    <n v="1076.8900000000001"/>
    <n v="12"/>
    <x v="501"/>
    <n v="12.1"/>
    <x v="501"/>
    <n v="61.9"/>
    <n v="7031.25"/>
    <x v="1"/>
  </r>
  <r>
    <s v="ORD-2026-0503"/>
    <s v="2026-01-12"/>
    <x v="7"/>
    <s v="Q1"/>
    <x v="25"/>
    <x v="5"/>
    <x v="3"/>
    <s v="Mumbai"/>
    <x v="2"/>
    <x v="0"/>
    <x v="0"/>
    <n v="4218.3599999999997"/>
    <n v="1"/>
    <x v="502"/>
    <n v="9.6"/>
    <x v="502"/>
    <n v="47.9"/>
    <n v="1826.62"/>
    <x v="2"/>
  </r>
  <r>
    <s v="ORD-2026-0504"/>
    <s v="2026-07-31"/>
    <x v="5"/>
    <s v="Q3"/>
    <x v="39"/>
    <x v="1"/>
    <x v="3"/>
    <s v="Mumbai"/>
    <x v="0"/>
    <x v="3"/>
    <x v="0"/>
    <n v="24476.23"/>
    <n v="7"/>
    <x v="503"/>
    <n v="16.7"/>
    <x v="503"/>
    <n v="45.6"/>
    <n v="65080.73"/>
    <x v="2"/>
  </r>
  <r>
    <s v="ORD-2026-0505"/>
    <s v="2026-11-04"/>
    <x v="0"/>
    <s v="Q4"/>
    <x v="4"/>
    <x v="4"/>
    <x v="3"/>
    <s v="Surat"/>
    <x v="2"/>
    <x v="0"/>
    <x v="3"/>
    <n v="3166.2"/>
    <n v="20"/>
    <x v="504"/>
    <n v="9"/>
    <x v="504"/>
    <n v="50"/>
    <n v="28812.42"/>
    <x v="1"/>
  </r>
  <r>
    <s v="ORD-2026-0506"/>
    <s v="2026-12-15"/>
    <x v="1"/>
    <s v="Q4"/>
    <x v="31"/>
    <x v="4"/>
    <x v="0"/>
    <s v="Guwahati"/>
    <x v="1"/>
    <x v="0"/>
    <x v="0"/>
    <n v="340.89"/>
    <n v="3"/>
    <x v="505"/>
    <n v="6.8"/>
    <x v="505"/>
    <n v="61.4"/>
    <n v="585.22"/>
    <x v="0"/>
  </r>
  <r>
    <s v="ORD-2026-0507"/>
    <s v="2026-10-08"/>
    <x v="2"/>
    <s v="Q4"/>
    <x v="36"/>
    <x v="4"/>
    <x v="0"/>
    <s v="Patna"/>
    <x v="3"/>
    <x v="2"/>
    <x v="1"/>
    <n v="1395.27"/>
    <n v="2"/>
    <x v="506"/>
    <n v="3"/>
    <x v="506"/>
    <n v="57.6"/>
    <n v="1559.13"/>
    <x v="0"/>
  </r>
  <r>
    <s v="ORD-2026-0508"/>
    <s v="2026-09-27"/>
    <x v="3"/>
    <s v="Q3"/>
    <x v="41"/>
    <x v="5"/>
    <x v="1"/>
    <s v="Hyderabad"/>
    <x v="2"/>
    <x v="2"/>
    <x v="8"/>
    <n v="2289.42"/>
    <n v="12"/>
    <x v="507"/>
    <n v="14.8"/>
    <x v="507"/>
    <n v="51.2"/>
    <n v="11984.4"/>
    <x v="1"/>
  </r>
  <r>
    <s v="ORD-2026-0509"/>
    <s v="2026-08-16"/>
    <x v="8"/>
    <s v="Q3"/>
    <x v="20"/>
    <x v="1"/>
    <x v="1"/>
    <s v="Chennai"/>
    <x v="2"/>
    <x v="1"/>
    <x v="7"/>
    <n v="39195.97"/>
    <n v="24"/>
    <x v="508"/>
    <n v="19"/>
    <x v="508"/>
    <n v="33.9"/>
    <n v="258307.71"/>
    <x v="1"/>
  </r>
  <r>
    <s v="ORD-2026-0510"/>
    <s v="2026-10-18"/>
    <x v="2"/>
    <s v="Q4"/>
    <x v="6"/>
    <x v="2"/>
    <x v="2"/>
    <s v="Nagpur"/>
    <x v="2"/>
    <x v="1"/>
    <x v="4"/>
    <n v="1377.7"/>
    <n v="4"/>
    <x v="509"/>
    <n v="22.5"/>
    <x v="509"/>
    <n v="34.4"/>
    <n v="1469.18"/>
    <x v="1"/>
  </r>
  <r>
    <s v="ORD-2026-0511"/>
    <s v="2026-03-31"/>
    <x v="9"/>
    <s v="Q1"/>
    <x v="15"/>
    <x v="2"/>
    <x v="3"/>
    <s v="Ahmedabad"/>
    <x v="1"/>
    <x v="2"/>
    <x v="2"/>
    <n v="286.48"/>
    <n v="4"/>
    <x v="510"/>
    <n v="16.899999999999999"/>
    <x v="510"/>
    <n v="37.1"/>
    <n v="353.29"/>
    <x v="2"/>
  </r>
  <r>
    <s v="ORD-2026-0512"/>
    <s v="2026-07-08"/>
    <x v="5"/>
    <s v="Q3"/>
    <x v="28"/>
    <x v="0"/>
    <x v="1"/>
    <s v="Bengaluru"/>
    <x v="1"/>
    <x v="0"/>
    <x v="1"/>
    <n v="46175.26"/>
    <n v="12"/>
    <x v="511"/>
    <n v="24.1"/>
    <x v="511"/>
    <n v="14.4"/>
    <n v="60561.25"/>
    <x v="0"/>
  </r>
  <r>
    <s v="ORD-2026-0513"/>
    <s v="2026-08-06"/>
    <x v="8"/>
    <s v="Q3"/>
    <x v="4"/>
    <x v="4"/>
    <x v="4"/>
    <s v="Lucknow"/>
    <x v="3"/>
    <x v="1"/>
    <x v="3"/>
    <n v="1505.14"/>
    <n v="1"/>
    <x v="512"/>
    <n v="6.6"/>
    <x v="512"/>
    <n v="56.2"/>
    <n v="790.06"/>
    <x v="1"/>
  </r>
  <r>
    <s v="ORD-2026-0514"/>
    <s v="2026-11-27"/>
    <x v="0"/>
    <s v="Q4"/>
    <x v="12"/>
    <x v="4"/>
    <x v="2"/>
    <s v="Bhopal"/>
    <x v="1"/>
    <x v="2"/>
    <x v="5"/>
    <n v="3965.23"/>
    <n v="2"/>
    <x v="513"/>
    <n v="13.6"/>
    <x v="513"/>
    <n v="56.4"/>
    <n v="3864.48"/>
    <x v="1"/>
  </r>
  <r>
    <s v="ORD-2026-0515"/>
    <s v="2026-12-13"/>
    <x v="1"/>
    <s v="Q4"/>
    <x v="26"/>
    <x v="2"/>
    <x v="1"/>
    <s v="Chennai"/>
    <x v="3"/>
    <x v="3"/>
    <x v="6"/>
    <n v="1466.08"/>
    <n v="24"/>
    <x v="514"/>
    <n v="11.8"/>
    <x v="514"/>
    <n v="27.9"/>
    <n v="8658.48"/>
    <x v="1"/>
  </r>
  <r>
    <s v="ORD-2026-0516"/>
    <s v="2026-09-12"/>
    <x v="3"/>
    <s v="Q3"/>
    <x v="0"/>
    <x v="0"/>
    <x v="2"/>
    <s v="Nagpur"/>
    <x v="3"/>
    <x v="1"/>
    <x v="8"/>
    <n v="75656.84"/>
    <n v="6"/>
    <x v="515"/>
    <n v="10.5"/>
    <x v="515"/>
    <n v="23.9"/>
    <n v="97100.26"/>
    <x v="0"/>
  </r>
  <r>
    <s v="ORD-2026-0517"/>
    <s v="2026-07-29"/>
    <x v="5"/>
    <s v="Q3"/>
    <x v="11"/>
    <x v="2"/>
    <x v="3"/>
    <s v="Surat"/>
    <x v="0"/>
    <x v="2"/>
    <x v="3"/>
    <n v="865.98"/>
    <n v="18"/>
    <x v="516"/>
    <n v="6.7"/>
    <x v="516"/>
    <n v="19.399999999999999"/>
    <n v="2821.39"/>
    <x v="2"/>
  </r>
  <r>
    <s v="ORD-2026-0518"/>
    <s v="2026-03-06"/>
    <x v="9"/>
    <s v="Q1"/>
    <x v="32"/>
    <x v="5"/>
    <x v="2"/>
    <s v="Indore"/>
    <x v="4"/>
    <x v="1"/>
    <x v="9"/>
    <n v="4039.5"/>
    <n v="3"/>
    <x v="517"/>
    <n v="11.7"/>
    <x v="517"/>
    <n v="44.5"/>
    <n v="4761.78"/>
    <x v="1"/>
  </r>
  <r>
    <s v="ORD-2026-0519"/>
    <s v="2026-06-27"/>
    <x v="10"/>
    <s v="Q2"/>
    <x v="7"/>
    <x v="0"/>
    <x v="4"/>
    <s v="Lucknow"/>
    <x v="4"/>
    <x v="1"/>
    <x v="3"/>
    <n v="30034.49"/>
    <n v="6"/>
    <x v="518"/>
    <n v="7.2"/>
    <x v="518"/>
    <n v="25.5"/>
    <n v="42644.17"/>
    <x v="1"/>
  </r>
  <r>
    <s v="ORD-2026-0520"/>
    <s v="2026-08-05"/>
    <x v="8"/>
    <s v="Q3"/>
    <x v="15"/>
    <x v="2"/>
    <x v="1"/>
    <s v="Chennai"/>
    <x v="2"/>
    <x v="2"/>
    <x v="5"/>
    <n v="1344.14"/>
    <n v="15"/>
    <x v="519"/>
    <n v="11.7"/>
    <x v="519"/>
    <n v="20.3"/>
    <n v="3614.04"/>
    <x v="1"/>
  </r>
  <r>
    <s v="ORD-2026-0521"/>
    <s v="2026-12-27"/>
    <x v="1"/>
    <s v="Q4"/>
    <x v="28"/>
    <x v="0"/>
    <x v="4"/>
    <s v="Delhi"/>
    <x v="3"/>
    <x v="3"/>
    <x v="5"/>
    <n v="88427.77"/>
    <n v="22"/>
    <x v="520"/>
    <n v="24.1"/>
    <x v="520"/>
    <n v="17.5"/>
    <n v="258399.21"/>
    <x v="2"/>
  </r>
  <r>
    <s v="ORD-2026-0522"/>
    <s v="2026-09-21"/>
    <x v="3"/>
    <s v="Q3"/>
    <x v="30"/>
    <x v="4"/>
    <x v="1"/>
    <s v="Bengaluru"/>
    <x v="2"/>
    <x v="3"/>
    <x v="8"/>
    <n v="528.27"/>
    <n v="25"/>
    <x v="521"/>
    <n v="11.9"/>
    <x v="521"/>
    <n v="52"/>
    <n v="6050.28"/>
    <x v="2"/>
  </r>
  <r>
    <s v="ORD-2026-0523"/>
    <s v="2026-12-24"/>
    <x v="1"/>
    <s v="Q4"/>
    <x v="30"/>
    <x v="4"/>
    <x v="4"/>
    <s v="Delhi"/>
    <x v="2"/>
    <x v="2"/>
    <x v="6"/>
    <n v="613.78"/>
    <n v="10"/>
    <x v="522"/>
    <n v="4.3"/>
    <x v="522"/>
    <n v="62.4"/>
    <n v="3665.29"/>
    <x v="1"/>
  </r>
  <r>
    <s v="ORD-2026-0524"/>
    <s v="2026-05-08"/>
    <x v="11"/>
    <s v="Q2"/>
    <x v="33"/>
    <x v="3"/>
    <x v="1"/>
    <s v="Bengaluru"/>
    <x v="4"/>
    <x v="0"/>
    <x v="6"/>
    <n v="7679.23"/>
    <n v="24"/>
    <x v="523"/>
    <n v="4.5999999999999996"/>
    <x v="523"/>
    <n v="37.6"/>
    <n v="66109.69"/>
    <x v="2"/>
  </r>
  <r>
    <s v="ORD-2026-0525"/>
    <s v="2026-06-18"/>
    <x v="10"/>
    <s v="Q2"/>
    <x v="27"/>
    <x v="3"/>
    <x v="4"/>
    <s v="Delhi"/>
    <x v="1"/>
    <x v="2"/>
    <x v="8"/>
    <n v="7607.62"/>
    <n v="5"/>
    <x v="524"/>
    <n v="20.7"/>
    <x v="524"/>
    <n v="36.700000000000003"/>
    <n v="11070.27"/>
    <x v="2"/>
  </r>
  <r>
    <s v="ORD-2026-0526"/>
    <s v="2026-11-22"/>
    <x v="0"/>
    <s v="Q4"/>
    <x v="33"/>
    <x v="3"/>
    <x v="4"/>
    <s v="Jaipur"/>
    <x v="0"/>
    <x v="1"/>
    <x v="6"/>
    <n v="2326.31"/>
    <n v="22"/>
    <x v="525"/>
    <n v="12.5"/>
    <x v="525"/>
    <n v="40.700000000000003"/>
    <n v="18226.060000000001"/>
    <x v="1"/>
  </r>
  <r>
    <s v="ORD-2026-0527"/>
    <s v="2026-06-09"/>
    <x v="10"/>
    <s v="Q2"/>
    <x v="32"/>
    <x v="5"/>
    <x v="4"/>
    <s v="Delhi"/>
    <x v="3"/>
    <x v="2"/>
    <x v="8"/>
    <n v="4918.3599999999997"/>
    <n v="3"/>
    <x v="526"/>
    <n v="16"/>
    <x v="526"/>
    <n v="52.6"/>
    <n v="6519.39"/>
    <x v="1"/>
  </r>
  <r>
    <s v="ORD-2026-0528"/>
    <s v="2026-11-26"/>
    <x v="0"/>
    <s v="Q4"/>
    <x v="35"/>
    <x v="5"/>
    <x v="4"/>
    <s v="Delhi"/>
    <x v="3"/>
    <x v="3"/>
    <x v="5"/>
    <n v="897.31"/>
    <n v="12"/>
    <x v="527"/>
    <n v="12.8"/>
    <x v="527"/>
    <n v="52.6"/>
    <n v="4938.8500000000004"/>
    <x v="1"/>
  </r>
  <r>
    <s v="ORD-2026-0529"/>
    <s v="2026-04-30"/>
    <x v="4"/>
    <s v="Q2"/>
    <x v="10"/>
    <x v="1"/>
    <x v="4"/>
    <s v="Chandigarh"/>
    <x v="4"/>
    <x v="2"/>
    <x v="3"/>
    <n v="7626.42"/>
    <n v="18"/>
    <x v="528"/>
    <n v="10.1"/>
    <x v="528"/>
    <n v="28.8"/>
    <n v="35542.29"/>
    <x v="1"/>
  </r>
  <r>
    <s v="ORD-2026-0530"/>
    <s v="2026-04-06"/>
    <x v="4"/>
    <s v="Q2"/>
    <x v="9"/>
    <x v="1"/>
    <x v="3"/>
    <s v="Ahmedabad"/>
    <x v="0"/>
    <x v="1"/>
    <x v="4"/>
    <n v="2773.73"/>
    <n v="2"/>
    <x v="529"/>
    <n v="3"/>
    <x v="529"/>
    <n v="49.1"/>
    <n v="2642.09"/>
    <x v="1"/>
  </r>
  <r>
    <s v="ORD-2026-0531"/>
    <s v="2026-02-12"/>
    <x v="6"/>
    <s v="Q1"/>
    <x v="22"/>
    <x v="3"/>
    <x v="3"/>
    <s v="Ahmedabad"/>
    <x v="4"/>
    <x v="0"/>
    <x v="2"/>
    <n v="6965.06"/>
    <n v="11"/>
    <x v="530"/>
    <n v="17.8"/>
    <x v="530"/>
    <n v="34.9"/>
    <n v="21979.35"/>
    <x v="1"/>
  </r>
  <r>
    <s v="ORD-2026-0532"/>
    <s v="2026-03-23"/>
    <x v="9"/>
    <s v="Q1"/>
    <x v="39"/>
    <x v="1"/>
    <x v="1"/>
    <s v="Hyderabad"/>
    <x v="3"/>
    <x v="0"/>
    <x v="9"/>
    <n v="9224.98"/>
    <n v="22"/>
    <x v="531"/>
    <n v="16.5"/>
    <x v="531"/>
    <n v="49.7"/>
    <n v="84223.05"/>
    <x v="1"/>
  </r>
  <r>
    <s v="ORD-2026-0533"/>
    <s v="2026-11-17"/>
    <x v="0"/>
    <s v="Q4"/>
    <x v="4"/>
    <x v="4"/>
    <x v="3"/>
    <s v="Surat"/>
    <x v="3"/>
    <x v="1"/>
    <x v="9"/>
    <n v="1126.72"/>
    <n v="15"/>
    <x v="532"/>
    <n v="7.7"/>
    <x v="532"/>
    <n v="56.2"/>
    <n v="8766.89"/>
    <x v="0"/>
  </r>
  <r>
    <s v="ORD-2026-0534"/>
    <s v="2026-06-01"/>
    <x v="10"/>
    <s v="Q2"/>
    <x v="21"/>
    <x v="5"/>
    <x v="2"/>
    <s v="Indore"/>
    <x v="2"/>
    <x v="1"/>
    <x v="4"/>
    <n v="2344.9"/>
    <n v="8"/>
    <x v="533"/>
    <n v="13.6"/>
    <x v="533"/>
    <n v="42.5"/>
    <n v="6888.38"/>
    <x v="0"/>
  </r>
  <r>
    <s v="ORD-2026-0535"/>
    <s v="2026-03-08"/>
    <x v="9"/>
    <s v="Q1"/>
    <x v="12"/>
    <x v="4"/>
    <x v="0"/>
    <s v="Bhubaneswar"/>
    <x v="1"/>
    <x v="1"/>
    <x v="3"/>
    <n v="1013.66"/>
    <n v="11"/>
    <x v="534"/>
    <n v="3.8"/>
    <x v="534"/>
    <n v="58.9"/>
    <n v="6317.94"/>
    <x v="1"/>
  </r>
  <r>
    <s v="ORD-2026-0536"/>
    <s v="2026-10-14"/>
    <x v="2"/>
    <s v="Q4"/>
    <x v="8"/>
    <x v="3"/>
    <x v="2"/>
    <s v="Nagpur"/>
    <x v="2"/>
    <x v="2"/>
    <x v="6"/>
    <n v="4067.71"/>
    <n v="18"/>
    <x v="535"/>
    <n v="0.9"/>
    <x v="535"/>
    <n v="24.1"/>
    <n v="17486.91"/>
    <x v="1"/>
  </r>
  <r>
    <s v="ORD-2026-0537"/>
    <s v="2026-06-26"/>
    <x v="10"/>
    <s v="Q2"/>
    <x v="9"/>
    <x v="1"/>
    <x v="0"/>
    <s v="Guwahati"/>
    <x v="2"/>
    <x v="2"/>
    <x v="6"/>
    <n v="36388.400000000001"/>
    <n v="16"/>
    <x v="536"/>
    <n v="6.1"/>
    <x v="536"/>
    <n v="40"/>
    <n v="218679.73"/>
    <x v="1"/>
  </r>
  <r>
    <s v="ORD-2026-0538"/>
    <s v="2026-04-07"/>
    <x v="4"/>
    <s v="Q2"/>
    <x v="20"/>
    <x v="1"/>
    <x v="4"/>
    <s v="Chandigarh"/>
    <x v="2"/>
    <x v="2"/>
    <x v="9"/>
    <n v="39921.339999999997"/>
    <n v="18"/>
    <x v="537"/>
    <n v="1.4"/>
    <x v="537"/>
    <n v="42.4"/>
    <n v="300414.15000000002"/>
    <x v="1"/>
  </r>
  <r>
    <s v="ORD-2026-0539"/>
    <s v="2026-03-29"/>
    <x v="9"/>
    <s v="Q1"/>
    <x v="16"/>
    <x v="0"/>
    <x v="2"/>
    <s v="Nagpur"/>
    <x v="0"/>
    <x v="2"/>
    <x v="8"/>
    <n v="8369.34"/>
    <n v="6"/>
    <x v="538"/>
    <n v="18.2"/>
    <x v="538"/>
    <n v="31.4"/>
    <n v="12898.09"/>
    <x v="1"/>
  </r>
  <r>
    <s v="ORD-2026-0540"/>
    <s v="2026-07-11"/>
    <x v="5"/>
    <s v="Q3"/>
    <x v="12"/>
    <x v="4"/>
    <x v="2"/>
    <s v="Raipur"/>
    <x v="4"/>
    <x v="0"/>
    <x v="0"/>
    <n v="1881.18"/>
    <n v="3"/>
    <x v="539"/>
    <n v="7.9"/>
    <x v="539"/>
    <n v="66.8"/>
    <n v="3472.06"/>
    <x v="1"/>
  </r>
  <r>
    <s v="ORD-2026-0541"/>
    <s v="2026-06-21"/>
    <x v="10"/>
    <s v="Q2"/>
    <x v="9"/>
    <x v="1"/>
    <x v="3"/>
    <s v="Ahmedabad"/>
    <x v="1"/>
    <x v="0"/>
    <x v="9"/>
    <n v="25449.25"/>
    <n v="12"/>
    <x v="540"/>
    <n v="21.8"/>
    <x v="540"/>
    <n v="41"/>
    <n v="97914.46"/>
    <x v="1"/>
  </r>
  <r>
    <s v="ORD-2026-0542"/>
    <s v="2026-05-13"/>
    <x v="11"/>
    <s v="Q2"/>
    <x v="11"/>
    <x v="2"/>
    <x v="3"/>
    <s v="Mumbai"/>
    <x v="1"/>
    <x v="3"/>
    <x v="1"/>
    <n v="784.62"/>
    <n v="22"/>
    <x v="541"/>
    <n v="16"/>
    <x v="541"/>
    <n v="35.1"/>
    <n v="5089.42"/>
    <x v="2"/>
  </r>
  <r>
    <s v="ORD-2026-0543"/>
    <s v="2026-09-19"/>
    <x v="3"/>
    <s v="Q3"/>
    <x v="28"/>
    <x v="0"/>
    <x v="4"/>
    <s v="Delhi"/>
    <x v="2"/>
    <x v="1"/>
    <x v="8"/>
    <n v="47852.3"/>
    <n v="3"/>
    <x v="542"/>
    <n v="7.6"/>
    <x v="542"/>
    <n v="19.3"/>
    <n v="25600.79"/>
    <x v="1"/>
  </r>
  <r>
    <s v="ORD-2026-0544"/>
    <s v="2026-12-24"/>
    <x v="1"/>
    <s v="Q4"/>
    <x v="35"/>
    <x v="5"/>
    <x v="4"/>
    <s v="Lucknow"/>
    <x v="2"/>
    <x v="1"/>
    <x v="8"/>
    <n v="3327.06"/>
    <n v="12"/>
    <x v="543"/>
    <n v="24.8"/>
    <x v="543"/>
    <n v="47.3"/>
    <n v="14201.06"/>
    <x v="2"/>
  </r>
  <r>
    <s v="ORD-2026-0545"/>
    <s v="2026-06-12"/>
    <x v="10"/>
    <s v="Q2"/>
    <x v="36"/>
    <x v="4"/>
    <x v="2"/>
    <s v="Indore"/>
    <x v="1"/>
    <x v="2"/>
    <x v="4"/>
    <n v="3543.32"/>
    <n v="22"/>
    <x v="544"/>
    <n v="20.8"/>
    <x v="544"/>
    <n v="57.1"/>
    <n v="35252.86"/>
    <x v="3"/>
  </r>
  <r>
    <s v="ORD-2026-0546"/>
    <s v="2026-03-03"/>
    <x v="9"/>
    <s v="Q1"/>
    <x v="19"/>
    <x v="0"/>
    <x v="2"/>
    <s v="Bhopal"/>
    <x v="4"/>
    <x v="1"/>
    <x v="6"/>
    <n v="89171"/>
    <n v="3"/>
    <x v="545"/>
    <n v="16.899999999999999"/>
    <x v="545"/>
    <n v="28.3"/>
    <n v="62911.83"/>
    <x v="1"/>
  </r>
  <r>
    <s v="ORD-2026-0547"/>
    <s v="2026-08-20"/>
    <x v="8"/>
    <s v="Q3"/>
    <x v="21"/>
    <x v="5"/>
    <x v="0"/>
    <s v="Patna"/>
    <x v="2"/>
    <x v="0"/>
    <x v="9"/>
    <n v="4890.21"/>
    <n v="11"/>
    <x v="546"/>
    <n v="22.6"/>
    <x v="546"/>
    <n v="46.7"/>
    <n v="19443.66"/>
    <x v="1"/>
  </r>
  <r>
    <s v="ORD-2026-0548"/>
    <s v="2026-05-16"/>
    <x v="11"/>
    <s v="Q2"/>
    <x v="32"/>
    <x v="5"/>
    <x v="4"/>
    <s v="Lucknow"/>
    <x v="2"/>
    <x v="3"/>
    <x v="3"/>
    <n v="2132.5700000000002"/>
    <n v="12"/>
    <x v="547"/>
    <n v="7.3"/>
    <x v="547"/>
    <n v="44.2"/>
    <n v="10485.44"/>
    <x v="1"/>
  </r>
  <r>
    <s v="ORD-2026-0549"/>
    <s v="2026-12-15"/>
    <x v="1"/>
    <s v="Q4"/>
    <x v="40"/>
    <x v="1"/>
    <x v="1"/>
    <s v="Kochi"/>
    <x v="1"/>
    <x v="3"/>
    <x v="5"/>
    <n v="19396.79"/>
    <n v="14"/>
    <x v="548"/>
    <n v="20.399999999999999"/>
    <x v="548"/>
    <n v="43.9"/>
    <n v="94893.29"/>
    <x v="1"/>
  </r>
  <r>
    <s v="ORD-2026-0550"/>
    <s v="2026-04-02"/>
    <x v="4"/>
    <s v="Q2"/>
    <x v="27"/>
    <x v="3"/>
    <x v="1"/>
    <s v="Hyderabad"/>
    <x v="1"/>
    <x v="0"/>
    <x v="9"/>
    <n v="8302.2900000000009"/>
    <n v="18"/>
    <x v="549"/>
    <n v="5.8"/>
    <x v="549"/>
    <n v="36.700000000000003"/>
    <n v="51663.92"/>
    <x v="2"/>
  </r>
  <r>
    <s v="ORD-2026-0551"/>
    <s v="2026-11-02"/>
    <x v="0"/>
    <s v="Q4"/>
    <x v="14"/>
    <x v="2"/>
    <x v="1"/>
    <s v="Kochi"/>
    <x v="4"/>
    <x v="1"/>
    <x v="6"/>
    <n v="106"/>
    <n v="3"/>
    <x v="550"/>
    <n v="22.8"/>
    <x v="550"/>
    <n v="39.799999999999997"/>
    <n v="97.71"/>
    <x v="1"/>
  </r>
  <r>
    <s v="ORD-2026-0552"/>
    <s v="2026-07-04"/>
    <x v="5"/>
    <s v="Q3"/>
    <x v="9"/>
    <x v="1"/>
    <x v="2"/>
    <s v="Nagpur"/>
    <x v="3"/>
    <x v="0"/>
    <x v="4"/>
    <n v="19412.62"/>
    <n v="4"/>
    <x v="551"/>
    <n v="9"/>
    <x v="551"/>
    <n v="48.9"/>
    <n v="34553.69"/>
    <x v="1"/>
  </r>
  <r>
    <s v="ORD-2026-0553"/>
    <s v="2026-02-20"/>
    <x v="6"/>
    <s v="Q1"/>
    <x v="6"/>
    <x v="2"/>
    <x v="3"/>
    <s v="Ahmedabad"/>
    <x v="0"/>
    <x v="3"/>
    <x v="4"/>
    <n v="341.66"/>
    <n v="1"/>
    <x v="552"/>
    <n v="13.5"/>
    <x v="552"/>
    <n v="22"/>
    <n v="65.02"/>
    <x v="1"/>
  </r>
  <r>
    <s v="ORD-2026-0554"/>
    <s v="2026-07-27"/>
    <x v="5"/>
    <s v="Q3"/>
    <x v="25"/>
    <x v="5"/>
    <x v="2"/>
    <s v="Bhopal"/>
    <x v="0"/>
    <x v="1"/>
    <x v="9"/>
    <n v="3921.16"/>
    <n v="21"/>
    <x v="553"/>
    <n v="23.1"/>
    <x v="553"/>
    <n v="39.5"/>
    <n v="25012.51"/>
    <x v="1"/>
  </r>
  <r>
    <s v="ORD-2026-0555"/>
    <s v="2026-04-26"/>
    <x v="4"/>
    <s v="Q2"/>
    <x v="28"/>
    <x v="0"/>
    <x v="3"/>
    <s v="Mumbai"/>
    <x v="1"/>
    <x v="1"/>
    <x v="2"/>
    <n v="40188.769999999997"/>
    <n v="10"/>
    <x v="554"/>
    <n v="16.399999999999999"/>
    <x v="554"/>
    <n v="22.6"/>
    <n v="75931.06"/>
    <x v="1"/>
  </r>
  <r>
    <s v="ORD-2026-0556"/>
    <s v="2026-10-29"/>
    <x v="2"/>
    <s v="Q4"/>
    <x v="27"/>
    <x v="3"/>
    <x v="2"/>
    <s v="Indore"/>
    <x v="1"/>
    <x v="1"/>
    <x v="8"/>
    <n v="2865.84"/>
    <n v="17"/>
    <x v="555"/>
    <n v="12"/>
    <x v="555"/>
    <n v="30.6"/>
    <n v="13119.13"/>
    <x v="1"/>
  </r>
  <r>
    <s v="ORD-2026-0557"/>
    <s v="2026-06-13"/>
    <x v="10"/>
    <s v="Q2"/>
    <x v="40"/>
    <x v="1"/>
    <x v="2"/>
    <s v="Indore"/>
    <x v="2"/>
    <x v="1"/>
    <x v="2"/>
    <n v="9579.16"/>
    <n v="2"/>
    <x v="556"/>
    <n v="0"/>
    <x v="556"/>
    <n v="38.799999999999997"/>
    <n v="7433.43"/>
    <x v="1"/>
  </r>
  <r>
    <s v="ORD-2026-0558"/>
    <s v="2026-06-28"/>
    <x v="10"/>
    <s v="Q2"/>
    <x v="29"/>
    <x v="3"/>
    <x v="3"/>
    <s v="Mumbai"/>
    <x v="0"/>
    <x v="2"/>
    <x v="9"/>
    <n v="880.85"/>
    <n v="18"/>
    <x v="557"/>
    <n v="7.3"/>
    <x v="557"/>
    <n v="36"/>
    <n v="5291.23"/>
    <x v="1"/>
  </r>
  <r>
    <s v="ORD-2026-0559"/>
    <s v="2026-02-02"/>
    <x v="6"/>
    <s v="Q1"/>
    <x v="1"/>
    <x v="1"/>
    <x v="0"/>
    <s v="Patna"/>
    <x v="1"/>
    <x v="2"/>
    <x v="0"/>
    <n v="35630.230000000003"/>
    <n v="15"/>
    <x v="558"/>
    <n v="23"/>
    <x v="558"/>
    <n v="32.299999999999997"/>
    <n v="132923.92000000001"/>
    <x v="1"/>
  </r>
  <r>
    <s v="ORD-2026-0560"/>
    <s v="2026-10-26"/>
    <x v="2"/>
    <s v="Q4"/>
    <x v="30"/>
    <x v="4"/>
    <x v="3"/>
    <s v="Pune"/>
    <x v="4"/>
    <x v="0"/>
    <x v="2"/>
    <n v="2095.38"/>
    <n v="25"/>
    <x v="559"/>
    <n v="6.2"/>
    <x v="559"/>
    <n v="55.5"/>
    <n v="27270.85"/>
    <x v="2"/>
  </r>
  <r>
    <s v="ORD-2026-0561"/>
    <s v="2026-09-03"/>
    <x v="3"/>
    <s v="Q3"/>
    <x v="23"/>
    <x v="2"/>
    <x v="3"/>
    <s v="Ahmedabad"/>
    <x v="3"/>
    <x v="3"/>
    <x v="3"/>
    <n v="847.96"/>
    <n v="14"/>
    <x v="560"/>
    <n v="0.3"/>
    <x v="560"/>
    <n v="22.9"/>
    <n v="2710.41"/>
    <x v="1"/>
  </r>
  <r>
    <s v="ORD-2026-0562"/>
    <s v="2026-03-10"/>
    <x v="9"/>
    <s v="Q1"/>
    <x v="1"/>
    <x v="1"/>
    <x v="2"/>
    <s v="Bhopal"/>
    <x v="4"/>
    <x v="2"/>
    <x v="0"/>
    <n v="3112.03"/>
    <n v="9"/>
    <x v="561"/>
    <n v="17.5"/>
    <x v="561"/>
    <n v="39.6"/>
    <n v="9150.2999999999993"/>
    <x v="0"/>
  </r>
  <r>
    <s v="ORD-2026-0563"/>
    <s v="2026-01-04"/>
    <x v="7"/>
    <s v="Q1"/>
    <x v="15"/>
    <x v="2"/>
    <x v="2"/>
    <s v="Raipur"/>
    <x v="1"/>
    <x v="3"/>
    <x v="5"/>
    <n v="715.12"/>
    <n v="3"/>
    <x v="562"/>
    <n v="3.4"/>
    <x v="562"/>
    <n v="29.4"/>
    <n v="609.29"/>
    <x v="2"/>
  </r>
  <r>
    <s v="ORD-2026-0564"/>
    <s v="2026-10-05"/>
    <x v="2"/>
    <s v="Q4"/>
    <x v="17"/>
    <x v="4"/>
    <x v="0"/>
    <s v="Patna"/>
    <x v="2"/>
    <x v="2"/>
    <x v="7"/>
    <n v="2606.04"/>
    <n v="11"/>
    <x v="563"/>
    <n v="5.9"/>
    <x v="563"/>
    <n v="65.900000000000006"/>
    <n v="17776.599999999999"/>
    <x v="1"/>
  </r>
  <r>
    <s v="ORD-2026-0565"/>
    <s v="2026-06-16"/>
    <x v="10"/>
    <s v="Q2"/>
    <x v="1"/>
    <x v="1"/>
    <x v="1"/>
    <s v="Kochi"/>
    <x v="2"/>
    <x v="3"/>
    <x v="0"/>
    <n v="31834.69"/>
    <n v="5"/>
    <x v="564"/>
    <n v="17.399999999999999"/>
    <x v="564"/>
    <n v="42.8"/>
    <n v="56272.27"/>
    <x v="1"/>
  </r>
  <r>
    <s v="ORD-2026-0566"/>
    <s v="2026-05-01"/>
    <x v="11"/>
    <s v="Q2"/>
    <x v="23"/>
    <x v="2"/>
    <x v="1"/>
    <s v="Bengaluru"/>
    <x v="0"/>
    <x v="1"/>
    <x v="5"/>
    <n v="856.65"/>
    <n v="1"/>
    <x v="565"/>
    <n v="4.5"/>
    <x v="565"/>
    <n v="39.299999999999997"/>
    <n v="321.51"/>
    <x v="1"/>
  </r>
  <r>
    <s v="ORD-2026-0567"/>
    <s v="2026-03-16"/>
    <x v="9"/>
    <s v="Q1"/>
    <x v="11"/>
    <x v="2"/>
    <x v="3"/>
    <s v="Surat"/>
    <x v="4"/>
    <x v="0"/>
    <x v="3"/>
    <n v="1366.52"/>
    <n v="22"/>
    <x v="566"/>
    <n v="4.9000000000000004"/>
    <x v="566"/>
    <n v="18.899999999999999"/>
    <n v="5403.57"/>
    <x v="1"/>
  </r>
  <r>
    <s v="ORD-2026-0568"/>
    <s v="2026-07-04"/>
    <x v="5"/>
    <s v="Q3"/>
    <x v="33"/>
    <x v="3"/>
    <x v="1"/>
    <s v="Kochi"/>
    <x v="3"/>
    <x v="1"/>
    <x v="1"/>
    <n v="1989.62"/>
    <n v="15"/>
    <x v="567"/>
    <n v="5.6"/>
    <x v="567"/>
    <n v="24.3"/>
    <n v="6846.04"/>
    <x v="1"/>
  </r>
  <r>
    <s v="ORD-2026-0569"/>
    <s v="2026-11-30"/>
    <x v="0"/>
    <s v="Q4"/>
    <x v="17"/>
    <x v="4"/>
    <x v="1"/>
    <s v="Chennai"/>
    <x v="3"/>
    <x v="1"/>
    <x v="2"/>
    <n v="3465.39"/>
    <n v="16"/>
    <x v="568"/>
    <n v="1.5"/>
    <x v="568"/>
    <n v="52.3"/>
    <n v="28563.41"/>
    <x v="3"/>
  </r>
  <r>
    <s v="ORD-2026-0570"/>
    <s v="2026-01-08"/>
    <x v="7"/>
    <s v="Q1"/>
    <x v="32"/>
    <x v="5"/>
    <x v="4"/>
    <s v="Lucknow"/>
    <x v="2"/>
    <x v="0"/>
    <x v="8"/>
    <n v="1738.39"/>
    <n v="15"/>
    <x v="569"/>
    <n v="20.3"/>
    <x v="569"/>
    <n v="59.2"/>
    <n v="12303.21"/>
    <x v="1"/>
  </r>
  <r>
    <s v="ORD-2026-0571"/>
    <s v="2026-10-22"/>
    <x v="2"/>
    <s v="Q4"/>
    <x v="19"/>
    <x v="0"/>
    <x v="0"/>
    <s v="Bhubaneswar"/>
    <x v="4"/>
    <x v="0"/>
    <x v="2"/>
    <n v="92021.7"/>
    <n v="12"/>
    <x v="570"/>
    <n v="23.9"/>
    <x v="570"/>
    <n v="12.8"/>
    <n v="107563.8"/>
    <x v="1"/>
  </r>
  <r>
    <s v="ORD-2026-0572"/>
    <s v="2026-10-23"/>
    <x v="2"/>
    <s v="Q4"/>
    <x v="2"/>
    <x v="2"/>
    <x v="3"/>
    <s v="Mumbai"/>
    <x v="1"/>
    <x v="3"/>
    <x v="0"/>
    <n v="926.01"/>
    <n v="12"/>
    <x v="571"/>
    <n v="21.6"/>
    <x v="571"/>
    <n v="21.6"/>
    <n v="1881.77"/>
    <x v="0"/>
  </r>
  <r>
    <s v="ORD-2026-0573"/>
    <s v="2026-12-10"/>
    <x v="1"/>
    <s v="Q4"/>
    <x v="0"/>
    <x v="0"/>
    <x v="4"/>
    <s v="Delhi"/>
    <x v="3"/>
    <x v="0"/>
    <x v="0"/>
    <n v="12165.8"/>
    <n v="1"/>
    <x v="572"/>
    <n v="17"/>
    <x v="572"/>
    <n v="18.8"/>
    <n v="1898.35"/>
    <x v="1"/>
  </r>
  <r>
    <s v="ORD-2026-0574"/>
    <s v="2026-06-21"/>
    <x v="10"/>
    <s v="Q2"/>
    <x v="21"/>
    <x v="5"/>
    <x v="2"/>
    <s v="Nagpur"/>
    <x v="0"/>
    <x v="1"/>
    <x v="5"/>
    <n v="4435.3900000000003"/>
    <n v="25"/>
    <x v="573"/>
    <n v="13.3"/>
    <x v="573"/>
    <n v="51.7"/>
    <n v="49702.87"/>
    <x v="1"/>
  </r>
  <r>
    <s v="ORD-2026-0575"/>
    <s v="2026-08-15"/>
    <x v="8"/>
    <s v="Q3"/>
    <x v="14"/>
    <x v="2"/>
    <x v="4"/>
    <s v="Lucknow"/>
    <x v="1"/>
    <x v="3"/>
    <x v="8"/>
    <n v="259.83999999999997"/>
    <n v="4"/>
    <x v="574"/>
    <n v="7.7"/>
    <x v="574"/>
    <n v="27.2"/>
    <n v="260.94"/>
    <x v="1"/>
  </r>
  <r>
    <s v="ORD-2026-0576"/>
    <s v="2026-03-05"/>
    <x v="9"/>
    <s v="Q1"/>
    <x v="15"/>
    <x v="2"/>
    <x v="2"/>
    <s v="Nagpur"/>
    <x v="1"/>
    <x v="1"/>
    <x v="1"/>
    <n v="378.63"/>
    <n v="1"/>
    <x v="575"/>
    <n v="5.3"/>
    <x v="575"/>
    <n v="21.2"/>
    <n v="76.010000000000005"/>
    <x v="2"/>
  </r>
  <r>
    <s v="ORD-2026-0577"/>
    <s v="2026-07-27"/>
    <x v="5"/>
    <s v="Q3"/>
    <x v="15"/>
    <x v="2"/>
    <x v="0"/>
    <s v="Guwahati"/>
    <x v="4"/>
    <x v="3"/>
    <x v="6"/>
    <n v="723.13"/>
    <n v="2"/>
    <x v="576"/>
    <n v="12.3"/>
    <x v="576"/>
    <n v="31.9"/>
    <n v="404.61"/>
    <x v="3"/>
  </r>
  <r>
    <s v="ORD-2026-0578"/>
    <s v="2026-12-11"/>
    <x v="1"/>
    <s v="Q4"/>
    <x v="11"/>
    <x v="2"/>
    <x v="4"/>
    <s v="Delhi"/>
    <x v="2"/>
    <x v="2"/>
    <x v="7"/>
    <n v="168.63"/>
    <n v="24"/>
    <x v="577"/>
    <n v="4.8"/>
    <x v="577"/>
    <n v="23.6"/>
    <n v="909.27"/>
    <x v="0"/>
  </r>
  <r>
    <s v="ORD-2026-0579"/>
    <s v="2026-01-12"/>
    <x v="7"/>
    <s v="Q1"/>
    <x v="19"/>
    <x v="0"/>
    <x v="1"/>
    <s v="Chennai"/>
    <x v="3"/>
    <x v="0"/>
    <x v="4"/>
    <n v="78259.02"/>
    <n v="3"/>
    <x v="578"/>
    <n v="23.6"/>
    <x v="578"/>
    <n v="20.9"/>
    <n v="37488.26"/>
    <x v="1"/>
  </r>
  <r>
    <s v="ORD-2026-0580"/>
    <s v="2026-08-04"/>
    <x v="8"/>
    <s v="Q3"/>
    <x v="32"/>
    <x v="5"/>
    <x v="3"/>
    <s v="Surat"/>
    <x v="4"/>
    <x v="1"/>
    <x v="9"/>
    <n v="4487.37"/>
    <n v="12"/>
    <x v="579"/>
    <n v="0.5"/>
    <x v="579"/>
    <n v="43.8"/>
    <n v="23467.69"/>
    <x v="3"/>
  </r>
  <r>
    <s v="ORD-2026-0581"/>
    <s v="2026-10-04"/>
    <x v="2"/>
    <s v="Q4"/>
    <x v="0"/>
    <x v="0"/>
    <x v="1"/>
    <s v="Kochi"/>
    <x v="4"/>
    <x v="0"/>
    <x v="3"/>
    <n v="47878.26"/>
    <n v="9"/>
    <x v="580"/>
    <n v="10.8"/>
    <x v="580"/>
    <n v="13.1"/>
    <n v="50352.03"/>
    <x v="2"/>
  </r>
  <r>
    <s v="ORD-2026-0582"/>
    <s v="2026-01-11"/>
    <x v="7"/>
    <s v="Q1"/>
    <x v="18"/>
    <x v="3"/>
    <x v="2"/>
    <s v="Bhopal"/>
    <x v="4"/>
    <x v="3"/>
    <x v="7"/>
    <n v="7446.83"/>
    <n v="20"/>
    <x v="581"/>
    <n v="11.7"/>
    <x v="581"/>
    <n v="29.9"/>
    <n v="39321.79"/>
    <x v="2"/>
  </r>
  <r>
    <s v="ORD-2026-0583"/>
    <s v="2026-11-24"/>
    <x v="0"/>
    <s v="Q4"/>
    <x v="35"/>
    <x v="5"/>
    <x v="1"/>
    <s v="Bengaluru"/>
    <x v="4"/>
    <x v="2"/>
    <x v="8"/>
    <n v="1808.66"/>
    <n v="15"/>
    <x v="582"/>
    <n v="4.2"/>
    <x v="582"/>
    <n v="38.700000000000003"/>
    <n v="10058.299999999999"/>
    <x v="1"/>
  </r>
  <r>
    <s v="ORD-2026-0584"/>
    <s v="2026-03-07"/>
    <x v="9"/>
    <s v="Q1"/>
    <x v="3"/>
    <x v="3"/>
    <x v="3"/>
    <s v="Ahmedabad"/>
    <x v="2"/>
    <x v="0"/>
    <x v="7"/>
    <n v="6183.79"/>
    <n v="10"/>
    <x v="583"/>
    <n v="16.8"/>
    <x v="583"/>
    <n v="34.700000000000003"/>
    <n v="17852.849999999999"/>
    <x v="1"/>
  </r>
  <r>
    <s v="ORD-2026-0585"/>
    <s v="2026-07-15"/>
    <x v="5"/>
    <s v="Q3"/>
    <x v="27"/>
    <x v="3"/>
    <x v="4"/>
    <s v="Chandigarh"/>
    <x v="3"/>
    <x v="0"/>
    <x v="1"/>
    <n v="4774.75"/>
    <n v="2"/>
    <x v="584"/>
    <n v="12.7"/>
    <x v="584"/>
    <n v="26.9"/>
    <n v="2242.5700000000002"/>
    <x v="1"/>
  </r>
  <r>
    <s v="ORD-2026-0586"/>
    <s v="2026-02-24"/>
    <x v="6"/>
    <s v="Q1"/>
    <x v="33"/>
    <x v="3"/>
    <x v="3"/>
    <s v="Mumbai"/>
    <x v="1"/>
    <x v="2"/>
    <x v="1"/>
    <n v="7740.3"/>
    <n v="5"/>
    <x v="585"/>
    <n v="23.8"/>
    <x v="585"/>
    <n v="28.3"/>
    <n v="8345.82"/>
    <x v="1"/>
  </r>
  <r>
    <s v="ORD-2026-0587"/>
    <s v="2026-08-06"/>
    <x v="8"/>
    <s v="Q3"/>
    <x v="20"/>
    <x v="1"/>
    <x v="4"/>
    <s v="Jaipur"/>
    <x v="1"/>
    <x v="3"/>
    <x v="3"/>
    <n v="5453.18"/>
    <n v="17"/>
    <x v="586"/>
    <n v="16.3"/>
    <x v="586"/>
    <n v="32.1"/>
    <n v="24907.45"/>
    <x v="1"/>
  </r>
  <r>
    <s v="ORD-2026-0588"/>
    <s v="2026-10-28"/>
    <x v="2"/>
    <s v="Q4"/>
    <x v="14"/>
    <x v="2"/>
    <x v="0"/>
    <s v="Bhubaneswar"/>
    <x v="0"/>
    <x v="2"/>
    <x v="9"/>
    <n v="1379.87"/>
    <n v="18"/>
    <x v="587"/>
    <n v="20.5"/>
    <x v="587"/>
    <n v="19.100000000000001"/>
    <n v="3771.47"/>
    <x v="1"/>
  </r>
  <r>
    <s v="ORD-2026-0589"/>
    <s v="2026-09-29"/>
    <x v="3"/>
    <s v="Q3"/>
    <x v="18"/>
    <x v="3"/>
    <x v="3"/>
    <s v="Mumbai"/>
    <x v="2"/>
    <x v="2"/>
    <x v="9"/>
    <n v="2442.67"/>
    <n v="15"/>
    <x v="588"/>
    <n v="10.3"/>
    <x v="588"/>
    <n v="43.9"/>
    <n v="14428.23"/>
    <x v="2"/>
  </r>
  <r>
    <s v="ORD-2026-0590"/>
    <s v="2026-07-21"/>
    <x v="5"/>
    <s v="Q3"/>
    <x v="4"/>
    <x v="4"/>
    <x v="3"/>
    <s v="Pune"/>
    <x v="4"/>
    <x v="0"/>
    <x v="8"/>
    <n v="2695.65"/>
    <n v="20"/>
    <x v="589"/>
    <n v="7.1"/>
    <x v="589"/>
    <n v="59.5"/>
    <n v="29800.68"/>
    <x v="3"/>
  </r>
  <r>
    <s v="ORD-2026-0591"/>
    <s v="2026-12-31"/>
    <x v="1"/>
    <s v="Q4"/>
    <x v="3"/>
    <x v="3"/>
    <x v="1"/>
    <s v="Bengaluru"/>
    <x v="1"/>
    <x v="2"/>
    <x v="0"/>
    <n v="4019.61"/>
    <n v="15"/>
    <x v="590"/>
    <n v="13.7"/>
    <x v="590"/>
    <n v="24.3"/>
    <n v="12644.23"/>
    <x v="1"/>
  </r>
  <r>
    <s v="ORD-2026-0592"/>
    <s v="2026-10-03"/>
    <x v="2"/>
    <s v="Q4"/>
    <x v="1"/>
    <x v="1"/>
    <x v="0"/>
    <s v="Kolkata"/>
    <x v="1"/>
    <x v="0"/>
    <x v="3"/>
    <n v="26205.96"/>
    <n v="18"/>
    <x v="591"/>
    <n v="13.9"/>
    <x v="591"/>
    <n v="48"/>
    <n v="194947.19"/>
    <x v="1"/>
  </r>
  <r>
    <s v="ORD-2026-0593"/>
    <s v="2026-05-26"/>
    <x v="11"/>
    <s v="Q2"/>
    <x v="36"/>
    <x v="4"/>
    <x v="2"/>
    <s v="Nagpur"/>
    <x v="3"/>
    <x v="0"/>
    <x v="1"/>
    <n v="892.37"/>
    <n v="9"/>
    <x v="592"/>
    <n v="14.5"/>
    <x v="592"/>
    <n v="71.2"/>
    <n v="4889.1499999999996"/>
    <x v="1"/>
  </r>
  <r>
    <s v="ORD-2026-0594"/>
    <s v="2026-11-15"/>
    <x v="0"/>
    <s v="Q4"/>
    <x v="22"/>
    <x v="3"/>
    <x v="4"/>
    <s v="Jaipur"/>
    <x v="3"/>
    <x v="2"/>
    <x v="1"/>
    <n v="8205.44"/>
    <n v="14"/>
    <x v="593"/>
    <n v="11.9"/>
    <x v="593"/>
    <n v="45.5"/>
    <n v="46048.68"/>
    <x v="1"/>
  </r>
  <r>
    <s v="ORD-2026-0595"/>
    <s v="2026-03-27"/>
    <x v="9"/>
    <s v="Q1"/>
    <x v="4"/>
    <x v="4"/>
    <x v="1"/>
    <s v="Bengaluru"/>
    <x v="3"/>
    <x v="0"/>
    <x v="2"/>
    <n v="2967.66"/>
    <n v="22"/>
    <x v="594"/>
    <n v="4.2"/>
    <x v="594"/>
    <n v="50.7"/>
    <n v="31711.02"/>
    <x v="1"/>
  </r>
  <r>
    <s v="ORD-2026-0596"/>
    <s v="2026-05-09"/>
    <x v="11"/>
    <s v="Q2"/>
    <x v="16"/>
    <x v="0"/>
    <x v="0"/>
    <s v="Patna"/>
    <x v="4"/>
    <x v="2"/>
    <x v="2"/>
    <n v="38003.03"/>
    <n v="16"/>
    <x v="595"/>
    <n v="5.6"/>
    <x v="595"/>
    <n v="28.3"/>
    <n v="162441.37"/>
    <x v="2"/>
  </r>
  <r>
    <s v="ORD-2026-0597"/>
    <s v="2026-05-09"/>
    <x v="11"/>
    <s v="Q2"/>
    <x v="9"/>
    <x v="1"/>
    <x v="3"/>
    <s v="Surat"/>
    <x v="4"/>
    <x v="2"/>
    <x v="9"/>
    <n v="20873.830000000002"/>
    <n v="22"/>
    <x v="596"/>
    <n v="9.6"/>
    <x v="596"/>
    <n v="36.700000000000003"/>
    <n v="152355.91"/>
    <x v="1"/>
  </r>
  <r>
    <s v="ORD-2026-0598"/>
    <s v="2026-12-13"/>
    <x v="1"/>
    <s v="Q4"/>
    <x v="24"/>
    <x v="5"/>
    <x v="4"/>
    <s v="Jaipur"/>
    <x v="4"/>
    <x v="3"/>
    <x v="2"/>
    <n v="1791.52"/>
    <n v="1"/>
    <x v="597"/>
    <n v="5"/>
    <x v="597"/>
    <n v="53.6"/>
    <n v="912.24"/>
    <x v="0"/>
  </r>
  <r>
    <s v="ORD-2026-0599"/>
    <s v="2026-01-20"/>
    <x v="7"/>
    <s v="Q1"/>
    <x v="36"/>
    <x v="4"/>
    <x v="4"/>
    <s v="Chandigarh"/>
    <x v="0"/>
    <x v="0"/>
    <x v="2"/>
    <n v="1248.42"/>
    <n v="20"/>
    <x v="598"/>
    <n v="14.9"/>
    <x v="598"/>
    <n v="60.9"/>
    <n v="12940.1"/>
    <x v="1"/>
  </r>
  <r>
    <s v="ORD-2026-0600"/>
    <s v="2026-04-24"/>
    <x v="4"/>
    <s v="Q2"/>
    <x v="7"/>
    <x v="0"/>
    <x v="0"/>
    <s v="Guwahati"/>
    <x v="2"/>
    <x v="2"/>
    <x v="9"/>
    <n v="10150.129999999999"/>
    <n v="2"/>
    <x v="599"/>
    <n v="19.5"/>
    <x v="599"/>
    <n v="30.3"/>
    <n v="4951.54"/>
    <x v="0"/>
  </r>
  <r>
    <s v="ORD-2026-0601"/>
    <s v="2026-09-29"/>
    <x v="3"/>
    <s v="Q3"/>
    <x v="28"/>
    <x v="0"/>
    <x v="2"/>
    <s v="Raipur"/>
    <x v="3"/>
    <x v="3"/>
    <x v="3"/>
    <n v="82860.42"/>
    <n v="19"/>
    <x v="600"/>
    <n v="19.899999999999999"/>
    <x v="600"/>
    <n v="24.1"/>
    <n v="303913.71000000002"/>
    <x v="1"/>
  </r>
  <r>
    <s v="ORD-2026-0602"/>
    <s v="2026-11-12"/>
    <x v="0"/>
    <s v="Q4"/>
    <x v="28"/>
    <x v="0"/>
    <x v="0"/>
    <s v="Patna"/>
    <x v="4"/>
    <x v="3"/>
    <x v="5"/>
    <n v="68192.490000000005"/>
    <n v="3"/>
    <x v="601"/>
    <n v="14.2"/>
    <x v="601"/>
    <n v="19.7"/>
    <n v="34578.910000000003"/>
    <x v="3"/>
  </r>
  <r>
    <s v="ORD-2026-0603"/>
    <s v="2026-07-08"/>
    <x v="5"/>
    <s v="Q3"/>
    <x v="41"/>
    <x v="5"/>
    <x v="4"/>
    <s v="Delhi"/>
    <x v="2"/>
    <x v="1"/>
    <x v="5"/>
    <n v="3995.68"/>
    <n v="16"/>
    <x v="602"/>
    <n v="9.4"/>
    <x v="602"/>
    <n v="52.7"/>
    <n v="30524.57"/>
    <x v="1"/>
  </r>
  <r>
    <s v="ORD-2026-0604"/>
    <s v="2026-02-05"/>
    <x v="6"/>
    <s v="Q1"/>
    <x v="17"/>
    <x v="4"/>
    <x v="4"/>
    <s v="Chandigarh"/>
    <x v="4"/>
    <x v="3"/>
    <x v="4"/>
    <n v="3297.07"/>
    <n v="13"/>
    <x v="603"/>
    <n v="10.9"/>
    <x v="603"/>
    <n v="56.6"/>
    <n v="21615.52"/>
    <x v="1"/>
  </r>
  <r>
    <s v="ORD-2026-0605"/>
    <s v="2026-01-06"/>
    <x v="7"/>
    <s v="Q1"/>
    <x v="7"/>
    <x v="0"/>
    <x v="2"/>
    <s v="Raipur"/>
    <x v="4"/>
    <x v="0"/>
    <x v="5"/>
    <n v="37028.949999999997"/>
    <n v="4"/>
    <x v="604"/>
    <n v="24.5"/>
    <x v="604"/>
    <n v="32"/>
    <n v="35784.78"/>
    <x v="1"/>
  </r>
  <r>
    <s v="ORD-2026-0606"/>
    <s v="2026-10-13"/>
    <x v="2"/>
    <s v="Q4"/>
    <x v="3"/>
    <x v="3"/>
    <x v="1"/>
    <s v="Kochi"/>
    <x v="3"/>
    <x v="1"/>
    <x v="8"/>
    <n v="1158.33"/>
    <n v="21"/>
    <x v="605"/>
    <n v="20.9"/>
    <x v="605"/>
    <n v="22.3"/>
    <n v="4290.75"/>
    <x v="1"/>
  </r>
  <r>
    <s v="ORD-2026-0607"/>
    <s v="2026-06-27"/>
    <x v="10"/>
    <s v="Q2"/>
    <x v="9"/>
    <x v="1"/>
    <x v="4"/>
    <s v="Delhi"/>
    <x v="0"/>
    <x v="3"/>
    <x v="7"/>
    <n v="38549.919999999998"/>
    <n v="17"/>
    <x v="606"/>
    <n v="24"/>
    <x v="606"/>
    <n v="42.5"/>
    <n v="211677.61"/>
    <x v="0"/>
  </r>
  <r>
    <s v="ORD-2026-0608"/>
    <s v="2026-03-12"/>
    <x v="9"/>
    <s v="Q1"/>
    <x v="37"/>
    <x v="1"/>
    <x v="1"/>
    <s v="Hyderabad"/>
    <x v="4"/>
    <x v="2"/>
    <x v="2"/>
    <n v="16546.14"/>
    <n v="11"/>
    <x v="607"/>
    <n v="6.6"/>
    <x v="607"/>
    <n v="50"/>
    <n v="84997.52"/>
    <x v="1"/>
  </r>
  <r>
    <s v="ORD-2026-0609"/>
    <s v="2026-08-19"/>
    <x v="8"/>
    <s v="Q3"/>
    <x v="37"/>
    <x v="1"/>
    <x v="4"/>
    <s v="Chandigarh"/>
    <x v="3"/>
    <x v="1"/>
    <x v="9"/>
    <n v="3953.33"/>
    <n v="10"/>
    <x v="608"/>
    <n v="12.8"/>
    <x v="608"/>
    <n v="48.3"/>
    <n v="16650.48"/>
    <x v="1"/>
  </r>
  <r>
    <s v="ORD-2026-0610"/>
    <s v="2026-10-07"/>
    <x v="2"/>
    <s v="Q4"/>
    <x v="29"/>
    <x v="3"/>
    <x v="1"/>
    <s v="Bengaluru"/>
    <x v="2"/>
    <x v="1"/>
    <x v="5"/>
    <n v="4867.51"/>
    <n v="24"/>
    <x v="609"/>
    <n v="1.8"/>
    <x v="609"/>
    <n v="29.2"/>
    <n v="33497.5"/>
    <x v="1"/>
  </r>
  <r>
    <s v="ORD-2026-0611"/>
    <s v="2026-11-23"/>
    <x v="0"/>
    <s v="Q4"/>
    <x v="10"/>
    <x v="1"/>
    <x v="3"/>
    <s v="Ahmedabad"/>
    <x v="2"/>
    <x v="0"/>
    <x v="3"/>
    <n v="26086.03"/>
    <n v="3"/>
    <x v="610"/>
    <n v="5.3"/>
    <x v="610"/>
    <n v="30.9"/>
    <n v="22900.12"/>
    <x v="0"/>
  </r>
  <r>
    <s v="ORD-2026-0612"/>
    <s v="2026-03-26"/>
    <x v="9"/>
    <s v="Q1"/>
    <x v="37"/>
    <x v="1"/>
    <x v="0"/>
    <s v="Guwahati"/>
    <x v="1"/>
    <x v="2"/>
    <x v="9"/>
    <n v="34432.01"/>
    <n v="8"/>
    <x v="611"/>
    <n v="17.8"/>
    <x v="611"/>
    <n v="48.5"/>
    <n v="109816.08"/>
    <x v="1"/>
  </r>
  <r>
    <s v="ORD-2026-0613"/>
    <s v="2026-09-06"/>
    <x v="3"/>
    <s v="Q3"/>
    <x v="29"/>
    <x v="3"/>
    <x v="3"/>
    <s v="Surat"/>
    <x v="3"/>
    <x v="2"/>
    <x v="7"/>
    <n v="1380.21"/>
    <n v="20"/>
    <x v="612"/>
    <n v="22.2"/>
    <x v="612"/>
    <n v="35.6"/>
    <n v="7645.48"/>
    <x v="1"/>
  </r>
  <r>
    <s v="ORD-2026-0614"/>
    <s v="2026-09-09"/>
    <x v="3"/>
    <s v="Q3"/>
    <x v="22"/>
    <x v="3"/>
    <x v="0"/>
    <s v="Kolkata"/>
    <x v="1"/>
    <x v="0"/>
    <x v="8"/>
    <n v="5815.23"/>
    <n v="22"/>
    <x v="613"/>
    <n v="19.3"/>
    <x v="613"/>
    <n v="46.1"/>
    <n v="47595.29"/>
    <x v="1"/>
  </r>
  <r>
    <s v="ORD-2026-0615"/>
    <s v="2026-12-02"/>
    <x v="1"/>
    <s v="Q4"/>
    <x v="22"/>
    <x v="3"/>
    <x v="0"/>
    <s v="Kolkata"/>
    <x v="4"/>
    <x v="1"/>
    <x v="2"/>
    <n v="7519.88"/>
    <n v="20"/>
    <x v="614"/>
    <n v="23.2"/>
    <x v="614"/>
    <n v="40"/>
    <n v="46202.14"/>
    <x v="2"/>
  </r>
  <r>
    <s v="ORD-2026-0616"/>
    <s v="2026-11-13"/>
    <x v="0"/>
    <s v="Q4"/>
    <x v="39"/>
    <x v="1"/>
    <x v="4"/>
    <s v="Chandigarh"/>
    <x v="0"/>
    <x v="3"/>
    <x v="0"/>
    <n v="6883.13"/>
    <n v="3"/>
    <x v="615"/>
    <n v="21.4"/>
    <x v="615"/>
    <n v="48.4"/>
    <n v="7855.52"/>
    <x v="1"/>
  </r>
  <r>
    <s v="ORD-2026-0617"/>
    <s v="2026-10-18"/>
    <x v="2"/>
    <s v="Q4"/>
    <x v="15"/>
    <x v="2"/>
    <x v="2"/>
    <s v="Raipur"/>
    <x v="4"/>
    <x v="2"/>
    <x v="7"/>
    <n v="1454.31"/>
    <n v="10"/>
    <x v="616"/>
    <n v="1"/>
    <x v="616"/>
    <n v="18.899999999999999"/>
    <n v="2721.16"/>
    <x v="1"/>
  </r>
  <r>
    <s v="ORD-2026-0618"/>
    <s v="2026-04-15"/>
    <x v="4"/>
    <s v="Q2"/>
    <x v="2"/>
    <x v="2"/>
    <x v="2"/>
    <s v="Indore"/>
    <x v="0"/>
    <x v="1"/>
    <x v="7"/>
    <n v="1435.71"/>
    <n v="24"/>
    <x v="617"/>
    <n v="11"/>
    <x v="617"/>
    <n v="27.8"/>
    <n v="8525.36"/>
    <x v="2"/>
  </r>
  <r>
    <s v="ORD-2026-0619"/>
    <s v="2026-05-19"/>
    <x v="11"/>
    <s v="Q2"/>
    <x v="15"/>
    <x v="2"/>
    <x v="4"/>
    <s v="Jaipur"/>
    <x v="3"/>
    <x v="3"/>
    <x v="6"/>
    <n v="1050.22"/>
    <n v="13"/>
    <x v="618"/>
    <n v="21.8"/>
    <x v="618"/>
    <n v="40.4"/>
    <n v="4313.32"/>
    <x v="1"/>
  </r>
  <r>
    <s v="ORD-2026-0620"/>
    <s v="2026-03-20"/>
    <x v="9"/>
    <s v="Q1"/>
    <x v="28"/>
    <x v="0"/>
    <x v="2"/>
    <s v="Raipur"/>
    <x v="1"/>
    <x v="2"/>
    <x v="5"/>
    <n v="66191.23"/>
    <n v="23"/>
    <x v="619"/>
    <n v="7.7"/>
    <x v="619"/>
    <n v="14.6"/>
    <n v="205155.35"/>
    <x v="1"/>
  </r>
  <r>
    <s v="ORD-2026-0621"/>
    <s v="2026-07-04"/>
    <x v="5"/>
    <s v="Q3"/>
    <x v="27"/>
    <x v="3"/>
    <x v="3"/>
    <s v="Ahmedabad"/>
    <x v="3"/>
    <x v="2"/>
    <x v="6"/>
    <n v="2464.83"/>
    <n v="7"/>
    <x v="620"/>
    <n v="0.2"/>
    <x v="620"/>
    <n v="25.8"/>
    <n v="4442.58"/>
    <x v="1"/>
  </r>
  <r>
    <s v="ORD-2026-0622"/>
    <s v="2026-03-01"/>
    <x v="9"/>
    <s v="Q1"/>
    <x v="29"/>
    <x v="3"/>
    <x v="2"/>
    <s v="Nagpur"/>
    <x v="4"/>
    <x v="3"/>
    <x v="8"/>
    <n v="3960.74"/>
    <n v="5"/>
    <x v="621"/>
    <n v="17.7"/>
    <x v="621"/>
    <n v="37.700000000000003"/>
    <n v="6144.52"/>
    <x v="3"/>
  </r>
  <r>
    <s v="ORD-2026-0623"/>
    <s v="2026-10-11"/>
    <x v="2"/>
    <s v="Q4"/>
    <x v="19"/>
    <x v="0"/>
    <x v="0"/>
    <s v="Patna"/>
    <x v="0"/>
    <x v="3"/>
    <x v="8"/>
    <n v="16448.09"/>
    <n v="7"/>
    <x v="622"/>
    <n v="7.5"/>
    <x v="622"/>
    <n v="27.8"/>
    <n v="29607.38"/>
    <x v="1"/>
  </r>
  <r>
    <s v="ORD-2026-0624"/>
    <s v="2026-10-16"/>
    <x v="2"/>
    <s v="Q4"/>
    <x v="18"/>
    <x v="3"/>
    <x v="3"/>
    <s v="Ahmedabad"/>
    <x v="3"/>
    <x v="2"/>
    <x v="9"/>
    <n v="1241.1500000000001"/>
    <n v="8"/>
    <x v="623"/>
    <n v="9.1"/>
    <x v="623"/>
    <n v="25.6"/>
    <n v="2310.56"/>
    <x v="1"/>
  </r>
  <r>
    <s v="ORD-2026-0625"/>
    <s v="2026-12-18"/>
    <x v="1"/>
    <s v="Q4"/>
    <x v="0"/>
    <x v="0"/>
    <x v="2"/>
    <s v="Raipur"/>
    <x v="0"/>
    <x v="0"/>
    <x v="7"/>
    <n v="42851.39"/>
    <n v="4"/>
    <x v="624"/>
    <n v="13.5"/>
    <x v="624"/>
    <n v="27.9"/>
    <n v="41366.160000000003"/>
    <x v="1"/>
  </r>
  <r>
    <s v="ORD-2026-0626"/>
    <s v="2026-03-13"/>
    <x v="9"/>
    <s v="Q1"/>
    <x v="31"/>
    <x v="4"/>
    <x v="3"/>
    <s v="Surat"/>
    <x v="2"/>
    <x v="3"/>
    <x v="2"/>
    <n v="1861.05"/>
    <n v="5"/>
    <x v="625"/>
    <n v="10"/>
    <x v="625"/>
    <n v="71.5"/>
    <n v="5987.93"/>
    <x v="2"/>
  </r>
  <r>
    <s v="ORD-2026-0627"/>
    <s v="2026-05-18"/>
    <x v="11"/>
    <s v="Q2"/>
    <x v="18"/>
    <x v="3"/>
    <x v="1"/>
    <s v="Kochi"/>
    <x v="4"/>
    <x v="2"/>
    <x v="9"/>
    <n v="961.64"/>
    <n v="3"/>
    <x v="626"/>
    <n v="6.8"/>
    <x v="626"/>
    <n v="39.6"/>
    <n v="1064.74"/>
    <x v="1"/>
  </r>
  <r>
    <s v="ORD-2026-0628"/>
    <s v="2026-03-15"/>
    <x v="9"/>
    <s v="Q1"/>
    <x v="21"/>
    <x v="5"/>
    <x v="3"/>
    <s v="Ahmedabad"/>
    <x v="4"/>
    <x v="2"/>
    <x v="6"/>
    <n v="4521.1400000000003"/>
    <n v="2"/>
    <x v="627"/>
    <n v="10.4"/>
    <x v="627"/>
    <n v="60.8"/>
    <n v="4925.9399999999996"/>
    <x v="1"/>
  </r>
  <r>
    <s v="ORD-2026-0629"/>
    <s v="2026-08-14"/>
    <x v="8"/>
    <s v="Q3"/>
    <x v="29"/>
    <x v="3"/>
    <x v="0"/>
    <s v="Guwahati"/>
    <x v="2"/>
    <x v="1"/>
    <x v="0"/>
    <n v="7045.21"/>
    <n v="7"/>
    <x v="628"/>
    <n v="3.7"/>
    <x v="628"/>
    <n v="28.9"/>
    <n v="13725.12"/>
    <x v="1"/>
  </r>
  <r>
    <s v="ORD-2026-0630"/>
    <s v="2026-10-27"/>
    <x v="2"/>
    <s v="Q4"/>
    <x v="16"/>
    <x v="0"/>
    <x v="3"/>
    <s v="Mumbai"/>
    <x v="2"/>
    <x v="0"/>
    <x v="2"/>
    <n v="71401.39"/>
    <n v="12"/>
    <x v="629"/>
    <n v="14.3"/>
    <x v="629"/>
    <n v="30.4"/>
    <n v="223224.73"/>
    <x v="1"/>
  </r>
  <r>
    <s v="ORD-2026-0631"/>
    <s v="2026-07-19"/>
    <x v="5"/>
    <s v="Q3"/>
    <x v="1"/>
    <x v="1"/>
    <x v="3"/>
    <s v="Mumbai"/>
    <x v="4"/>
    <x v="0"/>
    <x v="3"/>
    <n v="42395.18"/>
    <n v="25"/>
    <x v="630"/>
    <n v="10"/>
    <x v="630"/>
    <n v="48.7"/>
    <n v="464545.18"/>
    <x v="0"/>
  </r>
  <r>
    <s v="ORD-2026-0632"/>
    <s v="2026-10-19"/>
    <x v="2"/>
    <s v="Q4"/>
    <x v="9"/>
    <x v="1"/>
    <x v="0"/>
    <s v="Guwahati"/>
    <x v="3"/>
    <x v="3"/>
    <x v="3"/>
    <n v="14388.93"/>
    <n v="13"/>
    <x v="631"/>
    <n v="15.8"/>
    <x v="631"/>
    <n v="43.6"/>
    <n v="68670.539999999994"/>
    <x v="1"/>
  </r>
  <r>
    <s v="ORD-2026-0633"/>
    <s v="2026-10-24"/>
    <x v="2"/>
    <s v="Q4"/>
    <x v="32"/>
    <x v="5"/>
    <x v="2"/>
    <s v="Indore"/>
    <x v="4"/>
    <x v="3"/>
    <x v="9"/>
    <n v="1168.6300000000001"/>
    <n v="15"/>
    <x v="632"/>
    <n v="1.3"/>
    <x v="632"/>
    <n v="49.6"/>
    <n v="8581.58"/>
    <x v="1"/>
  </r>
  <r>
    <s v="ORD-2026-0634"/>
    <s v="2026-02-04"/>
    <x v="6"/>
    <s v="Q1"/>
    <x v="3"/>
    <x v="3"/>
    <x v="2"/>
    <s v="Bhopal"/>
    <x v="4"/>
    <x v="0"/>
    <x v="8"/>
    <n v="3600.87"/>
    <n v="12"/>
    <x v="633"/>
    <n v="11.2"/>
    <x v="633"/>
    <n v="24.1"/>
    <n v="9247.3799999999992"/>
    <x v="0"/>
  </r>
  <r>
    <s v="ORD-2026-0635"/>
    <s v="2026-08-01"/>
    <x v="8"/>
    <s v="Q3"/>
    <x v="12"/>
    <x v="4"/>
    <x v="3"/>
    <s v="Ahmedabad"/>
    <x v="0"/>
    <x v="0"/>
    <x v="7"/>
    <n v="2270.5100000000002"/>
    <n v="5"/>
    <x v="634"/>
    <n v="8"/>
    <x v="634"/>
    <n v="48.2"/>
    <n v="5034.18"/>
    <x v="0"/>
  </r>
  <r>
    <s v="ORD-2026-0636"/>
    <s v="2026-08-20"/>
    <x v="8"/>
    <s v="Q3"/>
    <x v="35"/>
    <x v="5"/>
    <x v="3"/>
    <s v="Mumbai"/>
    <x v="4"/>
    <x v="2"/>
    <x v="7"/>
    <n v="4320.74"/>
    <n v="5"/>
    <x v="635"/>
    <n v="12.2"/>
    <x v="635"/>
    <n v="49.5"/>
    <n v="9389.18"/>
    <x v="1"/>
  </r>
  <r>
    <s v="ORD-2026-0637"/>
    <s v="2026-09-02"/>
    <x v="3"/>
    <s v="Q3"/>
    <x v="1"/>
    <x v="1"/>
    <x v="3"/>
    <s v="Surat"/>
    <x v="1"/>
    <x v="3"/>
    <x v="2"/>
    <n v="28153.84"/>
    <n v="15"/>
    <x v="636"/>
    <n v="23.8"/>
    <x v="636"/>
    <n v="35.200000000000003"/>
    <n v="113273.03"/>
    <x v="1"/>
  </r>
  <r>
    <s v="ORD-2026-0638"/>
    <s v="2026-07-04"/>
    <x v="5"/>
    <s v="Q3"/>
    <x v="0"/>
    <x v="0"/>
    <x v="2"/>
    <s v="Bhopal"/>
    <x v="1"/>
    <x v="2"/>
    <x v="0"/>
    <n v="36535.03"/>
    <n v="17"/>
    <x v="637"/>
    <n v="15.8"/>
    <x v="637"/>
    <n v="23.3"/>
    <n v="121850.24000000001"/>
    <x v="2"/>
  </r>
  <r>
    <s v="ORD-2026-0639"/>
    <s v="2026-09-26"/>
    <x v="3"/>
    <s v="Q3"/>
    <x v="8"/>
    <x v="3"/>
    <x v="0"/>
    <s v="Bhubaneswar"/>
    <x v="3"/>
    <x v="1"/>
    <x v="6"/>
    <n v="4149.8"/>
    <n v="14"/>
    <x v="638"/>
    <n v="6.9"/>
    <x v="638"/>
    <n v="33.799999999999997"/>
    <n v="18281.91"/>
    <x v="0"/>
  </r>
  <r>
    <s v="ORD-2026-0640"/>
    <s v="2026-01-26"/>
    <x v="7"/>
    <s v="Q1"/>
    <x v="14"/>
    <x v="2"/>
    <x v="0"/>
    <s v="Bhubaneswar"/>
    <x v="3"/>
    <x v="3"/>
    <x v="9"/>
    <n v="541.58000000000004"/>
    <n v="18"/>
    <x v="639"/>
    <n v="10.6"/>
    <x v="639"/>
    <n v="33.4"/>
    <n v="2910.85"/>
    <x v="1"/>
  </r>
  <r>
    <s v="ORD-2026-0641"/>
    <s v="2026-08-16"/>
    <x v="8"/>
    <s v="Q3"/>
    <x v="8"/>
    <x v="3"/>
    <x v="2"/>
    <s v="Indore"/>
    <x v="1"/>
    <x v="0"/>
    <x v="5"/>
    <n v="1109.25"/>
    <n v="3"/>
    <x v="640"/>
    <n v="11.1"/>
    <x v="640"/>
    <n v="26.7"/>
    <n v="789.88"/>
    <x v="2"/>
  </r>
  <r>
    <s v="ORD-2026-0642"/>
    <s v="2026-01-27"/>
    <x v="7"/>
    <s v="Q1"/>
    <x v="34"/>
    <x v="5"/>
    <x v="1"/>
    <s v="Kochi"/>
    <x v="1"/>
    <x v="1"/>
    <x v="2"/>
    <n v="3422.59"/>
    <n v="5"/>
    <x v="641"/>
    <n v="21.5"/>
    <x v="641"/>
    <n v="41.1"/>
    <n v="5521.24"/>
    <x v="1"/>
  </r>
  <r>
    <s v="ORD-2026-0643"/>
    <s v="2026-06-12"/>
    <x v="10"/>
    <s v="Q2"/>
    <x v="36"/>
    <x v="4"/>
    <x v="2"/>
    <s v="Nagpur"/>
    <x v="3"/>
    <x v="0"/>
    <x v="1"/>
    <n v="2763.27"/>
    <n v="23"/>
    <x v="642"/>
    <n v="9.8000000000000007"/>
    <x v="642"/>
    <n v="69.099999999999994"/>
    <n v="39612.82"/>
    <x v="2"/>
  </r>
  <r>
    <s v="ORD-2026-0644"/>
    <s v="2026-03-29"/>
    <x v="9"/>
    <s v="Q1"/>
    <x v="9"/>
    <x v="1"/>
    <x v="3"/>
    <s v="Pune"/>
    <x v="3"/>
    <x v="3"/>
    <x v="7"/>
    <n v="4026.37"/>
    <n v="6"/>
    <x v="643"/>
    <n v="21.8"/>
    <x v="643"/>
    <n v="34"/>
    <n v="6423.19"/>
    <x v="2"/>
  </r>
  <r>
    <s v="ORD-2026-0645"/>
    <s v="2026-07-05"/>
    <x v="5"/>
    <s v="Q3"/>
    <x v="33"/>
    <x v="3"/>
    <x v="1"/>
    <s v="Hyderabad"/>
    <x v="0"/>
    <x v="2"/>
    <x v="9"/>
    <n v="5754.71"/>
    <n v="20"/>
    <x v="644"/>
    <n v="2.2999999999999998"/>
    <x v="644"/>
    <n v="32.9"/>
    <n v="36995.07"/>
    <x v="1"/>
  </r>
  <r>
    <s v="ORD-2026-0646"/>
    <s v="2026-11-10"/>
    <x v="0"/>
    <s v="Q4"/>
    <x v="32"/>
    <x v="5"/>
    <x v="1"/>
    <s v="Kochi"/>
    <x v="3"/>
    <x v="1"/>
    <x v="5"/>
    <n v="1541.67"/>
    <n v="5"/>
    <x v="645"/>
    <n v="23.2"/>
    <x v="645"/>
    <n v="53.1"/>
    <n v="3143.53"/>
    <x v="1"/>
  </r>
  <r>
    <s v="ORD-2026-0647"/>
    <s v="2026-05-02"/>
    <x v="11"/>
    <s v="Q2"/>
    <x v="11"/>
    <x v="2"/>
    <x v="0"/>
    <s v="Bhubaneswar"/>
    <x v="4"/>
    <x v="3"/>
    <x v="5"/>
    <n v="1027.02"/>
    <n v="6"/>
    <x v="646"/>
    <n v="15.7"/>
    <x v="646"/>
    <n v="39.5"/>
    <n v="2051.89"/>
    <x v="0"/>
  </r>
  <r>
    <s v="ORD-2026-0648"/>
    <s v="2026-03-29"/>
    <x v="9"/>
    <s v="Q1"/>
    <x v="33"/>
    <x v="3"/>
    <x v="0"/>
    <s v="Guwahati"/>
    <x v="4"/>
    <x v="2"/>
    <x v="3"/>
    <n v="3577.08"/>
    <n v="17"/>
    <x v="647"/>
    <n v="4.9000000000000004"/>
    <x v="647"/>
    <n v="32.6"/>
    <n v="18852.79"/>
    <x v="1"/>
  </r>
  <r>
    <s v="ORD-2026-0649"/>
    <s v="2026-08-20"/>
    <x v="8"/>
    <s v="Q3"/>
    <x v="15"/>
    <x v="2"/>
    <x v="3"/>
    <s v="Ahmedabad"/>
    <x v="0"/>
    <x v="3"/>
    <x v="2"/>
    <n v="1341.73"/>
    <n v="12"/>
    <x v="648"/>
    <n v="16.399999999999999"/>
    <x v="648"/>
    <n v="24.7"/>
    <n v="3324.68"/>
    <x v="1"/>
  </r>
  <r>
    <s v="ORD-2026-0650"/>
    <s v="2026-01-19"/>
    <x v="7"/>
    <s v="Q1"/>
    <x v="8"/>
    <x v="3"/>
    <x v="2"/>
    <s v="Raipur"/>
    <x v="0"/>
    <x v="2"/>
    <x v="9"/>
    <n v="6244.26"/>
    <n v="12"/>
    <x v="649"/>
    <n v="18.100000000000001"/>
    <x v="649"/>
    <n v="32.4"/>
    <n v="19883.419999999998"/>
    <x v="1"/>
  </r>
  <r>
    <s v="ORD-2026-0651"/>
    <s v="2026-07-26"/>
    <x v="5"/>
    <s v="Q3"/>
    <x v="14"/>
    <x v="2"/>
    <x v="0"/>
    <s v="Patna"/>
    <x v="2"/>
    <x v="2"/>
    <x v="9"/>
    <n v="1452.07"/>
    <n v="19"/>
    <x v="650"/>
    <n v="11.1"/>
    <x v="650"/>
    <n v="20.2"/>
    <n v="4954.4399999999996"/>
    <x v="1"/>
  </r>
  <r>
    <s v="ORD-2026-0652"/>
    <s v="2026-07-18"/>
    <x v="5"/>
    <s v="Q3"/>
    <x v="4"/>
    <x v="4"/>
    <x v="4"/>
    <s v="Delhi"/>
    <x v="2"/>
    <x v="2"/>
    <x v="9"/>
    <n v="2888.5"/>
    <n v="7"/>
    <x v="651"/>
    <n v="6.9"/>
    <x v="651"/>
    <n v="48.9"/>
    <n v="9205.11"/>
    <x v="1"/>
  </r>
  <r>
    <s v="ORD-2026-0653"/>
    <s v="2026-04-20"/>
    <x v="4"/>
    <s v="Q2"/>
    <x v="4"/>
    <x v="4"/>
    <x v="0"/>
    <s v="Patna"/>
    <x v="2"/>
    <x v="0"/>
    <x v="9"/>
    <n v="3067.38"/>
    <n v="7"/>
    <x v="652"/>
    <n v="16.7"/>
    <x v="652"/>
    <n v="60"/>
    <n v="10731.53"/>
    <x v="1"/>
  </r>
  <r>
    <s v="ORD-2026-0654"/>
    <s v="2026-06-17"/>
    <x v="10"/>
    <s v="Q2"/>
    <x v="20"/>
    <x v="1"/>
    <x v="4"/>
    <s v="Jaipur"/>
    <x v="1"/>
    <x v="3"/>
    <x v="7"/>
    <n v="15090.9"/>
    <n v="11"/>
    <x v="653"/>
    <n v="4.5"/>
    <x v="653"/>
    <n v="33.700000000000003"/>
    <n v="53424.58"/>
    <x v="2"/>
  </r>
  <r>
    <s v="ORD-2026-0655"/>
    <s v="2026-04-28"/>
    <x v="4"/>
    <s v="Q2"/>
    <x v="3"/>
    <x v="3"/>
    <x v="4"/>
    <s v="Delhi"/>
    <x v="0"/>
    <x v="2"/>
    <x v="3"/>
    <n v="3943.27"/>
    <n v="3"/>
    <x v="654"/>
    <n v="22.7"/>
    <x v="654"/>
    <n v="35.9"/>
    <n v="3282.85"/>
    <x v="1"/>
  </r>
  <r>
    <s v="ORD-2026-0656"/>
    <s v="2026-07-05"/>
    <x v="5"/>
    <s v="Q3"/>
    <x v="11"/>
    <x v="2"/>
    <x v="1"/>
    <s v="Kochi"/>
    <x v="2"/>
    <x v="2"/>
    <x v="6"/>
    <n v="964.53"/>
    <n v="6"/>
    <x v="655"/>
    <n v="11.9"/>
    <x v="655"/>
    <n v="20.8"/>
    <n v="1060.49"/>
    <x v="1"/>
  </r>
  <r>
    <s v="ORD-2026-0657"/>
    <s v="2026-03-08"/>
    <x v="9"/>
    <s v="Q1"/>
    <x v="6"/>
    <x v="2"/>
    <x v="0"/>
    <s v="Kolkata"/>
    <x v="0"/>
    <x v="2"/>
    <x v="4"/>
    <n v="1080.56"/>
    <n v="1"/>
    <x v="656"/>
    <n v="20.9"/>
    <x v="656"/>
    <n v="21.2"/>
    <n v="181.2"/>
    <x v="1"/>
  </r>
  <r>
    <s v="ORD-2026-0658"/>
    <s v="2026-03-02"/>
    <x v="9"/>
    <s v="Q1"/>
    <x v="4"/>
    <x v="4"/>
    <x v="2"/>
    <s v="Raipur"/>
    <x v="3"/>
    <x v="1"/>
    <x v="6"/>
    <n v="3012.41"/>
    <n v="12"/>
    <x v="657"/>
    <n v="0.7"/>
    <x v="657"/>
    <n v="55.7"/>
    <n v="19994.009999999998"/>
    <x v="2"/>
  </r>
  <r>
    <s v="ORD-2026-0659"/>
    <s v="2026-05-01"/>
    <x v="11"/>
    <s v="Q2"/>
    <x v="26"/>
    <x v="2"/>
    <x v="0"/>
    <s v="Guwahati"/>
    <x v="4"/>
    <x v="2"/>
    <x v="5"/>
    <n v="284.3"/>
    <n v="12"/>
    <x v="658"/>
    <n v="5.8"/>
    <x v="658"/>
    <n v="34.799999999999997"/>
    <n v="1118.3800000000001"/>
    <x v="1"/>
  </r>
  <r>
    <s v="ORD-2026-0660"/>
    <s v="2026-05-13"/>
    <x v="11"/>
    <s v="Q2"/>
    <x v="3"/>
    <x v="3"/>
    <x v="3"/>
    <s v="Ahmedabad"/>
    <x v="4"/>
    <x v="2"/>
    <x v="9"/>
    <n v="3059.42"/>
    <n v="10"/>
    <x v="659"/>
    <n v="7.1"/>
    <x v="659"/>
    <n v="45"/>
    <n v="12789.9"/>
    <x v="1"/>
  </r>
  <r>
    <s v="ORD-2026-0661"/>
    <s v="2026-08-02"/>
    <x v="8"/>
    <s v="Q3"/>
    <x v="20"/>
    <x v="1"/>
    <x v="4"/>
    <s v="Delhi"/>
    <x v="4"/>
    <x v="3"/>
    <x v="0"/>
    <n v="29355.83"/>
    <n v="10"/>
    <x v="660"/>
    <n v="20"/>
    <x v="660"/>
    <n v="29"/>
    <n v="68105.53"/>
    <x v="0"/>
  </r>
  <r>
    <s v="ORD-2026-0662"/>
    <s v="2026-11-30"/>
    <x v="0"/>
    <s v="Q4"/>
    <x v="7"/>
    <x v="0"/>
    <x v="3"/>
    <s v="Pune"/>
    <x v="2"/>
    <x v="0"/>
    <x v="7"/>
    <n v="93845.59"/>
    <n v="17"/>
    <x v="661"/>
    <n v="15.6"/>
    <x v="661"/>
    <n v="12.2"/>
    <n v="164272.57999999999"/>
    <x v="1"/>
  </r>
  <r>
    <s v="ORD-2026-0663"/>
    <s v="2026-01-28"/>
    <x v="7"/>
    <s v="Q1"/>
    <x v="16"/>
    <x v="0"/>
    <x v="2"/>
    <s v="Nagpur"/>
    <x v="3"/>
    <x v="2"/>
    <x v="6"/>
    <n v="65080.56"/>
    <n v="14"/>
    <x v="662"/>
    <n v="21.2"/>
    <x v="662"/>
    <n v="18.399999999999999"/>
    <n v="132106.25"/>
    <x v="1"/>
  </r>
  <r>
    <s v="ORD-2026-0664"/>
    <s v="2026-12-11"/>
    <x v="1"/>
    <s v="Q4"/>
    <x v="17"/>
    <x v="4"/>
    <x v="1"/>
    <s v="Chennai"/>
    <x v="4"/>
    <x v="2"/>
    <x v="0"/>
    <n v="385.92"/>
    <n v="6"/>
    <x v="663"/>
    <n v="22.2"/>
    <x v="663"/>
    <n v="60.5"/>
    <n v="1089.8900000000001"/>
    <x v="1"/>
  </r>
  <r>
    <s v="ORD-2026-0665"/>
    <s v="2026-02-27"/>
    <x v="6"/>
    <s v="Q1"/>
    <x v="29"/>
    <x v="3"/>
    <x v="4"/>
    <s v="Chandigarh"/>
    <x v="1"/>
    <x v="1"/>
    <x v="7"/>
    <n v="2531.06"/>
    <n v="15"/>
    <x v="664"/>
    <n v="17.2"/>
    <x v="664"/>
    <n v="34"/>
    <n v="10688.16"/>
    <x v="2"/>
  </r>
  <r>
    <s v="ORD-2026-0666"/>
    <s v="2026-12-17"/>
    <x v="1"/>
    <s v="Q4"/>
    <x v="38"/>
    <x v="0"/>
    <x v="3"/>
    <s v="Surat"/>
    <x v="4"/>
    <x v="2"/>
    <x v="9"/>
    <n v="25830.59"/>
    <n v="14"/>
    <x v="665"/>
    <n v="9.4"/>
    <x v="665"/>
    <n v="31"/>
    <n v="101566.91"/>
    <x v="1"/>
  </r>
  <r>
    <s v="ORD-2026-0667"/>
    <s v="2026-04-03"/>
    <x v="4"/>
    <s v="Q2"/>
    <x v="39"/>
    <x v="1"/>
    <x v="4"/>
    <s v="Jaipur"/>
    <x v="3"/>
    <x v="0"/>
    <x v="6"/>
    <n v="17163.2"/>
    <n v="21"/>
    <x v="666"/>
    <n v="24.4"/>
    <x v="666"/>
    <n v="36.799999999999997"/>
    <n v="100273.73"/>
    <x v="1"/>
  </r>
  <r>
    <s v="ORD-2026-0668"/>
    <s v="2026-12-13"/>
    <x v="1"/>
    <s v="Q4"/>
    <x v="41"/>
    <x v="5"/>
    <x v="0"/>
    <s v="Patna"/>
    <x v="1"/>
    <x v="2"/>
    <x v="7"/>
    <n v="2227.34"/>
    <n v="23"/>
    <x v="667"/>
    <n v="16.8"/>
    <x v="667"/>
    <n v="61.9"/>
    <n v="26383.25"/>
    <x v="1"/>
  </r>
  <r>
    <s v="ORD-2026-0669"/>
    <s v="2026-01-30"/>
    <x v="7"/>
    <s v="Q1"/>
    <x v="21"/>
    <x v="5"/>
    <x v="3"/>
    <s v="Pune"/>
    <x v="4"/>
    <x v="3"/>
    <x v="4"/>
    <n v="3221.45"/>
    <n v="21"/>
    <x v="668"/>
    <n v="2.5"/>
    <x v="668"/>
    <n v="49.7"/>
    <n v="32781.72"/>
    <x v="2"/>
  </r>
  <r>
    <s v="ORD-2026-0670"/>
    <s v="2026-01-16"/>
    <x v="7"/>
    <s v="Q1"/>
    <x v="27"/>
    <x v="3"/>
    <x v="2"/>
    <s v="Indore"/>
    <x v="0"/>
    <x v="0"/>
    <x v="6"/>
    <n v="492.83"/>
    <n v="10"/>
    <x v="669"/>
    <n v="17.100000000000001"/>
    <x v="669"/>
    <n v="35.6"/>
    <n v="1454.46"/>
    <x v="1"/>
  </r>
  <r>
    <s v="ORD-2026-0671"/>
    <s v="2026-05-09"/>
    <x v="11"/>
    <s v="Q2"/>
    <x v="31"/>
    <x v="4"/>
    <x v="0"/>
    <s v="Guwahati"/>
    <x v="1"/>
    <x v="1"/>
    <x v="2"/>
    <n v="3937.99"/>
    <n v="21"/>
    <x v="670"/>
    <n v="12.2"/>
    <x v="670"/>
    <n v="56.1"/>
    <n v="40733.46"/>
    <x v="2"/>
  </r>
  <r>
    <s v="ORD-2026-0672"/>
    <s v="2026-10-15"/>
    <x v="2"/>
    <s v="Q4"/>
    <x v="34"/>
    <x v="5"/>
    <x v="0"/>
    <s v="Bhubaneswar"/>
    <x v="2"/>
    <x v="3"/>
    <x v="9"/>
    <n v="1734.94"/>
    <n v="15"/>
    <x v="671"/>
    <n v="9.9"/>
    <x v="671"/>
    <n v="52.5"/>
    <n v="12310.05"/>
    <x v="2"/>
  </r>
  <r>
    <s v="ORD-2026-0673"/>
    <s v="2026-09-12"/>
    <x v="3"/>
    <s v="Q3"/>
    <x v="11"/>
    <x v="2"/>
    <x v="1"/>
    <s v="Hyderabad"/>
    <x v="3"/>
    <x v="3"/>
    <x v="7"/>
    <n v="936.54"/>
    <n v="15"/>
    <x v="672"/>
    <n v="5.2"/>
    <x v="672"/>
    <n v="34.299999999999997"/>
    <n v="4567.9399999999996"/>
    <x v="1"/>
  </r>
  <r>
    <s v="ORD-2026-0674"/>
    <s v="2026-08-01"/>
    <x v="8"/>
    <s v="Q3"/>
    <x v="1"/>
    <x v="1"/>
    <x v="2"/>
    <s v="Indore"/>
    <x v="1"/>
    <x v="3"/>
    <x v="7"/>
    <n v="29415.46"/>
    <n v="10"/>
    <x v="673"/>
    <n v="18"/>
    <x v="673"/>
    <n v="39.799999999999997"/>
    <n v="96000.29"/>
    <x v="1"/>
  </r>
  <r>
    <s v="ORD-2026-0675"/>
    <s v="2026-06-19"/>
    <x v="10"/>
    <s v="Q2"/>
    <x v="9"/>
    <x v="1"/>
    <x v="2"/>
    <s v="Indore"/>
    <x v="0"/>
    <x v="2"/>
    <x v="6"/>
    <n v="4074.47"/>
    <n v="17"/>
    <x v="674"/>
    <n v="19.399999999999999"/>
    <x v="674"/>
    <n v="36.9"/>
    <n v="20600.68"/>
    <x v="2"/>
  </r>
  <r>
    <s v="ORD-2026-0676"/>
    <s v="2026-03-28"/>
    <x v="9"/>
    <s v="Q1"/>
    <x v="3"/>
    <x v="3"/>
    <x v="3"/>
    <s v="Mumbai"/>
    <x v="2"/>
    <x v="0"/>
    <x v="0"/>
    <n v="5596.79"/>
    <n v="25"/>
    <x v="675"/>
    <n v="13.6"/>
    <x v="675"/>
    <n v="46.6"/>
    <n v="56335.05"/>
    <x v="1"/>
  </r>
  <r>
    <s v="ORD-2026-0677"/>
    <s v="2026-11-13"/>
    <x v="0"/>
    <s v="Q4"/>
    <x v="4"/>
    <x v="4"/>
    <x v="2"/>
    <s v="Nagpur"/>
    <x v="1"/>
    <x v="2"/>
    <x v="0"/>
    <n v="2171.19"/>
    <n v="24"/>
    <x v="676"/>
    <n v="10.6"/>
    <x v="676"/>
    <n v="69.400000000000006"/>
    <n v="32330.02"/>
    <x v="1"/>
  </r>
  <r>
    <s v="ORD-2026-0678"/>
    <s v="2026-12-22"/>
    <x v="1"/>
    <s v="Q4"/>
    <x v="29"/>
    <x v="3"/>
    <x v="2"/>
    <s v="Bhopal"/>
    <x v="3"/>
    <x v="1"/>
    <x v="8"/>
    <n v="2803.86"/>
    <n v="9"/>
    <x v="677"/>
    <n v="17.7"/>
    <x v="677"/>
    <n v="39.4"/>
    <n v="8182.67"/>
    <x v="2"/>
  </r>
  <r>
    <s v="ORD-2026-0679"/>
    <s v="2026-10-02"/>
    <x v="2"/>
    <s v="Q4"/>
    <x v="21"/>
    <x v="5"/>
    <x v="3"/>
    <s v="Surat"/>
    <x v="4"/>
    <x v="3"/>
    <x v="3"/>
    <n v="2157.75"/>
    <n v="11"/>
    <x v="678"/>
    <n v="7.1"/>
    <x v="678"/>
    <n v="38.200000000000003"/>
    <n v="8423.1200000000008"/>
    <x v="1"/>
  </r>
  <r>
    <s v="ORD-2026-0680"/>
    <s v="2026-02-18"/>
    <x v="6"/>
    <s v="Q1"/>
    <x v="14"/>
    <x v="2"/>
    <x v="2"/>
    <s v="Nagpur"/>
    <x v="3"/>
    <x v="0"/>
    <x v="0"/>
    <n v="1112.55"/>
    <n v="18"/>
    <x v="679"/>
    <n v="22.9"/>
    <x v="679"/>
    <n v="30.1"/>
    <n v="4647.43"/>
    <x v="1"/>
  </r>
  <r>
    <s v="ORD-2026-0681"/>
    <s v="2026-10-12"/>
    <x v="2"/>
    <s v="Q4"/>
    <x v="3"/>
    <x v="3"/>
    <x v="1"/>
    <s v="Chennai"/>
    <x v="3"/>
    <x v="3"/>
    <x v="3"/>
    <n v="2083.64"/>
    <n v="20"/>
    <x v="680"/>
    <n v="16.100000000000001"/>
    <x v="680"/>
    <n v="47.2"/>
    <n v="16502.759999999998"/>
    <x v="2"/>
  </r>
  <r>
    <s v="ORD-2026-0682"/>
    <s v="2026-12-24"/>
    <x v="1"/>
    <s v="Q4"/>
    <x v="25"/>
    <x v="5"/>
    <x v="3"/>
    <s v="Mumbai"/>
    <x v="2"/>
    <x v="0"/>
    <x v="9"/>
    <n v="4953.0600000000004"/>
    <n v="11"/>
    <x v="681"/>
    <n v="12.7"/>
    <x v="681"/>
    <n v="46.6"/>
    <n v="22164.94"/>
    <x v="1"/>
  </r>
  <r>
    <s v="ORD-2026-0683"/>
    <s v="2026-06-12"/>
    <x v="10"/>
    <s v="Q2"/>
    <x v="34"/>
    <x v="5"/>
    <x v="3"/>
    <s v="Mumbai"/>
    <x v="1"/>
    <x v="0"/>
    <x v="3"/>
    <n v="1330.92"/>
    <n v="1"/>
    <x v="682"/>
    <n v="15.2"/>
    <x v="682"/>
    <n v="58.8"/>
    <n v="663.63"/>
    <x v="1"/>
  </r>
  <r>
    <s v="ORD-2026-0684"/>
    <s v="2026-10-26"/>
    <x v="2"/>
    <s v="Q4"/>
    <x v="5"/>
    <x v="0"/>
    <x v="0"/>
    <s v="Kolkata"/>
    <x v="2"/>
    <x v="0"/>
    <x v="7"/>
    <n v="42951.4"/>
    <n v="14"/>
    <x v="683"/>
    <n v="16"/>
    <x v="683"/>
    <n v="23.2"/>
    <n v="117185.16"/>
    <x v="2"/>
  </r>
  <r>
    <s v="ORD-2026-0685"/>
    <s v="2026-11-13"/>
    <x v="0"/>
    <s v="Q4"/>
    <x v="25"/>
    <x v="5"/>
    <x v="2"/>
    <s v="Raipur"/>
    <x v="4"/>
    <x v="2"/>
    <x v="9"/>
    <n v="2399.9"/>
    <n v="6"/>
    <x v="684"/>
    <n v="12"/>
    <x v="684"/>
    <n v="39.200000000000003"/>
    <n v="4967.22"/>
    <x v="1"/>
  </r>
  <r>
    <s v="ORD-2026-0686"/>
    <s v="2026-06-08"/>
    <x v="10"/>
    <s v="Q2"/>
    <x v="39"/>
    <x v="1"/>
    <x v="2"/>
    <s v="Bhopal"/>
    <x v="1"/>
    <x v="1"/>
    <x v="4"/>
    <n v="40010.910000000003"/>
    <n v="2"/>
    <x v="685"/>
    <n v="18.5"/>
    <x v="685"/>
    <n v="47.3"/>
    <n v="30848.01"/>
    <x v="1"/>
  </r>
  <r>
    <s v="ORD-2026-0687"/>
    <s v="2026-04-16"/>
    <x v="4"/>
    <s v="Q2"/>
    <x v="23"/>
    <x v="2"/>
    <x v="2"/>
    <s v="Indore"/>
    <x v="1"/>
    <x v="3"/>
    <x v="6"/>
    <n v="1152.74"/>
    <n v="3"/>
    <x v="686"/>
    <n v="22.5"/>
    <x v="686"/>
    <n v="40.9"/>
    <n v="1096.17"/>
    <x v="1"/>
  </r>
  <r>
    <s v="ORD-2026-0688"/>
    <s v="2026-11-15"/>
    <x v="0"/>
    <s v="Q4"/>
    <x v="25"/>
    <x v="5"/>
    <x v="0"/>
    <s v="Guwahati"/>
    <x v="0"/>
    <x v="0"/>
    <x v="8"/>
    <n v="4595.54"/>
    <n v="16"/>
    <x v="687"/>
    <n v="1.5"/>
    <x v="687"/>
    <n v="46.3"/>
    <n v="33533.1"/>
    <x v="2"/>
  </r>
  <r>
    <s v="ORD-2026-0689"/>
    <s v="2026-09-11"/>
    <x v="3"/>
    <s v="Q3"/>
    <x v="7"/>
    <x v="0"/>
    <x v="3"/>
    <s v="Pune"/>
    <x v="4"/>
    <x v="0"/>
    <x v="0"/>
    <n v="66739.789999999994"/>
    <n v="2"/>
    <x v="688"/>
    <n v="1.3"/>
    <x v="688"/>
    <n v="15.6"/>
    <n v="20552.12"/>
    <x v="1"/>
  </r>
  <r>
    <s v="ORD-2026-0690"/>
    <s v="2026-02-08"/>
    <x v="6"/>
    <s v="Q1"/>
    <x v="32"/>
    <x v="5"/>
    <x v="2"/>
    <s v="Nagpur"/>
    <x v="0"/>
    <x v="2"/>
    <x v="9"/>
    <n v="4565.68"/>
    <n v="9"/>
    <x v="689"/>
    <n v="19.7"/>
    <x v="689"/>
    <n v="39.5"/>
    <n v="13033.49"/>
    <x v="1"/>
  </r>
  <r>
    <s v="ORD-2026-0691"/>
    <s v="2026-12-30"/>
    <x v="1"/>
    <s v="Q4"/>
    <x v="24"/>
    <x v="5"/>
    <x v="0"/>
    <s v="Guwahati"/>
    <x v="0"/>
    <x v="2"/>
    <x v="9"/>
    <n v="4137.68"/>
    <n v="21"/>
    <x v="690"/>
    <n v="18.2"/>
    <x v="690"/>
    <n v="60.3"/>
    <n v="42859.47"/>
    <x v="0"/>
  </r>
  <r>
    <s v="ORD-2026-0692"/>
    <s v="2026-08-26"/>
    <x v="8"/>
    <s v="Q3"/>
    <x v="2"/>
    <x v="2"/>
    <x v="2"/>
    <s v="Nagpur"/>
    <x v="4"/>
    <x v="3"/>
    <x v="0"/>
    <n v="1497.28"/>
    <n v="9"/>
    <x v="691"/>
    <n v="7.1"/>
    <x v="691"/>
    <n v="41.3"/>
    <n v="5170.25"/>
    <x v="1"/>
  </r>
  <r>
    <s v="ORD-2026-0693"/>
    <s v="2026-02-22"/>
    <x v="6"/>
    <s v="Q1"/>
    <x v="23"/>
    <x v="2"/>
    <x v="4"/>
    <s v="Jaipur"/>
    <x v="0"/>
    <x v="1"/>
    <x v="8"/>
    <n v="806.4"/>
    <n v="22"/>
    <x v="692"/>
    <n v="15.2"/>
    <x v="692"/>
    <n v="33.299999999999997"/>
    <n v="5009.72"/>
    <x v="3"/>
  </r>
  <r>
    <s v="ORD-2026-0694"/>
    <s v="2026-11-20"/>
    <x v="0"/>
    <s v="Q4"/>
    <x v="24"/>
    <x v="5"/>
    <x v="2"/>
    <s v="Bhopal"/>
    <x v="2"/>
    <x v="1"/>
    <x v="3"/>
    <n v="1531.19"/>
    <n v="11"/>
    <x v="693"/>
    <n v="2.8"/>
    <x v="693"/>
    <n v="46.7"/>
    <n v="7645.48"/>
    <x v="0"/>
  </r>
  <r>
    <s v="ORD-2026-0695"/>
    <s v="2026-06-21"/>
    <x v="10"/>
    <s v="Q2"/>
    <x v="4"/>
    <x v="4"/>
    <x v="0"/>
    <s v="Guwahati"/>
    <x v="1"/>
    <x v="0"/>
    <x v="1"/>
    <n v="3302.66"/>
    <n v="22"/>
    <x v="694"/>
    <n v="12.4"/>
    <x v="694"/>
    <n v="55.6"/>
    <n v="35388.769999999997"/>
    <x v="1"/>
  </r>
  <r>
    <s v="ORD-2026-0696"/>
    <s v="2026-08-15"/>
    <x v="8"/>
    <s v="Q3"/>
    <x v="7"/>
    <x v="0"/>
    <x v="0"/>
    <s v="Kolkata"/>
    <x v="0"/>
    <x v="0"/>
    <x v="5"/>
    <n v="61239.22"/>
    <n v="17"/>
    <x v="695"/>
    <n v="8.4"/>
    <x v="695"/>
    <n v="19.8"/>
    <n v="188816.19"/>
    <x v="2"/>
  </r>
  <r>
    <s v="ORD-2026-0697"/>
    <s v="2026-08-07"/>
    <x v="8"/>
    <s v="Q3"/>
    <x v="20"/>
    <x v="1"/>
    <x v="2"/>
    <s v="Nagpur"/>
    <x v="3"/>
    <x v="0"/>
    <x v="3"/>
    <n v="36744.94"/>
    <n v="13"/>
    <x v="696"/>
    <n v="10.6"/>
    <x v="696"/>
    <n v="35.700000000000003"/>
    <n v="152456.74"/>
    <x v="1"/>
  </r>
  <r>
    <s v="ORD-2026-0698"/>
    <s v="2026-05-31"/>
    <x v="11"/>
    <s v="Q2"/>
    <x v="39"/>
    <x v="1"/>
    <x v="1"/>
    <s v="Hyderabad"/>
    <x v="2"/>
    <x v="2"/>
    <x v="8"/>
    <n v="42496.23"/>
    <n v="2"/>
    <x v="697"/>
    <n v="2.9"/>
    <x v="697"/>
    <n v="51.6"/>
    <n v="42584.28"/>
    <x v="0"/>
  </r>
  <r>
    <s v="ORD-2026-0699"/>
    <s v="2026-11-27"/>
    <x v="0"/>
    <s v="Q4"/>
    <x v="20"/>
    <x v="1"/>
    <x v="3"/>
    <s v="Mumbai"/>
    <x v="4"/>
    <x v="3"/>
    <x v="9"/>
    <n v="44546.8"/>
    <n v="25"/>
    <x v="698"/>
    <n v="19.2"/>
    <x v="698"/>
    <n v="37.799999999999997"/>
    <n v="340141.55"/>
    <x v="1"/>
  </r>
  <r>
    <s v="ORD-2026-0700"/>
    <s v="2026-04-13"/>
    <x v="4"/>
    <s v="Q2"/>
    <x v="10"/>
    <x v="1"/>
    <x v="3"/>
    <s v="Mumbai"/>
    <x v="3"/>
    <x v="0"/>
    <x v="1"/>
    <n v="34220.39"/>
    <n v="6"/>
    <x v="699"/>
    <n v="19.899999999999999"/>
    <x v="699"/>
    <n v="46.6"/>
    <n v="76639.850000000006"/>
    <x v="3"/>
  </r>
  <r>
    <s v="ORD-2026-0701"/>
    <s v="2026-05-09"/>
    <x v="11"/>
    <s v="Q2"/>
    <x v="21"/>
    <x v="5"/>
    <x v="4"/>
    <s v="Chandigarh"/>
    <x v="0"/>
    <x v="0"/>
    <x v="4"/>
    <n v="1356.95"/>
    <n v="6"/>
    <x v="700"/>
    <n v="13.6"/>
    <x v="700"/>
    <n v="52.4"/>
    <n v="3686.04"/>
    <x v="1"/>
  </r>
  <r>
    <s v="ORD-2026-0702"/>
    <s v="2026-10-19"/>
    <x v="2"/>
    <s v="Q4"/>
    <x v="17"/>
    <x v="4"/>
    <x v="1"/>
    <s v="Chennai"/>
    <x v="3"/>
    <x v="3"/>
    <x v="5"/>
    <n v="3402.63"/>
    <n v="9"/>
    <x v="701"/>
    <n v="10.7"/>
    <x v="701"/>
    <n v="62.3"/>
    <n v="17037.14"/>
    <x v="1"/>
  </r>
  <r>
    <s v="ORD-2026-0703"/>
    <s v="2026-08-14"/>
    <x v="8"/>
    <s v="Q3"/>
    <x v="15"/>
    <x v="2"/>
    <x v="0"/>
    <s v="Bhubaneswar"/>
    <x v="3"/>
    <x v="1"/>
    <x v="6"/>
    <n v="349.94"/>
    <n v="12"/>
    <x v="702"/>
    <n v="10.9"/>
    <x v="702"/>
    <n v="19.2"/>
    <n v="718.38"/>
    <x v="0"/>
  </r>
  <r>
    <s v="ORD-2026-0704"/>
    <s v="2026-02-14"/>
    <x v="6"/>
    <s v="Q1"/>
    <x v="16"/>
    <x v="0"/>
    <x v="4"/>
    <s v="Chandigarh"/>
    <x v="2"/>
    <x v="0"/>
    <x v="5"/>
    <n v="26677.06"/>
    <n v="25"/>
    <x v="703"/>
    <n v="11"/>
    <x v="703"/>
    <n v="25.9"/>
    <n v="153733.23000000001"/>
    <x v="2"/>
  </r>
  <r>
    <s v="ORD-2026-0705"/>
    <s v="2026-11-27"/>
    <x v="0"/>
    <s v="Q4"/>
    <x v="36"/>
    <x v="4"/>
    <x v="4"/>
    <s v="Chandigarh"/>
    <x v="1"/>
    <x v="1"/>
    <x v="6"/>
    <n v="263.75"/>
    <n v="16"/>
    <x v="704"/>
    <n v="0.3"/>
    <x v="704"/>
    <n v="64.2"/>
    <n v="2701.11"/>
    <x v="2"/>
  </r>
  <r>
    <s v="ORD-2026-0706"/>
    <s v="2026-01-21"/>
    <x v="7"/>
    <s v="Q1"/>
    <x v="26"/>
    <x v="2"/>
    <x v="3"/>
    <s v="Mumbai"/>
    <x v="3"/>
    <x v="1"/>
    <x v="6"/>
    <n v="1425.86"/>
    <n v="7"/>
    <x v="705"/>
    <n v="3.8"/>
    <x v="705"/>
    <n v="30.6"/>
    <n v="2938.13"/>
    <x v="1"/>
  </r>
  <r>
    <s v="ORD-2026-0707"/>
    <s v="2026-11-17"/>
    <x v="0"/>
    <s v="Q4"/>
    <x v="12"/>
    <x v="4"/>
    <x v="1"/>
    <s v="Chennai"/>
    <x v="3"/>
    <x v="2"/>
    <x v="4"/>
    <n v="2757.81"/>
    <n v="18"/>
    <x v="706"/>
    <n v="6.9"/>
    <x v="706"/>
    <n v="66.599999999999994"/>
    <n v="30779.439999999999"/>
    <x v="1"/>
  </r>
  <r>
    <s v="ORD-2026-0708"/>
    <s v="2026-07-27"/>
    <x v="5"/>
    <s v="Q3"/>
    <x v="5"/>
    <x v="0"/>
    <x v="3"/>
    <s v="Ahmedabad"/>
    <x v="3"/>
    <x v="1"/>
    <x v="7"/>
    <n v="28890.44"/>
    <n v="19"/>
    <x v="707"/>
    <n v="17.5"/>
    <x v="707"/>
    <n v="24"/>
    <n v="108685.84"/>
    <x v="1"/>
  </r>
  <r>
    <s v="ORD-2026-0709"/>
    <s v="2026-12-25"/>
    <x v="1"/>
    <s v="Q4"/>
    <x v="1"/>
    <x v="1"/>
    <x v="3"/>
    <s v="Mumbai"/>
    <x v="1"/>
    <x v="0"/>
    <x v="2"/>
    <n v="41620.949999999997"/>
    <n v="16"/>
    <x v="708"/>
    <n v="7.5"/>
    <x v="708"/>
    <n v="40.299999999999997"/>
    <n v="248243.99"/>
    <x v="1"/>
  </r>
  <r>
    <s v="ORD-2026-0710"/>
    <s v="2026-12-30"/>
    <x v="1"/>
    <s v="Q4"/>
    <x v="10"/>
    <x v="1"/>
    <x v="3"/>
    <s v="Mumbai"/>
    <x v="4"/>
    <x v="3"/>
    <x v="1"/>
    <n v="5326.12"/>
    <n v="21"/>
    <x v="709"/>
    <n v="23.4"/>
    <x v="709"/>
    <n v="28.7"/>
    <n v="24589"/>
    <x v="3"/>
  </r>
  <r>
    <s v="ORD-2026-0711"/>
    <s v="2026-03-11"/>
    <x v="9"/>
    <s v="Q1"/>
    <x v="37"/>
    <x v="1"/>
    <x v="1"/>
    <s v="Bengaluru"/>
    <x v="0"/>
    <x v="1"/>
    <x v="6"/>
    <n v="10085.94"/>
    <n v="19"/>
    <x v="710"/>
    <n v="9.3000000000000007"/>
    <x v="710"/>
    <n v="29.3"/>
    <n v="50926.62"/>
    <x v="1"/>
  </r>
  <r>
    <s v="ORD-2026-0712"/>
    <s v="2026-06-05"/>
    <x v="10"/>
    <s v="Q2"/>
    <x v="10"/>
    <x v="1"/>
    <x v="0"/>
    <s v="Patna"/>
    <x v="0"/>
    <x v="3"/>
    <x v="7"/>
    <n v="36381.120000000003"/>
    <n v="9"/>
    <x v="711"/>
    <n v="3.1"/>
    <x v="711"/>
    <n v="28"/>
    <n v="88838.33"/>
    <x v="1"/>
  </r>
  <r>
    <s v="ORD-2026-0713"/>
    <s v="2026-03-26"/>
    <x v="9"/>
    <s v="Q1"/>
    <x v="20"/>
    <x v="1"/>
    <x v="0"/>
    <s v="Patna"/>
    <x v="3"/>
    <x v="0"/>
    <x v="1"/>
    <n v="20198.13"/>
    <n v="13"/>
    <x v="712"/>
    <n v="2.7"/>
    <x v="712"/>
    <n v="47.2"/>
    <n v="120589.46"/>
    <x v="1"/>
  </r>
  <r>
    <s v="ORD-2026-0714"/>
    <s v="2026-12-03"/>
    <x v="1"/>
    <s v="Q4"/>
    <x v="10"/>
    <x v="1"/>
    <x v="0"/>
    <s v="Patna"/>
    <x v="4"/>
    <x v="2"/>
    <x v="5"/>
    <n v="28626.32"/>
    <n v="20"/>
    <x v="713"/>
    <n v="8.9"/>
    <x v="713"/>
    <n v="29.9"/>
    <n v="155949.89000000001"/>
    <x v="1"/>
  </r>
  <r>
    <s v="ORD-2026-0715"/>
    <s v="2026-10-20"/>
    <x v="2"/>
    <s v="Q4"/>
    <x v="33"/>
    <x v="3"/>
    <x v="3"/>
    <s v="Pune"/>
    <x v="2"/>
    <x v="3"/>
    <x v="7"/>
    <n v="2239.1799999999998"/>
    <n v="24"/>
    <x v="714"/>
    <n v="18.600000000000001"/>
    <x v="714"/>
    <n v="26"/>
    <n v="11373.6"/>
    <x v="1"/>
  </r>
  <r>
    <s v="ORD-2026-0716"/>
    <s v="2026-07-28"/>
    <x v="5"/>
    <s v="Q3"/>
    <x v="0"/>
    <x v="0"/>
    <x v="1"/>
    <s v="Chennai"/>
    <x v="4"/>
    <x v="3"/>
    <x v="4"/>
    <n v="45718.62"/>
    <n v="2"/>
    <x v="715"/>
    <n v="23.9"/>
    <x v="715"/>
    <n v="30.2"/>
    <n v="21014.29"/>
    <x v="1"/>
  </r>
  <r>
    <s v="ORD-2026-0717"/>
    <s v="2026-10-08"/>
    <x v="2"/>
    <s v="Q4"/>
    <x v="16"/>
    <x v="0"/>
    <x v="0"/>
    <s v="Bhubaneswar"/>
    <x v="4"/>
    <x v="3"/>
    <x v="7"/>
    <n v="61516.3"/>
    <n v="10"/>
    <x v="716"/>
    <n v="17.100000000000001"/>
    <x v="716"/>
    <n v="23"/>
    <n v="117293.13"/>
    <x v="0"/>
  </r>
  <r>
    <s v="ORD-2026-0718"/>
    <s v="2026-09-08"/>
    <x v="3"/>
    <s v="Q3"/>
    <x v="29"/>
    <x v="3"/>
    <x v="0"/>
    <s v="Patna"/>
    <x v="1"/>
    <x v="1"/>
    <x v="2"/>
    <n v="8653.9699999999993"/>
    <n v="2"/>
    <x v="717"/>
    <n v="3.5"/>
    <x v="717"/>
    <n v="30.8"/>
    <n v="5144.2700000000004"/>
    <x v="1"/>
  </r>
  <r>
    <s v="ORD-2026-0719"/>
    <s v="2026-11-01"/>
    <x v="0"/>
    <s v="Q4"/>
    <x v="2"/>
    <x v="2"/>
    <x v="2"/>
    <s v="Indore"/>
    <x v="4"/>
    <x v="3"/>
    <x v="7"/>
    <n v="146.6"/>
    <n v="3"/>
    <x v="718"/>
    <n v="16.100000000000001"/>
    <x v="718"/>
    <n v="30.8"/>
    <n v="113.65"/>
    <x v="1"/>
  </r>
  <r>
    <s v="ORD-2026-0720"/>
    <s v="2026-10-17"/>
    <x v="2"/>
    <s v="Q4"/>
    <x v="36"/>
    <x v="4"/>
    <x v="0"/>
    <s v="Bhubaneswar"/>
    <x v="4"/>
    <x v="3"/>
    <x v="9"/>
    <n v="1551.06"/>
    <n v="13"/>
    <x v="719"/>
    <n v="8.1999999999999993"/>
    <x v="719"/>
    <n v="62.5"/>
    <n v="11568.97"/>
    <x v="1"/>
  </r>
  <r>
    <s v="ORD-2026-0721"/>
    <s v="2026-11-03"/>
    <x v="0"/>
    <s v="Q4"/>
    <x v="37"/>
    <x v="1"/>
    <x v="4"/>
    <s v="Lucknow"/>
    <x v="3"/>
    <x v="3"/>
    <x v="5"/>
    <n v="25932.04"/>
    <n v="5"/>
    <x v="720"/>
    <n v="19.899999999999999"/>
    <x v="720"/>
    <n v="32.299999999999997"/>
    <n v="33546.080000000002"/>
    <x v="1"/>
  </r>
  <r>
    <s v="ORD-2026-0722"/>
    <s v="2026-04-17"/>
    <x v="4"/>
    <s v="Q2"/>
    <x v="24"/>
    <x v="5"/>
    <x v="2"/>
    <s v="Raipur"/>
    <x v="0"/>
    <x v="3"/>
    <x v="6"/>
    <n v="3041.69"/>
    <n v="15"/>
    <x v="721"/>
    <n v="15.9"/>
    <x v="721"/>
    <n v="43.1"/>
    <n v="16537.87"/>
    <x v="1"/>
  </r>
  <r>
    <s v="ORD-2026-0723"/>
    <s v="2026-09-14"/>
    <x v="3"/>
    <s v="Q3"/>
    <x v="1"/>
    <x v="1"/>
    <x v="1"/>
    <s v="Kochi"/>
    <x v="0"/>
    <x v="1"/>
    <x v="2"/>
    <n v="11044.06"/>
    <n v="11"/>
    <x v="722"/>
    <n v="22.9"/>
    <x v="722"/>
    <n v="36.4"/>
    <n v="34093.94"/>
    <x v="1"/>
  </r>
  <r>
    <s v="ORD-2026-0724"/>
    <s v="2026-03-30"/>
    <x v="9"/>
    <s v="Q1"/>
    <x v="37"/>
    <x v="1"/>
    <x v="1"/>
    <s v="Hyderabad"/>
    <x v="1"/>
    <x v="3"/>
    <x v="7"/>
    <n v="12382.15"/>
    <n v="15"/>
    <x v="723"/>
    <n v="22.9"/>
    <x v="723"/>
    <n v="34.1"/>
    <n v="48831.05"/>
    <x v="1"/>
  </r>
  <r>
    <s v="ORD-2026-0725"/>
    <s v="2026-06-30"/>
    <x v="10"/>
    <s v="Q2"/>
    <x v="1"/>
    <x v="1"/>
    <x v="3"/>
    <s v="Mumbai"/>
    <x v="2"/>
    <x v="0"/>
    <x v="9"/>
    <n v="35810.36"/>
    <n v="7"/>
    <x v="724"/>
    <n v="14.3"/>
    <x v="724"/>
    <n v="43.1"/>
    <n v="92590.16"/>
    <x v="1"/>
  </r>
  <r>
    <s v="ORD-2026-0726"/>
    <s v="2026-11-19"/>
    <x v="0"/>
    <s v="Q4"/>
    <x v="30"/>
    <x v="4"/>
    <x v="0"/>
    <s v="Patna"/>
    <x v="0"/>
    <x v="3"/>
    <x v="8"/>
    <n v="626.82000000000005"/>
    <n v="8"/>
    <x v="725"/>
    <n v="8.4"/>
    <x v="725"/>
    <n v="53.3"/>
    <n v="2448.25"/>
    <x v="1"/>
  </r>
  <r>
    <s v="ORD-2026-0727"/>
    <s v="2026-05-07"/>
    <x v="11"/>
    <s v="Q2"/>
    <x v="25"/>
    <x v="5"/>
    <x v="3"/>
    <s v="Ahmedabad"/>
    <x v="0"/>
    <x v="3"/>
    <x v="8"/>
    <n v="2127.11"/>
    <n v="25"/>
    <x v="726"/>
    <n v="21.9"/>
    <x v="726"/>
    <n v="46.3"/>
    <n v="19229.23"/>
    <x v="1"/>
  </r>
  <r>
    <s v="ORD-2026-0728"/>
    <s v="2026-01-13"/>
    <x v="7"/>
    <s v="Q1"/>
    <x v="18"/>
    <x v="3"/>
    <x v="4"/>
    <s v="Chandigarh"/>
    <x v="4"/>
    <x v="3"/>
    <x v="6"/>
    <n v="3527.27"/>
    <n v="10"/>
    <x v="727"/>
    <n v="7.6"/>
    <x v="727"/>
    <n v="39.6"/>
    <n v="12906.42"/>
    <x v="1"/>
  </r>
  <r>
    <s v="ORD-2026-0729"/>
    <s v="2026-06-26"/>
    <x v="10"/>
    <s v="Q2"/>
    <x v="4"/>
    <x v="4"/>
    <x v="0"/>
    <s v="Bhubaneswar"/>
    <x v="1"/>
    <x v="0"/>
    <x v="8"/>
    <n v="975.18"/>
    <n v="23"/>
    <x v="728"/>
    <n v="19.2"/>
    <x v="728"/>
    <n v="63.5"/>
    <n v="11507.95"/>
    <x v="1"/>
  </r>
  <r>
    <s v="ORD-2026-0730"/>
    <s v="2026-07-09"/>
    <x v="5"/>
    <s v="Q3"/>
    <x v="5"/>
    <x v="0"/>
    <x v="2"/>
    <s v="Bhopal"/>
    <x v="1"/>
    <x v="3"/>
    <x v="3"/>
    <n v="6755.9"/>
    <n v="6"/>
    <x v="729"/>
    <n v="10.3"/>
    <x v="729"/>
    <n v="16"/>
    <n v="5817.64"/>
    <x v="1"/>
  </r>
  <r>
    <s v="ORD-2026-0731"/>
    <s v="2026-05-04"/>
    <x v="11"/>
    <s v="Q2"/>
    <x v="20"/>
    <x v="1"/>
    <x v="4"/>
    <s v="Jaipur"/>
    <x v="2"/>
    <x v="1"/>
    <x v="8"/>
    <n v="42376.81"/>
    <n v="23"/>
    <x v="730"/>
    <n v="23.8"/>
    <x v="730"/>
    <n v="32.700000000000003"/>
    <n v="242861.58"/>
    <x v="1"/>
  </r>
  <r>
    <s v="ORD-2026-0732"/>
    <s v="2026-01-29"/>
    <x v="7"/>
    <s v="Q1"/>
    <x v="21"/>
    <x v="5"/>
    <x v="2"/>
    <s v="Raipur"/>
    <x v="2"/>
    <x v="3"/>
    <x v="2"/>
    <n v="3887.93"/>
    <n v="6"/>
    <x v="731"/>
    <n v="6"/>
    <x v="731"/>
    <n v="52.9"/>
    <n v="11599.87"/>
    <x v="3"/>
  </r>
  <r>
    <s v="ORD-2026-0733"/>
    <s v="2026-09-02"/>
    <x v="3"/>
    <s v="Q3"/>
    <x v="18"/>
    <x v="3"/>
    <x v="1"/>
    <s v="Kochi"/>
    <x v="4"/>
    <x v="3"/>
    <x v="0"/>
    <n v="5304.99"/>
    <n v="22"/>
    <x v="732"/>
    <n v="1.9"/>
    <x v="732"/>
    <n v="28.7"/>
    <n v="32859.29"/>
    <x v="1"/>
  </r>
  <r>
    <s v="ORD-2026-0734"/>
    <s v="2026-03-26"/>
    <x v="9"/>
    <s v="Q1"/>
    <x v="23"/>
    <x v="2"/>
    <x v="4"/>
    <s v="Chandigarh"/>
    <x v="2"/>
    <x v="1"/>
    <x v="9"/>
    <n v="296.49"/>
    <n v="6"/>
    <x v="733"/>
    <n v="10"/>
    <x v="733"/>
    <n v="35.700000000000003"/>
    <n v="571.57000000000005"/>
    <x v="2"/>
  </r>
  <r>
    <s v="ORD-2026-0735"/>
    <s v="2026-01-06"/>
    <x v="7"/>
    <s v="Q1"/>
    <x v="0"/>
    <x v="0"/>
    <x v="3"/>
    <s v="Mumbai"/>
    <x v="2"/>
    <x v="1"/>
    <x v="5"/>
    <n v="61754.1"/>
    <n v="16"/>
    <x v="734"/>
    <n v="10.6"/>
    <x v="734"/>
    <n v="16.899999999999999"/>
    <n v="149282.88"/>
    <x v="1"/>
  </r>
  <r>
    <s v="ORD-2026-0736"/>
    <s v="2026-10-25"/>
    <x v="2"/>
    <s v="Q4"/>
    <x v="33"/>
    <x v="3"/>
    <x v="0"/>
    <s v="Bhubaneswar"/>
    <x v="0"/>
    <x v="1"/>
    <x v="6"/>
    <n v="4350.34"/>
    <n v="24"/>
    <x v="735"/>
    <n v="18.2"/>
    <x v="735"/>
    <n v="42.1"/>
    <n v="35955.870000000003"/>
    <x v="1"/>
  </r>
  <r>
    <s v="ORD-2026-0737"/>
    <s v="2026-07-29"/>
    <x v="5"/>
    <s v="Q3"/>
    <x v="15"/>
    <x v="2"/>
    <x v="1"/>
    <s v="Chennai"/>
    <x v="2"/>
    <x v="0"/>
    <x v="2"/>
    <n v="851.06"/>
    <n v="7"/>
    <x v="736"/>
    <n v="5.7"/>
    <x v="736"/>
    <n v="36.299999999999997"/>
    <n v="2039.28"/>
    <x v="1"/>
  </r>
  <r>
    <s v="ORD-2026-0738"/>
    <s v="2026-11-29"/>
    <x v="0"/>
    <s v="Q4"/>
    <x v="21"/>
    <x v="5"/>
    <x v="4"/>
    <s v="Chandigarh"/>
    <x v="3"/>
    <x v="1"/>
    <x v="5"/>
    <n v="1649.41"/>
    <n v="1"/>
    <x v="737"/>
    <n v="24.4"/>
    <x v="737"/>
    <n v="40"/>
    <n v="498.78"/>
    <x v="1"/>
  </r>
  <r>
    <s v="ORD-2026-0739"/>
    <s v="2026-12-28"/>
    <x v="1"/>
    <s v="Q4"/>
    <x v="7"/>
    <x v="0"/>
    <x v="3"/>
    <s v="Surat"/>
    <x v="4"/>
    <x v="3"/>
    <x v="4"/>
    <n v="93617.89"/>
    <n v="3"/>
    <x v="738"/>
    <n v="18.2"/>
    <x v="738"/>
    <n v="15.2"/>
    <n v="34920.22"/>
    <x v="2"/>
  </r>
  <r>
    <s v="ORD-2026-0740"/>
    <s v="2026-06-12"/>
    <x v="10"/>
    <s v="Q2"/>
    <x v="26"/>
    <x v="2"/>
    <x v="0"/>
    <s v="Patna"/>
    <x v="1"/>
    <x v="3"/>
    <x v="0"/>
    <n v="568.70000000000005"/>
    <n v="7"/>
    <x v="739"/>
    <n v="0.2"/>
    <x v="739"/>
    <n v="35.200000000000003"/>
    <n v="1398.47"/>
    <x v="1"/>
  </r>
  <r>
    <s v="ORD-2026-0741"/>
    <s v="2026-12-18"/>
    <x v="1"/>
    <s v="Q4"/>
    <x v="10"/>
    <x v="1"/>
    <x v="0"/>
    <s v="Guwahati"/>
    <x v="3"/>
    <x v="2"/>
    <x v="9"/>
    <n v="23141.98"/>
    <n v="10"/>
    <x v="740"/>
    <n v="17.899999999999999"/>
    <x v="740"/>
    <n v="36.9"/>
    <n v="70108.399999999994"/>
    <x v="2"/>
  </r>
  <r>
    <s v="ORD-2026-0742"/>
    <s v="2026-02-25"/>
    <x v="6"/>
    <s v="Q1"/>
    <x v="12"/>
    <x v="4"/>
    <x v="3"/>
    <s v="Mumbai"/>
    <x v="3"/>
    <x v="2"/>
    <x v="1"/>
    <n v="2491.34"/>
    <n v="14"/>
    <x v="741"/>
    <n v="2.6"/>
    <x v="741"/>
    <n v="70.5"/>
    <n v="23950.2"/>
    <x v="1"/>
  </r>
  <r>
    <s v="ORD-2026-0743"/>
    <s v="2026-06-20"/>
    <x v="10"/>
    <s v="Q2"/>
    <x v="32"/>
    <x v="5"/>
    <x v="2"/>
    <s v="Indore"/>
    <x v="3"/>
    <x v="0"/>
    <x v="0"/>
    <n v="4078.43"/>
    <n v="3"/>
    <x v="742"/>
    <n v="16.2"/>
    <x v="742"/>
    <n v="49.2"/>
    <n v="5044.5600000000004"/>
    <x v="1"/>
  </r>
  <r>
    <s v="ORD-2026-0744"/>
    <s v="2026-08-27"/>
    <x v="8"/>
    <s v="Q3"/>
    <x v="23"/>
    <x v="2"/>
    <x v="0"/>
    <s v="Kolkata"/>
    <x v="1"/>
    <x v="2"/>
    <x v="5"/>
    <n v="411.1"/>
    <n v="2"/>
    <x v="743"/>
    <n v="5.6"/>
    <x v="743"/>
    <n v="28.8"/>
    <n v="223.53"/>
    <x v="1"/>
  </r>
  <r>
    <s v="ORD-2026-0745"/>
    <s v="2026-02-19"/>
    <x v="6"/>
    <s v="Q1"/>
    <x v="0"/>
    <x v="0"/>
    <x v="4"/>
    <s v="Delhi"/>
    <x v="1"/>
    <x v="3"/>
    <x v="2"/>
    <n v="19615.02"/>
    <n v="19"/>
    <x v="744"/>
    <n v="1"/>
    <x v="744"/>
    <n v="27.3"/>
    <n v="100725.68"/>
    <x v="1"/>
  </r>
  <r>
    <s v="ORD-2026-0746"/>
    <s v="2026-04-07"/>
    <x v="4"/>
    <s v="Q2"/>
    <x v="29"/>
    <x v="3"/>
    <x v="4"/>
    <s v="Chandigarh"/>
    <x v="1"/>
    <x v="3"/>
    <x v="5"/>
    <n v="3326.73"/>
    <n v="11"/>
    <x v="745"/>
    <n v="13.2"/>
    <x v="745"/>
    <n v="37.9"/>
    <n v="12038.41"/>
    <x v="2"/>
  </r>
  <r>
    <s v="ORD-2026-0747"/>
    <s v="2026-02-05"/>
    <x v="6"/>
    <s v="Q1"/>
    <x v="16"/>
    <x v="0"/>
    <x v="2"/>
    <s v="Bhopal"/>
    <x v="3"/>
    <x v="2"/>
    <x v="3"/>
    <n v="42206.34"/>
    <n v="8"/>
    <x v="746"/>
    <n v="6.7"/>
    <x v="746"/>
    <n v="17"/>
    <n v="53554.78"/>
    <x v="2"/>
  </r>
  <r>
    <s v="ORD-2026-0748"/>
    <s v="2026-08-05"/>
    <x v="8"/>
    <s v="Q3"/>
    <x v="18"/>
    <x v="3"/>
    <x v="1"/>
    <s v="Bengaluru"/>
    <x v="1"/>
    <x v="3"/>
    <x v="2"/>
    <n v="5200.0200000000004"/>
    <n v="3"/>
    <x v="747"/>
    <n v="24.9"/>
    <x v="747"/>
    <n v="29.2"/>
    <n v="3420.97"/>
    <x v="1"/>
  </r>
  <r>
    <s v="ORD-2026-0749"/>
    <s v="2026-04-09"/>
    <x v="4"/>
    <s v="Q2"/>
    <x v="7"/>
    <x v="0"/>
    <x v="4"/>
    <s v="Chandigarh"/>
    <x v="3"/>
    <x v="1"/>
    <x v="1"/>
    <n v="91791.06"/>
    <n v="12"/>
    <x v="748"/>
    <n v="10.6"/>
    <x v="748"/>
    <n v="28.9"/>
    <n v="284588.27"/>
    <x v="1"/>
  </r>
  <r>
    <s v="ORD-2026-0750"/>
    <s v="2026-11-05"/>
    <x v="0"/>
    <s v="Q4"/>
    <x v="21"/>
    <x v="5"/>
    <x v="1"/>
    <s v="Kochi"/>
    <x v="4"/>
    <x v="2"/>
    <x v="5"/>
    <n v="4286.29"/>
    <n v="11"/>
    <x v="749"/>
    <n v="22.4"/>
    <x v="749"/>
    <n v="50.9"/>
    <n v="18623.169999999998"/>
    <x v="3"/>
  </r>
  <r>
    <s v="ORD-2026-0751"/>
    <s v="2026-06-02"/>
    <x v="10"/>
    <s v="Q2"/>
    <x v="4"/>
    <x v="4"/>
    <x v="3"/>
    <s v="Mumbai"/>
    <x v="0"/>
    <x v="1"/>
    <x v="0"/>
    <n v="301.57"/>
    <n v="9"/>
    <x v="750"/>
    <n v="0.9"/>
    <x v="750"/>
    <n v="59.4"/>
    <n v="1597.68"/>
    <x v="1"/>
  </r>
  <r>
    <s v="ORD-2026-0752"/>
    <s v="2026-03-22"/>
    <x v="9"/>
    <s v="Q1"/>
    <x v="40"/>
    <x v="1"/>
    <x v="0"/>
    <s v="Bhubaneswar"/>
    <x v="0"/>
    <x v="0"/>
    <x v="4"/>
    <n v="36205.379999999997"/>
    <n v="15"/>
    <x v="751"/>
    <n v="11.3"/>
    <x v="751"/>
    <n v="48"/>
    <n v="231222.04"/>
    <x v="1"/>
  </r>
  <r>
    <s v="ORD-2026-0753"/>
    <s v="2026-06-27"/>
    <x v="10"/>
    <s v="Q2"/>
    <x v="37"/>
    <x v="1"/>
    <x v="3"/>
    <s v="Pune"/>
    <x v="3"/>
    <x v="1"/>
    <x v="2"/>
    <n v="28882.65"/>
    <n v="7"/>
    <x v="752"/>
    <n v="23"/>
    <x v="752"/>
    <n v="28.3"/>
    <n v="44056.73"/>
    <x v="1"/>
  </r>
  <r>
    <s v="ORD-2026-0754"/>
    <s v="2026-02-10"/>
    <x v="6"/>
    <s v="Q1"/>
    <x v="39"/>
    <x v="1"/>
    <x v="2"/>
    <s v="Nagpur"/>
    <x v="1"/>
    <x v="0"/>
    <x v="8"/>
    <n v="30957.25"/>
    <n v="4"/>
    <x v="753"/>
    <n v="8.8000000000000007"/>
    <x v="753"/>
    <n v="51.8"/>
    <n v="58498.8"/>
    <x v="1"/>
  </r>
  <r>
    <s v="ORD-2026-0755"/>
    <s v="2026-05-30"/>
    <x v="11"/>
    <s v="Q2"/>
    <x v="4"/>
    <x v="4"/>
    <x v="1"/>
    <s v="Hyderabad"/>
    <x v="2"/>
    <x v="2"/>
    <x v="2"/>
    <n v="757.98"/>
    <n v="23"/>
    <x v="754"/>
    <n v="17.600000000000001"/>
    <x v="754"/>
    <n v="54.4"/>
    <n v="7814.69"/>
    <x v="1"/>
  </r>
  <r>
    <s v="ORD-2026-0756"/>
    <s v="2026-06-14"/>
    <x v="10"/>
    <s v="Q2"/>
    <x v="20"/>
    <x v="1"/>
    <x v="4"/>
    <s v="Chandigarh"/>
    <x v="0"/>
    <x v="1"/>
    <x v="7"/>
    <n v="38843.96"/>
    <n v="17"/>
    <x v="755"/>
    <n v="2.7"/>
    <x v="755"/>
    <n v="43.9"/>
    <n v="282065.38"/>
    <x v="1"/>
  </r>
  <r>
    <s v="ORD-2026-0757"/>
    <s v="2026-04-05"/>
    <x v="4"/>
    <s v="Q2"/>
    <x v="40"/>
    <x v="1"/>
    <x v="1"/>
    <s v="Hyderabad"/>
    <x v="1"/>
    <x v="1"/>
    <x v="3"/>
    <n v="4103.08"/>
    <n v="15"/>
    <x v="756"/>
    <n v="20.399999999999999"/>
    <x v="756"/>
    <n v="36.799999999999997"/>
    <n v="18028.61"/>
    <x v="1"/>
  </r>
  <r>
    <s v="ORD-2026-0758"/>
    <s v="2026-03-23"/>
    <x v="9"/>
    <s v="Q1"/>
    <x v="10"/>
    <x v="1"/>
    <x v="4"/>
    <s v="Delhi"/>
    <x v="0"/>
    <x v="3"/>
    <x v="4"/>
    <n v="19399.97"/>
    <n v="2"/>
    <x v="757"/>
    <n v="16.100000000000001"/>
    <x v="757"/>
    <n v="50.5"/>
    <n v="16439.34"/>
    <x v="3"/>
  </r>
  <r>
    <s v="ORD-2026-0759"/>
    <s v="2026-03-13"/>
    <x v="9"/>
    <s v="Q1"/>
    <x v="8"/>
    <x v="3"/>
    <x v="1"/>
    <s v="Bengaluru"/>
    <x v="3"/>
    <x v="2"/>
    <x v="6"/>
    <n v="7180.02"/>
    <n v="3"/>
    <x v="758"/>
    <n v="12.4"/>
    <x v="758"/>
    <n v="33.6"/>
    <n v="6340.01"/>
    <x v="1"/>
  </r>
  <r>
    <s v="ORD-2026-0760"/>
    <s v="2026-09-29"/>
    <x v="3"/>
    <s v="Q3"/>
    <x v="35"/>
    <x v="5"/>
    <x v="4"/>
    <s v="Lucknow"/>
    <x v="0"/>
    <x v="0"/>
    <x v="4"/>
    <n v="4693.4399999999996"/>
    <n v="16"/>
    <x v="759"/>
    <n v="22.9"/>
    <x v="759"/>
    <n v="39.5"/>
    <n v="22869.82"/>
    <x v="1"/>
  </r>
  <r>
    <s v="ORD-2026-0761"/>
    <s v="2026-08-21"/>
    <x v="8"/>
    <s v="Q3"/>
    <x v="5"/>
    <x v="0"/>
    <x v="0"/>
    <s v="Patna"/>
    <x v="3"/>
    <x v="2"/>
    <x v="1"/>
    <n v="50451.98"/>
    <n v="13"/>
    <x v="760"/>
    <n v="19.5"/>
    <x v="760"/>
    <n v="15.2"/>
    <n v="80252.960000000006"/>
    <x v="1"/>
  </r>
  <r>
    <s v="ORD-2026-0762"/>
    <s v="2026-08-17"/>
    <x v="8"/>
    <s v="Q3"/>
    <x v="8"/>
    <x v="3"/>
    <x v="2"/>
    <s v="Raipur"/>
    <x v="4"/>
    <x v="3"/>
    <x v="8"/>
    <n v="498.17"/>
    <n v="8"/>
    <x v="761"/>
    <n v="21.5"/>
    <x v="761"/>
    <n v="27.4"/>
    <n v="857.21"/>
    <x v="2"/>
  </r>
  <r>
    <s v="ORD-2026-0763"/>
    <s v="2026-04-27"/>
    <x v="4"/>
    <s v="Q2"/>
    <x v="41"/>
    <x v="5"/>
    <x v="4"/>
    <s v="Jaipur"/>
    <x v="4"/>
    <x v="2"/>
    <x v="2"/>
    <n v="3975.9"/>
    <n v="11"/>
    <x v="762"/>
    <n v="13"/>
    <x v="762"/>
    <n v="52.6"/>
    <n v="20013.96"/>
    <x v="3"/>
  </r>
  <r>
    <s v="ORD-2026-0764"/>
    <s v="2026-08-02"/>
    <x v="8"/>
    <s v="Q3"/>
    <x v="39"/>
    <x v="1"/>
    <x v="3"/>
    <s v="Mumbai"/>
    <x v="1"/>
    <x v="3"/>
    <x v="2"/>
    <n v="37535.339999999997"/>
    <n v="6"/>
    <x v="763"/>
    <n v="10.6"/>
    <x v="763"/>
    <n v="37.1"/>
    <n v="74696.98"/>
    <x v="3"/>
  </r>
  <r>
    <s v="ORD-2026-0765"/>
    <s v="2026-12-29"/>
    <x v="1"/>
    <s v="Q4"/>
    <x v="35"/>
    <x v="5"/>
    <x v="4"/>
    <s v="Lucknow"/>
    <x v="2"/>
    <x v="0"/>
    <x v="0"/>
    <n v="2727.13"/>
    <n v="18"/>
    <x v="764"/>
    <n v="21.3"/>
    <x v="764"/>
    <n v="52.9"/>
    <n v="20436.599999999999"/>
    <x v="1"/>
  </r>
  <r>
    <s v="ORD-2026-0766"/>
    <s v="2026-12-21"/>
    <x v="1"/>
    <s v="Q4"/>
    <x v="38"/>
    <x v="0"/>
    <x v="3"/>
    <s v="Surat"/>
    <x v="0"/>
    <x v="1"/>
    <x v="3"/>
    <n v="36422.11"/>
    <n v="18"/>
    <x v="765"/>
    <n v="10.1"/>
    <x v="765"/>
    <n v="19.2"/>
    <n v="113161.46"/>
    <x v="1"/>
  </r>
  <r>
    <s v="ORD-2026-0767"/>
    <s v="2026-03-20"/>
    <x v="9"/>
    <s v="Q1"/>
    <x v="29"/>
    <x v="3"/>
    <x v="4"/>
    <s v="Lucknow"/>
    <x v="0"/>
    <x v="3"/>
    <x v="0"/>
    <n v="1872.29"/>
    <n v="6"/>
    <x v="766"/>
    <n v="21.1"/>
    <x v="766"/>
    <n v="36.200000000000003"/>
    <n v="3208.56"/>
    <x v="1"/>
  </r>
  <r>
    <s v="ORD-2026-0768"/>
    <s v="2026-02-16"/>
    <x v="6"/>
    <s v="Q1"/>
    <x v="7"/>
    <x v="0"/>
    <x v="2"/>
    <s v="Indore"/>
    <x v="4"/>
    <x v="0"/>
    <x v="8"/>
    <n v="78793.11"/>
    <n v="1"/>
    <x v="767"/>
    <n v="3.5"/>
    <x v="767"/>
    <n v="22.2"/>
    <n v="16879.849999999999"/>
    <x v="1"/>
  </r>
  <r>
    <s v="ORD-2026-0769"/>
    <s v="2026-02-21"/>
    <x v="6"/>
    <s v="Q1"/>
    <x v="13"/>
    <x v="4"/>
    <x v="0"/>
    <s v="Bhubaneswar"/>
    <x v="2"/>
    <x v="1"/>
    <x v="9"/>
    <n v="3230.29"/>
    <n v="3"/>
    <x v="768"/>
    <n v="8.8000000000000007"/>
    <x v="768"/>
    <n v="54.1"/>
    <n v="4781.3999999999996"/>
    <x v="1"/>
  </r>
  <r>
    <s v="ORD-2026-0770"/>
    <s v="2026-12-23"/>
    <x v="1"/>
    <s v="Q4"/>
    <x v="28"/>
    <x v="0"/>
    <x v="2"/>
    <s v="Nagpur"/>
    <x v="2"/>
    <x v="3"/>
    <x v="7"/>
    <n v="74513.33"/>
    <n v="23"/>
    <x v="769"/>
    <n v="18.600000000000001"/>
    <x v="769"/>
    <n v="24.6"/>
    <n v="343179.49"/>
    <x v="1"/>
  </r>
  <r>
    <s v="ORD-2026-0771"/>
    <s v="2026-04-10"/>
    <x v="4"/>
    <s v="Q2"/>
    <x v="16"/>
    <x v="0"/>
    <x v="3"/>
    <s v="Mumbai"/>
    <x v="2"/>
    <x v="1"/>
    <x v="8"/>
    <n v="44831.040000000001"/>
    <n v="3"/>
    <x v="770"/>
    <n v="7"/>
    <x v="770"/>
    <n v="27.1"/>
    <n v="33896.300000000003"/>
    <x v="1"/>
  </r>
  <r>
    <s v="ORD-2026-0772"/>
    <s v="2026-12-01"/>
    <x v="1"/>
    <s v="Q4"/>
    <x v="13"/>
    <x v="4"/>
    <x v="4"/>
    <s v="Chandigarh"/>
    <x v="3"/>
    <x v="0"/>
    <x v="9"/>
    <n v="2524.34"/>
    <n v="14"/>
    <x v="771"/>
    <n v="23.6"/>
    <x v="771"/>
    <n v="52.9"/>
    <n v="14283.18"/>
    <x v="0"/>
  </r>
  <r>
    <s v="ORD-2026-0773"/>
    <s v="2026-08-22"/>
    <x v="8"/>
    <s v="Q3"/>
    <x v="10"/>
    <x v="1"/>
    <x v="1"/>
    <s v="Kochi"/>
    <x v="4"/>
    <x v="1"/>
    <x v="5"/>
    <n v="27596.01"/>
    <n v="20"/>
    <x v="772"/>
    <n v="21.3"/>
    <x v="772"/>
    <n v="36"/>
    <n v="156370.03"/>
    <x v="1"/>
  </r>
  <r>
    <s v="ORD-2026-0774"/>
    <s v="2026-09-20"/>
    <x v="3"/>
    <s v="Q3"/>
    <x v="9"/>
    <x v="1"/>
    <x v="3"/>
    <s v="Mumbai"/>
    <x v="0"/>
    <x v="2"/>
    <x v="9"/>
    <n v="38025.11"/>
    <n v="7"/>
    <x v="773"/>
    <n v="24.1"/>
    <x v="773"/>
    <n v="50"/>
    <n v="101013.71"/>
    <x v="1"/>
  </r>
  <r>
    <s v="ORD-2026-0775"/>
    <s v="2026-08-07"/>
    <x v="8"/>
    <s v="Q3"/>
    <x v="25"/>
    <x v="5"/>
    <x v="2"/>
    <s v="Bhopal"/>
    <x v="2"/>
    <x v="1"/>
    <x v="4"/>
    <n v="3843.04"/>
    <n v="5"/>
    <x v="774"/>
    <n v="4.0999999999999996"/>
    <x v="774"/>
    <n v="61.2"/>
    <n v="11277.56"/>
    <x v="1"/>
  </r>
  <r>
    <s v="ORD-2026-0776"/>
    <s v="2026-09-14"/>
    <x v="3"/>
    <s v="Q3"/>
    <x v="17"/>
    <x v="4"/>
    <x v="0"/>
    <s v="Kolkata"/>
    <x v="0"/>
    <x v="2"/>
    <x v="3"/>
    <n v="2949.54"/>
    <n v="17"/>
    <x v="775"/>
    <n v="0.7"/>
    <x v="775"/>
    <n v="49.9"/>
    <n v="24845.8"/>
    <x v="2"/>
  </r>
  <r>
    <s v="ORD-2026-0777"/>
    <s v="2026-08-14"/>
    <x v="8"/>
    <s v="Q3"/>
    <x v="26"/>
    <x v="2"/>
    <x v="0"/>
    <s v="Guwahati"/>
    <x v="1"/>
    <x v="2"/>
    <x v="3"/>
    <n v="810.5"/>
    <n v="25"/>
    <x v="776"/>
    <n v="15"/>
    <x v="776"/>
    <n v="39.5"/>
    <n v="6803.13"/>
    <x v="3"/>
  </r>
  <r>
    <s v="ORD-2026-0778"/>
    <s v="2026-11-08"/>
    <x v="0"/>
    <s v="Q4"/>
    <x v="7"/>
    <x v="0"/>
    <x v="0"/>
    <s v="Kolkata"/>
    <x v="2"/>
    <x v="0"/>
    <x v="3"/>
    <n v="55914.82"/>
    <n v="19"/>
    <x v="777"/>
    <n v="0.2"/>
    <x v="777"/>
    <n v="27.7"/>
    <n v="293691.14"/>
    <x v="3"/>
  </r>
  <r>
    <s v="ORD-2026-0779"/>
    <s v="2026-09-08"/>
    <x v="3"/>
    <s v="Q3"/>
    <x v="4"/>
    <x v="4"/>
    <x v="1"/>
    <s v="Hyderabad"/>
    <x v="4"/>
    <x v="1"/>
    <x v="1"/>
    <n v="590.65"/>
    <n v="21"/>
    <x v="778"/>
    <n v="18.399999999999999"/>
    <x v="778"/>
    <n v="63"/>
    <n v="6376.47"/>
    <x v="1"/>
  </r>
  <r>
    <s v="ORD-2026-0780"/>
    <s v="2026-05-30"/>
    <x v="11"/>
    <s v="Q2"/>
    <x v="39"/>
    <x v="1"/>
    <x v="0"/>
    <s v="Patna"/>
    <x v="0"/>
    <x v="0"/>
    <x v="4"/>
    <n v="15373.31"/>
    <n v="8"/>
    <x v="779"/>
    <n v="11.2"/>
    <x v="779"/>
    <n v="46.6"/>
    <n v="50892.79"/>
    <x v="0"/>
  </r>
  <r>
    <s v="ORD-2026-0781"/>
    <s v="2026-05-13"/>
    <x v="11"/>
    <s v="Q2"/>
    <x v="18"/>
    <x v="3"/>
    <x v="4"/>
    <s v="Delhi"/>
    <x v="4"/>
    <x v="0"/>
    <x v="5"/>
    <n v="1607.76"/>
    <n v="8"/>
    <x v="780"/>
    <n v="12.7"/>
    <x v="780"/>
    <n v="34.200000000000003"/>
    <n v="3840.18"/>
    <x v="1"/>
  </r>
  <r>
    <s v="ORD-2026-0782"/>
    <s v="2026-04-06"/>
    <x v="4"/>
    <s v="Q2"/>
    <x v="7"/>
    <x v="0"/>
    <x v="3"/>
    <s v="Mumbai"/>
    <x v="0"/>
    <x v="3"/>
    <x v="6"/>
    <n v="85000.84"/>
    <n v="10"/>
    <x v="781"/>
    <n v="6.4"/>
    <x v="781"/>
    <n v="29.4"/>
    <n v="233908.71"/>
    <x v="1"/>
  </r>
  <r>
    <s v="ORD-2026-0783"/>
    <s v="2026-07-08"/>
    <x v="5"/>
    <s v="Q3"/>
    <x v="22"/>
    <x v="3"/>
    <x v="2"/>
    <s v="Bhopal"/>
    <x v="3"/>
    <x v="0"/>
    <x v="1"/>
    <n v="7109.51"/>
    <n v="23"/>
    <x v="782"/>
    <n v="18.2"/>
    <x v="782"/>
    <n v="37.700000000000003"/>
    <n v="50426.89"/>
    <x v="2"/>
  </r>
  <r>
    <s v="ORD-2026-0784"/>
    <s v="2026-04-15"/>
    <x v="4"/>
    <s v="Q2"/>
    <x v="40"/>
    <x v="1"/>
    <x v="0"/>
    <s v="Bhubaneswar"/>
    <x v="1"/>
    <x v="3"/>
    <x v="6"/>
    <n v="40302.46"/>
    <n v="3"/>
    <x v="783"/>
    <n v="6.9"/>
    <x v="783"/>
    <n v="46.9"/>
    <n v="52792.88"/>
    <x v="1"/>
  </r>
  <r>
    <s v="ORD-2026-0785"/>
    <s v="2026-02-27"/>
    <x v="6"/>
    <s v="Q1"/>
    <x v="30"/>
    <x v="4"/>
    <x v="3"/>
    <s v="Pune"/>
    <x v="4"/>
    <x v="1"/>
    <x v="1"/>
    <n v="855.67"/>
    <n v="16"/>
    <x v="784"/>
    <n v="22.9"/>
    <x v="784"/>
    <n v="67.3"/>
    <n v="7103.89"/>
    <x v="1"/>
  </r>
  <r>
    <s v="ORD-2026-0786"/>
    <s v="2026-12-18"/>
    <x v="1"/>
    <s v="Q4"/>
    <x v="20"/>
    <x v="1"/>
    <x v="0"/>
    <s v="Patna"/>
    <x v="0"/>
    <x v="1"/>
    <x v="1"/>
    <n v="7006.31"/>
    <n v="18"/>
    <x v="785"/>
    <n v="23"/>
    <x v="785"/>
    <n v="47.3"/>
    <n v="45931.83"/>
    <x v="1"/>
  </r>
  <r>
    <s v="ORD-2026-0787"/>
    <s v="2026-10-09"/>
    <x v="2"/>
    <s v="Q4"/>
    <x v="9"/>
    <x v="1"/>
    <x v="2"/>
    <s v="Raipur"/>
    <x v="4"/>
    <x v="0"/>
    <x v="3"/>
    <n v="11057.64"/>
    <n v="7"/>
    <x v="786"/>
    <n v="23.6"/>
    <x v="786"/>
    <n v="28.5"/>
    <n v="16853.830000000002"/>
    <x v="1"/>
  </r>
  <r>
    <s v="ORD-2026-0788"/>
    <s v="2026-08-01"/>
    <x v="8"/>
    <s v="Q3"/>
    <x v="21"/>
    <x v="5"/>
    <x v="0"/>
    <s v="Bhubaneswar"/>
    <x v="0"/>
    <x v="0"/>
    <x v="5"/>
    <n v="669.5"/>
    <n v="25"/>
    <x v="787"/>
    <n v="5.5"/>
    <x v="787"/>
    <n v="61.1"/>
    <n v="9664.15"/>
    <x v="1"/>
  </r>
  <r>
    <s v="ORD-2026-0789"/>
    <s v="2026-12-26"/>
    <x v="1"/>
    <s v="Q4"/>
    <x v="41"/>
    <x v="5"/>
    <x v="3"/>
    <s v="Mumbai"/>
    <x v="0"/>
    <x v="2"/>
    <x v="8"/>
    <n v="4140.72"/>
    <n v="12"/>
    <x v="788"/>
    <n v="13.3"/>
    <x v="788"/>
    <n v="52.2"/>
    <n v="22487.79"/>
    <x v="1"/>
  </r>
  <r>
    <s v="ORD-2026-0790"/>
    <s v="2026-08-02"/>
    <x v="8"/>
    <s v="Q3"/>
    <x v="39"/>
    <x v="1"/>
    <x v="4"/>
    <s v="Delhi"/>
    <x v="4"/>
    <x v="2"/>
    <x v="6"/>
    <n v="44599.31"/>
    <n v="9"/>
    <x v="789"/>
    <n v="18.2"/>
    <x v="789"/>
    <n v="33"/>
    <n v="108352.24"/>
    <x v="1"/>
  </r>
  <r>
    <s v="ORD-2026-0791"/>
    <s v="2026-07-20"/>
    <x v="5"/>
    <s v="Q3"/>
    <x v="29"/>
    <x v="3"/>
    <x v="0"/>
    <s v="Guwahati"/>
    <x v="4"/>
    <x v="0"/>
    <x v="1"/>
    <n v="3166.87"/>
    <n v="12"/>
    <x v="790"/>
    <n v="1.3"/>
    <x v="790"/>
    <n v="33.700000000000003"/>
    <n v="12640.33"/>
    <x v="3"/>
  </r>
  <r>
    <s v="ORD-2026-0792"/>
    <s v="2026-03-13"/>
    <x v="9"/>
    <s v="Q1"/>
    <x v="18"/>
    <x v="3"/>
    <x v="2"/>
    <s v="Bhopal"/>
    <x v="2"/>
    <x v="0"/>
    <x v="6"/>
    <n v="7953.95"/>
    <n v="2"/>
    <x v="791"/>
    <n v="11.1"/>
    <x v="791"/>
    <n v="27"/>
    <n v="3818.37"/>
    <x v="2"/>
  </r>
  <r>
    <s v="ORD-2026-0793"/>
    <s v="2026-02-06"/>
    <x v="6"/>
    <s v="Q1"/>
    <x v="26"/>
    <x v="2"/>
    <x v="1"/>
    <s v="Chennai"/>
    <x v="3"/>
    <x v="2"/>
    <x v="2"/>
    <n v="1154.53"/>
    <n v="9"/>
    <x v="792"/>
    <n v="13.3"/>
    <x v="792"/>
    <n v="21.7"/>
    <n v="1954.91"/>
    <x v="1"/>
  </r>
  <r>
    <s v="ORD-2026-0794"/>
    <s v="2026-08-20"/>
    <x v="8"/>
    <s v="Q3"/>
    <x v="5"/>
    <x v="0"/>
    <x v="4"/>
    <s v="Chandigarh"/>
    <x v="3"/>
    <x v="2"/>
    <x v="3"/>
    <n v="82458.86"/>
    <n v="15"/>
    <x v="793"/>
    <n v="7.4"/>
    <x v="793"/>
    <n v="16.7"/>
    <n v="191274.05"/>
    <x v="1"/>
  </r>
  <r>
    <s v="ORD-2026-0795"/>
    <s v="2026-02-06"/>
    <x v="6"/>
    <s v="Q1"/>
    <x v="20"/>
    <x v="1"/>
    <x v="4"/>
    <s v="Chandigarh"/>
    <x v="4"/>
    <x v="1"/>
    <x v="8"/>
    <n v="3790.42"/>
    <n v="14"/>
    <x v="794"/>
    <n v="23.9"/>
    <x v="794"/>
    <n v="32.200000000000003"/>
    <n v="13003.37"/>
    <x v="2"/>
  </r>
  <r>
    <s v="ORD-2026-0796"/>
    <s v="2026-02-25"/>
    <x v="6"/>
    <s v="Q1"/>
    <x v="9"/>
    <x v="1"/>
    <x v="0"/>
    <s v="Bhubaneswar"/>
    <x v="0"/>
    <x v="0"/>
    <x v="4"/>
    <n v="17850.28"/>
    <n v="17"/>
    <x v="795"/>
    <n v="5.4"/>
    <x v="795"/>
    <n v="34.200000000000003"/>
    <n v="98177.32"/>
    <x v="1"/>
  </r>
  <r>
    <s v="ORD-2026-0797"/>
    <s v="2026-04-13"/>
    <x v="4"/>
    <s v="Q2"/>
    <x v="11"/>
    <x v="2"/>
    <x v="4"/>
    <s v="Lucknow"/>
    <x v="0"/>
    <x v="3"/>
    <x v="3"/>
    <n v="987.15"/>
    <n v="16"/>
    <x v="796"/>
    <n v="5.3"/>
    <x v="796"/>
    <n v="25.6"/>
    <n v="3829.07"/>
    <x v="1"/>
  </r>
  <r>
    <s v="ORD-2026-0798"/>
    <s v="2026-02-07"/>
    <x v="6"/>
    <s v="Q1"/>
    <x v="25"/>
    <x v="5"/>
    <x v="4"/>
    <s v="Lucknow"/>
    <x v="4"/>
    <x v="0"/>
    <x v="3"/>
    <n v="309.82"/>
    <n v="25"/>
    <x v="797"/>
    <n v="23"/>
    <x v="797"/>
    <n v="51"/>
    <n v="3041.66"/>
    <x v="1"/>
  </r>
  <r>
    <s v="ORD-2026-0799"/>
    <s v="2026-02-15"/>
    <x v="6"/>
    <s v="Q1"/>
    <x v="34"/>
    <x v="5"/>
    <x v="4"/>
    <s v="Jaipur"/>
    <x v="4"/>
    <x v="2"/>
    <x v="9"/>
    <n v="2039.39"/>
    <n v="13"/>
    <x v="798"/>
    <n v="1.4"/>
    <x v="798"/>
    <n v="55.7"/>
    <n v="14560.48"/>
    <x v="1"/>
  </r>
  <r>
    <s v="ORD-2026-0800"/>
    <s v="2026-05-18"/>
    <x v="11"/>
    <s v="Q2"/>
    <x v="5"/>
    <x v="0"/>
    <x v="3"/>
    <s v="Ahmedabad"/>
    <x v="0"/>
    <x v="0"/>
    <x v="0"/>
    <n v="28643.63"/>
    <n v="7"/>
    <x v="799"/>
    <n v="8.1"/>
    <x v="799"/>
    <n v="31.2"/>
    <n v="57490.51"/>
    <x v="1"/>
  </r>
  <r>
    <s v="ORD-2026-0801"/>
    <s v="2026-02-27"/>
    <x v="6"/>
    <s v="Q1"/>
    <x v="33"/>
    <x v="3"/>
    <x v="1"/>
    <s v="Chennai"/>
    <x v="0"/>
    <x v="0"/>
    <x v="9"/>
    <n v="326.29000000000002"/>
    <n v="12"/>
    <x v="800"/>
    <n v="18.3"/>
    <x v="800"/>
    <n v="26.1"/>
    <n v="834.93"/>
    <x v="1"/>
  </r>
  <r>
    <s v="ORD-2026-0802"/>
    <s v="2026-11-06"/>
    <x v="0"/>
    <s v="Q4"/>
    <x v="30"/>
    <x v="4"/>
    <x v="1"/>
    <s v="Hyderabad"/>
    <x v="4"/>
    <x v="0"/>
    <x v="5"/>
    <n v="449.14"/>
    <n v="19"/>
    <x v="801"/>
    <n v="21.8"/>
    <x v="801"/>
    <n v="65.400000000000006"/>
    <n v="4364.3500000000004"/>
    <x v="2"/>
  </r>
  <r>
    <s v="ORD-2026-0803"/>
    <s v="2026-05-20"/>
    <x v="11"/>
    <s v="Q2"/>
    <x v="39"/>
    <x v="1"/>
    <x v="2"/>
    <s v="Bhopal"/>
    <x v="3"/>
    <x v="0"/>
    <x v="2"/>
    <n v="38478.019999999997"/>
    <n v="6"/>
    <x v="802"/>
    <n v="23.2"/>
    <x v="802"/>
    <n v="35"/>
    <n v="62057.35"/>
    <x v="1"/>
  </r>
  <r>
    <s v="ORD-2026-0804"/>
    <s v="2026-04-03"/>
    <x v="4"/>
    <s v="Q2"/>
    <x v="0"/>
    <x v="0"/>
    <x v="3"/>
    <s v="Surat"/>
    <x v="4"/>
    <x v="0"/>
    <x v="0"/>
    <n v="8123.24"/>
    <n v="2"/>
    <x v="803"/>
    <n v="19.600000000000001"/>
    <x v="803"/>
    <n v="21.1"/>
    <n v="2756.12"/>
    <x v="1"/>
  </r>
  <r>
    <s v="ORD-2026-0805"/>
    <s v="2026-01-04"/>
    <x v="7"/>
    <s v="Q1"/>
    <x v="23"/>
    <x v="2"/>
    <x v="4"/>
    <s v="Lucknow"/>
    <x v="3"/>
    <x v="3"/>
    <x v="7"/>
    <n v="1237.71"/>
    <n v="8"/>
    <x v="804"/>
    <n v="10.4"/>
    <x v="804"/>
    <n v="30.5"/>
    <n v="2705.93"/>
    <x v="1"/>
  </r>
  <r>
    <s v="ORD-2026-0806"/>
    <s v="2026-04-07"/>
    <x v="4"/>
    <s v="Q2"/>
    <x v="0"/>
    <x v="0"/>
    <x v="2"/>
    <s v="Indore"/>
    <x v="3"/>
    <x v="2"/>
    <x v="9"/>
    <n v="19497.71"/>
    <n v="3"/>
    <x v="805"/>
    <n v="18.7"/>
    <x v="805"/>
    <n v="23.9"/>
    <n v="11365.62"/>
    <x v="1"/>
  </r>
  <r>
    <s v="ORD-2026-0807"/>
    <s v="2026-12-09"/>
    <x v="1"/>
    <s v="Q4"/>
    <x v="26"/>
    <x v="2"/>
    <x v="1"/>
    <s v="Chennai"/>
    <x v="3"/>
    <x v="0"/>
    <x v="4"/>
    <n v="1075.1500000000001"/>
    <n v="20"/>
    <x v="806"/>
    <n v="12.4"/>
    <x v="806"/>
    <n v="38.9"/>
    <n v="7327.45"/>
    <x v="2"/>
  </r>
  <r>
    <s v="ORD-2026-0808"/>
    <s v="2026-01-25"/>
    <x v="7"/>
    <s v="Q1"/>
    <x v="41"/>
    <x v="5"/>
    <x v="0"/>
    <s v="Kolkata"/>
    <x v="4"/>
    <x v="1"/>
    <x v="2"/>
    <n v="4408.26"/>
    <n v="13"/>
    <x v="807"/>
    <n v="14.1"/>
    <x v="807"/>
    <n v="43.5"/>
    <n v="21413.759999999998"/>
    <x v="1"/>
  </r>
  <r>
    <s v="ORD-2026-0809"/>
    <s v="2026-01-05"/>
    <x v="7"/>
    <s v="Q1"/>
    <x v="5"/>
    <x v="0"/>
    <x v="2"/>
    <s v="Nagpur"/>
    <x v="1"/>
    <x v="1"/>
    <x v="2"/>
    <n v="88896.11"/>
    <n v="16"/>
    <x v="808"/>
    <n v="23.6"/>
    <x v="808"/>
    <n v="16.399999999999999"/>
    <n v="178213.23"/>
    <x v="1"/>
  </r>
  <r>
    <s v="ORD-2026-0810"/>
    <s v="2026-04-10"/>
    <x v="4"/>
    <s v="Q2"/>
    <x v="32"/>
    <x v="5"/>
    <x v="3"/>
    <s v="Surat"/>
    <x v="3"/>
    <x v="1"/>
    <x v="4"/>
    <n v="1607.64"/>
    <n v="20"/>
    <x v="809"/>
    <n v="8.5"/>
    <x v="809"/>
    <n v="51.4"/>
    <n v="15121.78"/>
    <x v="1"/>
  </r>
  <r>
    <s v="ORD-2026-0811"/>
    <s v="2026-03-17"/>
    <x v="9"/>
    <s v="Q1"/>
    <x v="16"/>
    <x v="0"/>
    <x v="3"/>
    <s v="Surat"/>
    <x v="4"/>
    <x v="1"/>
    <x v="0"/>
    <n v="6606.58"/>
    <n v="19"/>
    <x v="810"/>
    <n v="10.4"/>
    <x v="810"/>
    <n v="24.1"/>
    <n v="27105.37"/>
    <x v="1"/>
  </r>
  <r>
    <s v="ORD-2026-0812"/>
    <s v="2026-03-12"/>
    <x v="9"/>
    <s v="Q1"/>
    <x v="32"/>
    <x v="5"/>
    <x v="4"/>
    <s v="Delhi"/>
    <x v="3"/>
    <x v="1"/>
    <x v="7"/>
    <n v="4812.74"/>
    <n v="21"/>
    <x v="811"/>
    <n v="11"/>
    <x v="811"/>
    <n v="41.7"/>
    <n v="37509.199999999997"/>
    <x v="1"/>
  </r>
  <r>
    <s v="ORD-2026-0813"/>
    <s v="2026-07-14"/>
    <x v="5"/>
    <s v="Q3"/>
    <x v="11"/>
    <x v="2"/>
    <x v="4"/>
    <s v="Lucknow"/>
    <x v="1"/>
    <x v="0"/>
    <x v="8"/>
    <n v="678.77"/>
    <n v="16"/>
    <x v="812"/>
    <n v="25"/>
    <x v="812"/>
    <n v="33.9"/>
    <n v="2761.24"/>
    <x v="1"/>
  </r>
  <r>
    <s v="ORD-2026-0814"/>
    <s v="2026-02-28"/>
    <x v="6"/>
    <s v="Q1"/>
    <x v="33"/>
    <x v="3"/>
    <x v="3"/>
    <s v="Pune"/>
    <x v="0"/>
    <x v="0"/>
    <x v="5"/>
    <n v="420.21"/>
    <n v="6"/>
    <x v="813"/>
    <n v="2.1"/>
    <x v="813"/>
    <n v="47.9"/>
    <n v="1182.32"/>
    <x v="1"/>
  </r>
  <r>
    <s v="ORD-2026-0815"/>
    <s v="2026-02-16"/>
    <x v="6"/>
    <s v="Q1"/>
    <x v="12"/>
    <x v="4"/>
    <x v="0"/>
    <s v="Bhubaneswar"/>
    <x v="4"/>
    <x v="3"/>
    <x v="7"/>
    <n v="600.5"/>
    <n v="12"/>
    <x v="814"/>
    <n v="21.8"/>
    <x v="814"/>
    <n v="51.7"/>
    <n v="2913.34"/>
    <x v="1"/>
  </r>
  <r>
    <s v="ORD-2026-0816"/>
    <s v="2026-09-27"/>
    <x v="3"/>
    <s v="Q3"/>
    <x v="21"/>
    <x v="5"/>
    <x v="1"/>
    <s v="Hyderabad"/>
    <x v="3"/>
    <x v="3"/>
    <x v="8"/>
    <n v="2005.06"/>
    <n v="16"/>
    <x v="815"/>
    <n v="3.8"/>
    <x v="815"/>
    <n v="38.9"/>
    <n v="12005.27"/>
    <x v="1"/>
  </r>
  <r>
    <s v="ORD-2026-0817"/>
    <s v="2026-05-08"/>
    <x v="11"/>
    <s v="Q2"/>
    <x v="20"/>
    <x v="1"/>
    <x v="4"/>
    <s v="Jaipur"/>
    <x v="1"/>
    <x v="1"/>
    <x v="1"/>
    <n v="42075.31"/>
    <n v="9"/>
    <x v="816"/>
    <n v="16.3"/>
    <x v="816"/>
    <n v="28.6"/>
    <n v="90648.65"/>
    <x v="3"/>
  </r>
  <r>
    <s v="ORD-2026-0818"/>
    <s v="2026-02-23"/>
    <x v="6"/>
    <s v="Q1"/>
    <x v="34"/>
    <x v="5"/>
    <x v="0"/>
    <s v="Guwahati"/>
    <x v="4"/>
    <x v="1"/>
    <x v="2"/>
    <n v="4167.3599999999997"/>
    <n v="2"/>
    <x v="817"/>
    <n v="5.3"/>
    <x v="817"/>
    <n v="61.3"/>
    <n v="4838.3999999999996"/>
    <x v="1"/>
  </r>
  <r>
    <s v="ORD-2026-0819"/>
    <s v="2026-06-22"/>
    <x v="10"/>
    <s v="Q2"/>
    <x v="24"/>
    <x v="5"/>
    <x v="4"/>
    <s v="Chandigarh"/>
    <x v="4"/>
    <x v="1"/>
    <x v="8"/>
    <n v="2351.33"/>
    <n v="22"/>
    <x v="818"/>
    <n v="8.1"/>
    <x v="818"/>
    <n v="49.8"/>
    <n v="23674.52"/>
    <x v="0"/>
  </r>
  <r>
    <s v="ORD-2026-0820"/>
    <s v="2026-07-27"/>
    <x v="5"/>
    <s v="Q3"/>
    <x v="31"/>
    <x v="4"/>
    <x v="0"/>
    <s v="Guwahati"/>
    <x v="4"/>
    <x v="2"/>
    <x v="1"/>
    <n v="2120.96"/>
    <n v="11"/>
    <x v="819"/>
    <n v="22.1"/>
    <x v="819"/>
    <n v="55.2"/>
    <n v="10032.33"/>
    <x v="2"/>
  </r>
  <r>
    <s v="ORD-2026-0821"/>
    <s v="2026-05-12"/>
    <x v="11"/>
    <s v="Q2"/>
    <x v="1"/>
    <x v="1"/>
    <x v="1"/>
    <s v="Chennai"/>
    <x v="0"/>
    <x v="1"/>
    <x v="7"/>
    <n v="6314.1"/>
    <n v="1"/>
    <x v="820"/>
    <n v="4.2"/>
    <x v="820"/>
    <n v="31.2"/>
    <n v="1887.26"/>
    <x v="1"/>
  </r>
  <r>
    <s v="ORD-2026-0822"/>
    <s v="2026-10-07"/>
    <x v="2"/>
    <s v="Q4"/>
    <x v="35"/>
    <x v="5"/>
    <x v="3"/>
    <s v="Mumbai"/>
    <x v="0"/>
    <x v="3"/>
    <x v="0"/>
    <n v="3036.59"/>
    <n v="20"/>
    <x v="821"/>
    <n v="23.2"/>
    <x v="821"/>
    <n v="50.2"/>
    <n v="23414.29"/>
    <x v="1"/>
  </r>
  <r>
    <s v="ORD-2026-0823"/>
    <s v="2026-01-29"/>
    <x v="7"/>
    <s v="Q1"/>
    <x v="1"/>
    <x v="1"/>
    <x v="2"/>
    <s v="Indore"/>
    <x v="3"/>
    <x v="3"/>
    <x v="6"/>
    <n v="37684.699999999997"/>
    <n v="22"/>
    <x v="822"/>
    <n v="8"/>
    <x v="822"/>
    <n v="45.2"/>
    <n v="344757.73"/>
    <x v="2"/>
  </r>
  <r>
    <s v="ORD-2026-0824"/>
    <s v="2026-02-01"/>
    <x v="6"/>
    <s v="Q1"/>
    <x v="21"/>
    <x v="5"/>
    <x v="4"/>
    <s v="Lucknow"/>
    <x v="2"/>
    <x v="0"/>
    <x v="0"/>
    <n v="2485.88"/>
    <n v="22"/>
    <x v="823"/>
    <n v="17.899999999999999"/>
    <x v="823"/>
    <n v="40.799999999999997"/>
    <n v="18319.18"/>
    <x v="2"/>
  </r>
  <r>
    <s v="ORD-2026-0825"/>
    <s v="2026-02-23"/>
    <x v="6"/>
    <s v="Q1"/>
    <x v="20"/>
    <x v="1"/>
    <x v="2"/>
    <s v="Raipur"/>
    <x v="3"/>
    <x v="1"/>
    <x v="0"/>
    <n v="20308.310000000001"/>
    <n v="17"/>
    <x v="824"/>
    <n v="6.1"/>
    <x v="824"/>
    <n v="49.6"/>
    <n v="160794.04999999999"/>
    <x v="1"/>
  </r>
  <r>
    <s v="ORD-2026-0826"/>
    <s v="2026-11-28"/>
    <x v="0"/>
    <s v="Q4"/>
    <x v="13"/>
    <x v="4"/>
    <x v="0"/>
    <s v="Bhubaneswar"/>
    <x v="2"/>
    <x v="2"/>
    <x v="9"/>
    <n v="771.71"/>
    <n v="13"/>
    <x v="825"/>
    <n v="23.3"/>
    <x v="825"/>
    <n v="70.2"/>
    <n v="5401.69"/>
    <x v="1"/>
  </r>
  <r>
    <s v="ORD-2026-0827"/>
    <s v="2026-05-04"/>
    <x v="11"/>
    <s v="Q2"/>
    <x v="21"/>
    <x v="5"/>
    <x v="1"/>
    <s v="Kochi"/>
    <x v="2"/>
    <x v="1"/>
    <x v="8"/>
    <n v="2641.5"/>
    <n v="7"/>
    <x v="826"/>
    <n v="17.100000000000001"/>
    <x v="826"/>
    <n v="59"/>
    <n v="9043.89"/>
    <x v="3"/>
  </r>
  <r>
    <s v="ORD-2026-0828"/>
    <s v="2026-08-05"/>
    <x v="8"/>
    <s v="Q3"/>
    <x v="30"/>
    <x v="4"/>
    <x v="0"/>
    <s v="Patna"/>
    <x v="2"/>
    <x v="3"/>
    <x v="7"/>
    <n v="3983.36"/>
    <n v="20"/>
    <x v="827"/>
    <n v="22.7"/>
    <x v="827"/>
    <n v="63.1"/>
    <n v="38858.720000000001"/>
    <x v="1"/>
  </r>
  <r>
    <s v="ORD-2026-0829"/>
    <s v="2026-06-06"/>
    <x v="10"/>
    <s v="Q2"/>
    <x v="10"/>
    <x v="1"/>
    <x v="0"/>
    <s v="Patna"/>
    <x v="3"/>
    <x v="3"/>
    <x v="6"/>
    <n v="34374.1"/>
    <n v="25"/>
    <x v="828"/>
    <n v="3.6"/>
    <x v="828"/>
    <n v="40.9"/>
    <n v="338822.07"/>
    <x v="1"/>
  </r>
  <r>
    <s v="ORD-2026-0830"/>
    <s v="2026-06-13"/>
    <x v="10"/>
    <s v="Q2"/>
    <x v="26"/>
    <x v="2"/>
    <x v="1"/>
    <s v="Chennai"/>
    <x v="1"/>
    <x v="1"/>
    <x v="5"/>
    <n v="1251.26"/>
    <n v="13"/>
    <x v="829"/>
    <n v="12.2"/>
    <x v="829"/>
    <n v="38.5"/>
    <n v="5498.52"/>
    <x v="1"/>
  </r>
  <r>
    <s v="ORD-2026-0831"/>
    <s v="2026-07-30"/>
    <x v="5"/>
    <s v="Q3"/>
    <x v="27"/>
    <x v="3"/>
    <x v="1"/>
    <s v="Chennai"/>
    <x v="3"/>
    <x v="3"/>
    <x v="2"/>
    <n v="5884.51"/>
    <n v="14"/>
    <x v="830"/>
    <n v="5.6"/>
    <x v="830"/>
    <n v="22.1"/>
    <n v="17187.099999999999"/>
    <x v="3"/>
  </r>
  <r>
    <s v="ORD-2026-0832"/>
    <s v="2026-02-20"/>
    <x v="6"/>
    <s v="Q1"/>
    <x v="11"/>
    <x v="2"/>
    <x v="3"/>
    <s v="Mumbai"/>
    <x v="1"/>
    <x v="3"/>
    <x v="4"/>
    <n v="311.70999999999998"/>
    <n v="8"/>
    <x v="831"/>
    <n v="13.6"/>
    <x v="831"/>
    <n v="22.8"/>
    <n v="491.24"/>
    <x v="2"/>
  </r>
  <r>
    <s v="ORD-2026-0833"/>
    <s v="2026-11-16"/>
    <x v="0"/>
    <s v="Q4"/>
    <x v="22"/>
    <x v="3"/>
    <x v="4"/>
    <s v="Chandigarh"/>
    <x v="1"/>
    <x v="1"/>
    <x v="5"/>
    <n v="2951.3"/>
    <n v="20"/>
    <x v="832"/>
    <n v="5"/>
    <x v="832"/>
    <n v="36.799999999999997"/>
    <n v="20635.490000000002"/>
    <x v="1"/>
  </r>
  <r>
    <s v="ORD-2026-0834"/>
    <s v="2026-06-14"/>
    <x v="10"/>
    <s v="Q2"/>
    <x v="30"/>
    <x v="4"/>
    <x v="3"/>
    <s v="Mumbai"/>
    <x v="0"/>
    <x v="1"/>
    <x v="8"/>
    <n v="3697.45"/>
    <n v="15"/>
    <x v="833"/>
    <n v="18"/>
    <x v="833"/>
    <n v="69.900000000000006"/>
    <n v="31789.57"/>
    <x v="1"/>
  </r>
  <r>
    <s v="ORD-2026-0835"/>
    <s v="2026-01-07"/>
    <x v="7"/>
    <s v="Q1"/>
    <x v="24"/>
    <x v="5"/>
    <x v="2"/>
    <s v="Indore"/>
    <x v="1"/>
    <x v="2"/>
    <x v="2"/>
    <n v="2081.21"/>
    <n v="21"/>
    <x v="834"/>
    <n v="20.6"/>
    <x v="834"/>
    <n v="44.3"/>
    <n v="15373.03"/>
    <x v="1"/>
  </r>
  <r>
    <s v="ORD-2026-0836"/>
    <s v="2026-03-05"/>
    <x v="9"/>
    <s v="Q1"/>
    <x v="3"/>
    <x v="3"/>
    <x v="1"/>
    <s v="Chennai"/>
    <x v="4"/>
    <x v="3"/>
    <x v="6"/>
    <n v="5596.37"/>
    <n v="23"/>
    <x v="835"/>
    <n v="20.3"/>
    <x v="835"/>
    <n v="26.5"/>
    <n v="27185.57"/>
    <x v="1"/>
  </r>
  <r>
    <s v="ORD-2026-0837"/>
    <s v="2026-02-08"/>
    <x v="6"/>
    <s v="Q1"/>
    <x v="41"/>
    <x v="5"/>
    <x v="3"/>
    <s v="Surat"/>
    <x v="2"/>
    <x v="2"/>
    <x v="3"/>
    <n v="4649.6499999999996"/>
    <n v="17"/>
    <x v="836"/>
    <n v="20.100000000000001"/>
    <x v="836"/>
    <n v="50.4"/>
    <n v="31830.720000000001"/>
    <x v="0"/>
  </r>
  <r>
    <s v="ORD-2026-0838"/>
    <s v="2026-04-04"/>
    <x v="4"/>
    <s v="Q2"/>
    <x v="3"/>
    <x v="3"/>
    <x v="4"/>
    <s v="Delhi"/>
    <x v="1"/>
    <x v="2"/>
    <x v="1"/>
    <n v="5382.24"/>
    <n v="18"/>
    <x v="837"/>
    <n v="3.5"/>
    <x v="837"/>
    <n v="22.6"/>
    <n v="21128.63"/>
    <x v="1"/>
  </r>
  <r>
    <s v="ORD-2026-0839"/>
    <s v="2026-10-12"/>
    <x v="2"/>
    <s v="Q4"/>
    <x v="32"/>
    <x v="5"/>
    <x v="3"/>
    <s v="Ahmedabad"/>
    <x v="4"/>
    <x v="1"/>
    <x v="5"/>
    <n v="3915.08"/>
    <n v="6"/>
    <x v="838"/>
    <n v="8.8000000000000007"/>
    <x v="838"/>
    <n v="50.3"/>
    <n v="10775.93"/>
    <x v="1"/>
  </r>
  <r>
    <s v="ORD-2026-0840"/>
    <s v="2026-12-06"/>
    <x v="1"/>
    <s v="Q4"/>
    <x v="3"/>
    <x v="3"/>
    <x v="0"/>
    <s v="Guwahati"/>
    <x v="0"/>
    <x v="2"/>
    <x v="3"/>
    <n v="8378.33"/>
    <n v="15"/>
    <x v="839"/>
    <n v="8.8000000000000007"/>
    <x v="839"/>
    <n v="35.9"/>
    <n v="41146.980000000003"/>
    <x v="1"/>
  </r>
  <r>
    <s v="ORD-2026-0841"/>
    <s v="2026-10-13"/>
    <x v="2"/>
    <s v="Q4"/>
    <x v="20"/>
    <x v="1"/>
    <x v="3"/>
    <s v="Pune"/>
    <x v="2"/>
    <x v="0"/>
    <x v="5"/>
    <n v="15380.69"/>
    <n v="23"/>
    <x v="840"/>
    <n v="16.5"/>
    <x v="840"/>
    <n v="42.9"/>
    <n v="126720.66"/>
    <x v="3"/>
  </r>
  <r>
    <s v="ORD-2026-0842"/>
    <s v="2026-05-21"/>
    <x v="11"/>
    <s v="Q2"/>
    <x v="15"/>
    <x v="2"/>
    <x v="0"/>
    <s v="Patna"/>
    <x v="3"/>
    <x v="0"/>
    <x v="7"/>
    <n v="1113.1199999999999"/>
    <n v="24"/>
    <x v="841"/>
    <n v="0.8"/>
    <x v="841"/>
    <n v="27.5"/>
    <n v="7287.82"/>
    <x v="1"/>
  </r>
  <r>
    <s v="ORD-2026-0843"/>
    <s v="2026-08-02"/>
    <x v="8"/>
    <s v="Q3"/>
    <x v="0"/>
    <x v="0"/>
    <x v="1"/>
    <s v="Hyderabad"/>
    <x v="3"/>
    <x v="0"/>
    <x v="7"/>
    <n v="90879.88"/>
    <n v="21"/>
    <x v="842"/>
    <n v="25"/>
    <x v="842"/>
    <n v="18.2"/>
    <n v="260507.18"/>
    <x v="1"/>
  </r>
  <r>
    <s v="ORD-2026-0844"/>
    <s v="2026-10-09"/>
    <x v="2"/>
    <s v="Q4"/>
    <x v="33"/>
    <x v="3"/>
    <x v="3"/>
    <s v="Mumbai"/>
    <x v="3"/>
    <x v="0"/>
    <x v="7"/>
    <n v="8375.26"/>
    <n v="16"/>
    <x v="843"/>
    <n v="13.4"/>
    <x v="843"/>
    <n v="23"/>
    <n v="26690.95"/>
    <x v="0"/>
  </r>
  <r>
    <s v="ORD-2026-0845"/>
    <s v="2026-01-29"/>
    <x v="7"/>
    <s v="Q1"/>
    <x v="11"/>
    <x v="2"/>
    <x v="1"/>
    <s v="Chennai"/>
    <x v="2"/>
    <x v="1"/>
    <x v="3"/>
    <n v="385.23"/>
    <n v="17"/>
    <x v="844"/>
    <n v="13.8"/>
    <x v="844"/>
    <n v="18.8"/>
    <n v="1061.29"/>
    <x v="1"/>
  </r>
  <r>
    <s v="ORD-2026-0846"/>
    <s v="2026-01-07"/>
    <x v="7"/>
    <s v="Q1"/>
    <x v="38"/>
    <x v="0"/>
    <x v="2"/>
    <s v="Raipur"/>
    <x v="0"/>
    <x v="0"/>
    <x v="4"/>
    <n v="19709.740000000002"/>
    <n v="1"/>
    <x v="845"/>
    <n v="6.5"/>
    <x v="845"/>
    <n v="20.9"/>
    <n v="3851.58"/>
    <x v="1"/>
  </r>
  <r>
    <s v="ORD-2026-0847"/>
    <s v="2026-10-18"/>
    <x v="2"/>
    <s v="Q4"/>
    <x v="24"/>
    <x v="5"/>
    <x v="3"/>
    <s v="Surat"/>
    <x v="4"/>
    <x v="0"/>
    <x v="7"/>
    <n v="3378.69"/>
    <n v="10"/>
    <x v="846"/>
    <n v="21.5"/>
    <x v="846"/>
    <n v="56.4"/>
    <n v="14958.81"/>
    <x v="2"/>
  </r>
  <r>
    <s v="ORD-2026-0848"/>
    <s v="2026-08-09"/>
    <x v="8"/>
    <s v="Q3"/>
    <x v="17"/>
    <x v="4"/>
    <x v="0"/>
    <s v="Kolkata"/>
    <x v="2"/>
    <x v="2"/>
    <x v="0"/>
    <n v="1053.71"/>
    <n v="23"/>
    <x v="847"/>
    <n v="5.5"/>
    <x v="847"/>
    <n v="66.099999999999994"/>
    <n v="15138.48"/>
    <x v="1"/>
  </r>
  <r>
    <s v="ORD-2026-0849"/>
    <s v="2026-06-28"/>
    <x v="10"/>
    <s v="Q2"/>
    <x v="27"/>
    <x v="3"/>
    <x v="3"/>
    <s v="Ahmedabad"/>
    <x v="4"/>
    <x v="1"/>
    <x v="8"/>
    <n v="5345.82"/>
    <n v="1"/>
    <x v="848"/>
    <n v="22.8"/>
    <x v="848"/>
    <n v="36.5"/>
    <n v="1506.34"/>
    <x v="2"/>
  </r>
  <r>
    <s v="ORD-2026-0850"/>
    <s v="2026-11-12"/>
    <x v="0"/>
    <s v="Q4"/>
    <x v="23"/>
    <x v="2"/>
    <x v="2"/>
    <s v="Raipur"/>
    <x v="2"/>
    <x v="1"/>
    <x v="4"/>
    <n v="1152.74"/>
    <n v="2"/>
    <x v="849"/>
    <n v="8"/>
    <x v="849"/>
    <n v="34.4"/>
    <n v="729.64"/>
    <x v="2"/>
  </r>
  <r>
    <s v="ORD-2026-0851"/>
    <s v="2026-12-04"/>
    <x v="1"/>
    <s v="Q4"/>
    <x v="0"/>
    <x v="0"/>
    <x v="1"/>
    <s v="Kochi"/>
    <x v="3"/>
    <x v="3"/>
    <x v="8"/>
    <n v="43417.77"/>
    <n v="14"/>
    <x v="850"/>
    <n v="23.3"/>
    <x v="850"/>
    <n v="29.2"/>
    <n v="136136.24"/>
    <x v="1"/>
  </r>
  <r>
    <s v="ORD-2026-0852"/>
    <s v="2026-09-12"/>
    <x v="3"/>
    <s v="Q3"/>
    <x v="39"/>
    <x v="1"/>
    <x v="0"/>
    <s v="Patna"/>
    <x v="1"/>
    <x v="0"/>
    <x v="0"/>
    <n v="40708.32"/>
    <n v="14"/>
    <x v="851"/>
    <n v="15"/>
    <x v="851"/>
    <n v="35"/>
    <n v="169550.15"/>
    <x v="2"/>
  </r>
  <r>
    <s v="ORD-2026-0853"/>
    <s v="2026-04-07"/>
    <x v="4"/>
    <s v="Q2"/>
    <x v="35"/>
    <x v="5"/>
    <x v="0"/>
    <s v="Guwahati"/>
    <x v="1"/>
    <x v="2"/>
    <x v="7"/>
    <n v="3490.18"/>
    <n v="15"/>
    <x v="852"/>
    <n v="15.8"/>
    <x v="852"/>
    <n v="41"/>
    <n v="18073.2"/>
    <x v="1"/>
  </r>
  <r>
    <s v="ORD-2026-0854"/>
    <s v="2026-12-09"/>
    <x v="1"/>
    <s v="Q4"/>
    <x v="17"/>
    <x v="4"/>
    <x v="3"/>
    <s v="Mumbai"/>
    <x v="2"/>
    <x v="1"/>
    <x v="8"/>
    <n v="3036.68"/>
    <n v="8"/>
    <x v="853"/>
    <n v="10.3"/>
    <x v="853"/>
    <n v="50"/>
    <n v="10895.61"/>
    <x v="0"/>
  </r>
  <r>
    <s v="ORD-2026-0855"/>
    <s v="2026-03-22"/>
    <x v="9"/>
    <s v="Q1"/>
    <x v="33"/>
    <x v="3"/>
    <x v="1"/>
    <s v="Chennai"/>
    <x v="1"/>
    <x v="2"/>
    <x v="0"/>
    <n v="5426.71"/>
    <n v="18"/>
    <x v="854"/>
    <n v="0.1"/>
    <x v="854"/>
    <n v="28.9"/>
    <n v="28201.52"/>
    <x v="1"/>
  </r>
  <r>
    <s v="ORD-2026-0856"/>
    <s v="2026-05-20"/>
    <x v="11"/>
    <s v="Q2"/>
    <x v="30"/>
    <x v="4"/>
    <x v="0"/>
    <s v="Guwahati"/>
    <x v="1"/>
    <x v="1"/>
    <x v="6"/>
    <n v="1509.94"/>
    <n v="19"/>
    <x v="855"/>
    <n v="2.7"/>
    <x v="855"/>
    <n v="58.1"/>
    <n v="16218.19"/>
    <x v="1"/>
  </r>
  <r>
    <s v="ORD-2026-0857"/>
    <s v="2026-09-23"/>
    <x v="3"/>
    <s v="Q3"/>
    <x v="10"/>
    <x v="1"/>
    <x v="1"/>
    <s v="Hyderabad"/>
    <x v="1"/>
    <x v="2"/>
    <x v="5"/>
    <n v="19798.2"/>
    <n v="7"/>
    <x v="856"/>
    <n v="15.7"/>
    <x v="856"/>
    <n v="49.6"/>
    <n v="57947.27"/>
    <x v="2"/>
  </r>
  <r>
    <s v="ORD-2026-0858"/>
    <s v="2026-08-05"/>
    <x v="8"/>
    <s v="Q3"/>
    <x v="36"/>
    <x v="4"/>
    <x v="3"/>
    <s v="Surat"/>
    <x v="0"/>
    <x v="3"/>
    <x v="6"/>
    <n v="1873.48"/>
    <n v="12"/>
    <x v="857"/>
    <n v="5.2"/>
    <x v="857"/>
    <n v="52.7"/>
    <n v="11231.8"/>
    <x v="1"/>
  </r>
  <r>
    <s v="ORD-2026-0859"/>
    <s v="2026-11-16"/>
    <x v="0"/>
    <s v="Q4"/>
    <x v="14"/>
    <x v="2"/>
    <x v="3"/>
    <s v="Pune"/>
    <x v="0"/>
    <x v="2"/>
    <x v="3"/>
    <n v="384.84"/>
    <n v="20"/>
    <x v="858"/>
    <n v="14.9"/>
    <x v="858"/>
    <n v="29.3"/>
    <n v="1919.14"/>
    <x v="1"/>
  </r>
  <r>
    <s v="ORD-2026-0860"/>
    <s v="2026-12-03"/>
    <x v="1"/>
    <s v="Q4"/>
    <x v="28"/>
    <x v="0"/>
    <x v="3"/>
    <s v="Ahmedabad"/>
    <x v="1"/>
    <x v="0"/>
    <x v="2"/>
    <n v="68651"/>
    <n v="20"/>
    <x v="859"/>
    <n v="10.9"/>
    <x v="859"/>
    <n v="17.5"/>
    <n v="214088.14"/>
    <x v="2"/>
  </r>
  <r>
    <s v="ORD-2026-0861"/>
    <s v="2026-11-11"/>
    <x v="0"/>
    <s v="Q4"/>
    <x v="28"/>
    <x v="0"/>
    <x v="1"/>
    <s v="Kochi"/>
    <x v="0"/>
    <x v="2"/>
    <x v="5"/>
    <n v="14731.21"/>
    <n v="8"/>
    <x v="860"/>
    <n v="9.8000000000000007"/>
    <x v="860"/>
    <n v="27"/>
    <n v="28701.11"/>
    <x v="1"/>
  </r>
  <r>
    <s v="ORD-2026-0862"/>
    <s v="2026-10-08"/>
    <x v="2"/>
    <s v="Q4"/>
    <x v="16"/>
    <x v="0"/>
    <x v="4"/>
    <s v="Chandigarh"/>
    <x v="1"/>
    <x v="3"/>
    <x v="5"/>
    <n v="28291.07"/>
    <n v="5"/>
    <x v="861"/>
    <n v="21.3"/>
    <x v="861"/>
    <n v="27.1"/>
    <n v="30169.17"/>
    <x v="1"/>
  </r>
  <r>
    <s v="ORD-2026-0863"/>
    <s v="2026-07-24"/>
    <x v="5"/>
    <s v="Q3"/>
    <x v="41"/>
    <x v="5"/>
    <x v="3"/>
    <s v="Mumbai"/>
    <x v="0"/>
    <x v="2"/>
    <x v="1"/>
    <n v="3371.65"/>
    <n v="2"/>
    <x v="862"/>
    <n v="16.7"/>
    <x v="862"/>
    <n v="38.6"/>
    <n v="2168.23"/>
    <x v="1"/>
  </r>
  <r>
    <s v="ORD-2026-0864"/>
    <s v="2026-04-21"/>
    <x v="4"/>
    <s v="Q2"/>
    <x v="11"/>
    <x v="2"/>
    <x v="0"/>
    <s v="Patna"/>
    <x v="1"/>
    <x v="2"/>
    <x v="3"/>
    <n v="1275.48"/>
    <n v="4"/>
    <x v="863"/>
    <n v="13.4"/>
    <x v="863"/>
    <n v="18.100000000000001"/>
    <n v="799.71"/>
    <x v="1"/>
  </r>
  <r>
    <s v="ORD-2026-0865"/>
    <s v="2026-09-18"/>
    <x v="3"/>
    <s v="Q3"/>
    <x v="13"/>
    <x v="4"/>
    <x v="4"/>
    <s v="Delhi"/>
    <x v="0"/>
    <x v="1"/>
    <x v="5"/>
    <n v="2010.74"/>
    <n v="19"/>
    <x v="864"/>
    <n v="24"/>
    <x v="864"/>
    <n v="53.4"/>
    <n v="15504.74"/>
    <x v="1"/>
  </r>
  <r>
    <s v="ORD-2026-0866"/>
    <s v="2026-09-08"/>
    <x v="3"/>
    <s v="Q3"/>
    <x v="13"/>
    <x v="4"/>
    <x v="4"/>
    <s v="Lucknow"/>
    <x v="1"/>
    <x v="2"/>
    <x v="6"/>
    <n v="2028.03"/>
    <n v="2"/>
    <x v="865"/>
    <n v="18.7"/>
    <x v="865"/>
    <n v="69.900000000000006"/>
    <n v="2305.0100000000002"/>
    <x v="1"/>
  </r>
  <r>
    <s v="ORD-2026-0867"/>
    <s v="2026-12-01"/>
    <x v="1"/>
    <s v="Q4"/>
    <x v="25"/>
    <x v="5"/>
    <x v="3"/>
    <s v="Pune"/>
    <x v="2"/>
    <x v="1"/>
    <x v="5"/>
    <n v="2751.49"/>
    <n v="25"/>
    <x v="866"/>
    <n v="16.100000000000001"/>
    <x v="866"/>
    <n v="51.7"/>
    <n v="29837.360000000001"/>
    <x v="1"/>
  </r>
  <r>
    <s v="ORD-2026-0868"/>
    <s v="2026-04-07"/>
    <x v="4"/>
    <s v="Q2"/>
    <x v="24"/>
    <x v="5"/>
    <x v="0"/>
    <s v="Bhubaneswar"/>
    <x v="2"/>
    <x v="2"/>
    <x v="1"/>
    <n v="2833.66"/>
    <n v="16"/>
    <x v="867"/>
    <n v="5.0999999999999996"/>
    <x v="867"/>
    <n v="58.2"/>
    <n v="25041.3"/>
    <x v="0"/>
  </r>
  <r>
    <s v="ORD-2026-0869"/>
    <s v="2026-08-07"/>
    <x v="8"/>
    <s v="Q3"/>
    <x v="31"/>
    <x v="4"/>
    <x v="0"/>
    <s v="Bhubaneswar"/>
    <x v="3"/>
    <x v="2"/>
    <x v="8"/>
    <n v="2189.9499999999998"/>
    <n v="15"/>
    <x v="868"/>
    <n v="18.399999999999999"/>
    <x v="868"/>
    <n v="63.7"/>
    <n v="17074.78"/>
    <x v="1"/>
  </r>
  <r>
    <s v="ORD-2026-0870"/>
    <s v="2026-11-07"/>
    <x v="0"/>
    <s v="Q4"/>
    <x v="18"/>
    <x v="3"/>
    <x v="0"/>
    <s v="Kolkata"/>
    <x v="1"/>
    <x v="2"/>
    <x v="7"/>
    <n v="369.59"/>
    <n v="9"/>
    <x v="869"/>
    <n v="5"/>
    <x v="869"/>
    <n v="38"/>
    <n v="1200.8"/>
    <x v="1"/>
  </r>
  <r>
    <s v="ORD-2026-0871"/>
    <s v="2026-11-28"/>
    <x v="0"/>
    <s v="Q4"/>
    <x v="13"/>
    <x v="4"/>
    <x v="3"/>
    <s v="Pune"/>
    <x v="2"/>
    <x v="2"/>
    <x v="2"/>
    <n v="1818.23"/>
    <n v="2"/>
    <x v="870"/>
    <n v="18.8"/>
    <x v="870"/>
    <n v="59.8"/>
    <n v="1765.78"/>
    <x v="2"/>
  </r>
  <r>
    <s v="ORD-2026-0872"/>
    <s v="2026-09-26"/>
    <x v="3"/>
    <s v="Q3"/>
    <x v="9"/>
    <x v="1"/>
    <x v="2"/>
    <s v="Nagpur"/>
    <x v="4"/>
    <x v="3"/>
    <x v="1"/>
    <n v="33589.730000000003"/>
    <n v="13"/>
    <x v="871"/>
    <n v="12.7"/>
    <x v="871"/>
    <n v="40.299999999999997"/>
    <n v="153627.57"/>
    <x v="0"/>
  </r>
  <r>
    <s v="ORD-2026-0873"/>
    <s v="2026-09-14"/>
    <x v="3"/>
    <s v="Q3"/>
    <x v="29"/>
    <x v="3"/>
    <x v="4"/>
    <s v="Delhi"/>
    <x v="4"/>
    <x v="3"/>
    <x v="6"/>
    <n v="7873.81"/>
    <n v="19"/>
    <x v="872"/>
    <n v="5.9"/>
    <x v="872"/>
    <n v="24.6"/>
    <n v="34630.86"/>
    <x v="1"/>
  </r>
  <r>
    <s v="ORD-2026-0874"/>
    <s v="2026-11-19"/>
    <x v="0"/>
    <s v="Q4"/>
    <x v="35"/>
    <x v="5"/>
    <x v="3"/>
    <s v="Ahmedabad"/>
    <x v="2"/>
    <x v="0"/>
    <x v="6"/>
    <n v="3544.59"/>
    <n v="19"/>
    <x v="873"/>
    <n v="14.9"/>
    <x v="873"/>
    <n v="57.4"/>
    <n v="32897.360000000001"/>
    <x v="1"/>
  </r>
  <r>
    <s v="ORD-2026-0875"/>
    <s v="2026-12-16"/>
    <x v="1"/>
    <s v="Q4"/>
    <x v="15"/>
    <x v="2"/>
    <x v="2"/>
    <s v="Bhopal"/>
    <x v="1"/>
    <x v="2"/>
    <x v="2"/>
    <n v="158.76"/>
    <n v="24"/>
    <x v="874"/>
    <n v="22.1"/>
    <x v="874"/>
    <n v="21.3"/>
    <n v="632.22"/>
    <x v="1"/>
  </r>
  <r>
    <s v="ORD-2026-0876"/>
    <s v="2026-02-05"/>
    <x v="6"/>
    <s v="Q1"/>
    <x v="29"/>
    <x v="3"/>
    <x v="1"/>
    <s v="Kochi"/>
    <x v="3"/>
    <x v="1"/>
    <x v="4"/>
    <n v="1084.02"/>
    <n v="12"/>
    <x v="875"/>
    <n v="14.1"/>
    <x v="875"/>
    <n v="37.1"/>
    <n v="4145.58"/>
    <x v="1"/>
  </r>
  <r>
    <s v="ORD-2026-0877"/>
    <s v="2026-03-16"/>
    <x v="9"/>
    <s v="Q1"/>
    <x v="26"/>
    <x v="2"/>
    <x v="4"/>
    <s v="Jaipur"/>
    <x v="3"/>
    <x v="0"/>
    <x v="9"/>
    <n v="209.86"/>
    <n v="9"/>
    <x v="876"/>
    <n v="1.8"/>
    <x v="876"/>
    <n v="25"/>
    <n v="463.69"/>
    <x v="1"/>
  </r>
  <r>
    <s v="ORD-2026-0878"/>
    <s v="2026-12-23"/>
    <x v="1"/>
    <s v="Q4"/>
    <x v="18"/>
    <x v="3"/>
    <x v="0"/>
    <s v="Guwahati"/>
    <x v="0"/>
    <x v="1"/>
    <x v="4"/>
    <n v="6191.51"/>
    <n v="10"/>
    <x v="877"/>
    <n v="15.6"/>
    <x v="877"/>
    <n v="39.700000000000003"/>
    <n v="20745.77"/>
    <x v="1"/>
  </r>
  <r>
    <s v="ORD-2026-0879"/>
    <s v="2026-03-14"/>
    <x v="9"/>
    <s v="Q1"/>
    <x v="34"/>
    <x v="5"/>
    <x v="1"/>
    <s v="Hyderabad"/>
    <x v="0"/>
    <x v="0"/>
    <x v="6"/>
    <n v="3571.71"/>
    <n v="20"/>
    <x v="878"/>
    <n v="1.6"/>
    <x v="878"/>
    <n v="51.1"/>
    <n v="35918.83"/>
    <x v="1"/>
  </r>
  <r>
    <s v="ORD-2026-0880"/>
    <s v="2026-08-30"/>
    <x v="8"/>
    <s v="Q3"/>
    <x v="16"/>
    <x v="0"/>
    <x v="1"/>
    <s v="Chennai"/>
    <x v="3"/>
    <x v="3"/>
    <x v="7"/>
    <n v="33441.49"/>
    <n v="3"/>
    <x v="879"/>
    <n v="15.5"/>
    <x v="879"/>
    <n v="30.5"/>
    <n v="25856.12"/>
    <x v="1"/>
  </r>
  <r>
    <s v="ORD-2026-0881"/>
    <s v="2026-03-20"/>
    <x v="9"/>
    <s v="Q1"/>
    <x v="27"/>
    <x v="3"/>
    <x v="3"/>
    <s v="Surat"/>
    <x v="2"/>
    <x v="1"/>
    <x v="7"/>
    <n v="1537.61"/>
    <n v="18"/>
    <x v="880"/>
    <n v="16.600000000000001"/>
    <x v="880"/>
    <n v="44"/>
    <n v="10156.34"/>
    <x v="1"/>
  </r>
  <r>
    <s v="ORD-2026-0882"/>
    <s v="2026-10-21"/>
    <x v="2"/>
    <s v="Q4"/>
    <x v="38"/>
    <x v="0"/>
    <x v="1"/>
    <s v="Chennai"/>
    <x v="4"/>
    <x v="1"/>
    <x v="5"/>
    <n v="56616.95"/>
    <n v="9"/>
    <x v="881"/>
    <n v="3.4"/>
    <x v="881"/>
    <n v="28.9"/>
    <n v="142253.82"/>
    <x v="1"/>
  </r>
  <r>
    <s v="ORD-2026-0883"/>
    <s v="2026-07-21"/>
    <x v="5"/>
    <s v="Q3"/>
    <x v="29"/>
    <x v="3"/>
    <x v="1"/>
    <s v="Chennai"/>
    <x v="3"/>
    <x v="3"/>
    <x v="0"/>
    <n v="2209.27"/>
    <n v="19"/>
    <x v="882"/>
    <n v="0"/>
    <x v="882"/>
    <n v="30.2"/>
    <n v="12676.79"/>
    <x v="2"/>
  </r>
  <r>
    <s v="ORD-2026-0884"/>
    <s v="2026-04-03"/>
    <x v="4"/>
    <s v="Q2"/>
    <x v="35"/>
    <x v="5"/>
    <x v="3"/>
    <s v="Pune"/>
    <x v="0"/>
    <x v="2"/>
    <x v="2"/>
    <n v="3586.92"/>
    <n v="6"/>
    <x v="883"/>
    <n v="3"/>
    <x v="883"/>
    <n v="55"/>
    <n v="11481.73"/>
    <x v="1"/>
  </r>
  <r>
    <s v="ORD-2026-0885"/>
    <s v="2026-05-12"/>
    <x v="11"/>
    <s v="Q2"/>
    <x v="33"/>
    <x v="3"/>
    <x v="3"/>
    <s v="Mumbai"/>
    <x v="0"/>
    <x v="2"/>
    <x v="1"/>
    <n v="5278.62"/>
    <n v="20"/>
    <x v="884"/>
    <n v="15.5"/>
    <x v="884"/>
    <n v="43.4"/>
    <n v="38716.57"/>
    <x v="1"/>
  </r>
  <r>
    <s v="ORD-2026-0886"/>
    <s v="2026-11-28"/>
    <x v="0"/>
    <s v="Q4"/>
    <x v="27"/>
    <x v="3"/>
    <x v="3"/>
    <s v="Ahmedabad"/>
    <x v="2"/>
    <x v="2"/>
    <x v="3"/>
    <n v="1065.72"/>
    <n v="22"/>
    <x v="885"/>
    <n v="1.7"/>
    <x v="885"/>
    <n v="34.299999999999997"/>
    <n v="7905.21"/>
    <x v="2"/>
  </r>
  <r>
    <s v="ORD-2026-0887"/>
    <s v="2026-09-22"/>
    <x v="3"/>
    <s v="Q3"/>
    <x v="20"/>
    <x v="1"/>
    <x v="3"/>
    <s v="Ahmedabad"/>
    <x v="1"/>
    <x v="1"/>
    <x v="1"/>
    <n v="10971.56"/>
    <n v="15"/>
    <x v="886"/>
    <n v="9.8000000000000007"/>
    <x v="886"/>
    <n v="41.9"/>
    <n v="62198.54"/>
    <x v="2"/>
  </r>
  <r>
    <s v="ORD-2026-0888"/>
    <s v="2026-06-27"/>
    <x v="10"/>
    <s v="Q2"/>
    <x v="6"/>
    <x v="2"/>
    <x v="0"/>
    <s v="Bhubaneswar"/>
    <x v="2"/>
    <x v="1"/>
    <x v="0"/>
    <n v="704.61"/>
    <n v="12"/>
    <x v="887"/>
    <n v="1.7"/>
    <x v="887"/>
    <n v="34.200000000000003"/>
    <n v="2842.56"/>
    <x v="1"/>
  </r>
  <r>
    <s v="ORD-2026-0889"/>
    <s v="2026-09-25"/>
    <x v="3"/>
    <s v="Q3"/>
    <x v="4"/>
    <x v="4"/>
    <x v="2"/>
    <s v="Raipur"/>
    <x v="1"/>
    <x v="2"/>
    <x v="5"/>
    <n v="508.54"/>
    <n v="7"/>
    <x v="888"/>
    <n v="19.600000000000001"/>
    <x v="888"/>
    <n v="56.1"/>
    <n v="1605.62"/>
    <x v="0"/>
  </r>
  <r>
    <s v="ORD-2026-0890"/>
    <s v="2026-10-06"/>
    <x v="2"/>
    <s v="Q4"/>
    <x v="11"/>
    <x v="2"/>
    <x v="3"/>
    <s v="Pune"/>
    <x v="4"/>
    <x v="0"/>
    <x v="4"/>
    <n v="1135.54"/>
    <n v="16"/>
    <x v="889"/>
    <n v="6.4"/>
    <x v="889"/>
    <n v="41.4"/>
    <n v="7040.42"/>
    <x v="1"/>
  </r>
  <r>
    <s v="ORD-2026-0891"/>
    <s v="2026-06-24"/>
    <x v="10"/>
    <s v="Q2"/>
    <x v="13"/>
    <x v="4"/>
    <x v="1"/>
    <s v="Hyderabad"/>
    <x v="1"/>
    <x v="2"/>
    <x v="5"/>
    <n v="1849.52"/>
    <n v="19"/>
    <x v="890"/>
    <n v="12.4"/>
    <x v="890"/>
    <n v="58"/>
    <n v="17854.38"/>
    <x v="1"/>
  </r>
  <r>
    <s v="ORD-2026-0892"/>
    <s v="2026-08-04"/>
    <x v="8"/>
    <s v="Q3"/>
    <x v="2"/>
    <x v="2"/>
    <x v="1"/>
    <s v="Hyderabad"/>
    <x v="4"/>
    <x v="0"/>
    <x v="6"/>
    <n v="992.05"/>
    <n v="11"/>
    <x v="891"/>
    <n v="10.8"/>
    <x v="891"/>
    <n v="34.9"/>
    <n v="3397.16"/>
    <x v="1"/>
  </r>
  <r>
    <s v="ORD-2026-0893"/>
    <s v="2026-07-10"/>
    <x v="5"/>
    <s v="Q3"/>
    <x v="13"/>
    <x v="4"/>
    <x v="1"/>
    <s v="Chennai"/>
    <x v="2"/>
    <x v="3"/>
    <x v="1"/>
    <n v="2474.87"/>
    <n v="2"/>
    <x v="892"/>
    <n v="13.9"/>
    <x v="892"/>
    <n v="52.1"/>
    <n v="2220.36"/>
    <x v="1"/>
  </r>
  <r>
    <s v="ORD-2026-0894"/>
    <s v="2026-05-18"/>
    <x v="11"/>
    <s v="Q2"/>
    <x v="23"/>
    <x v="2"/>
    <x v="0"/>
    <s v="Bhubaneswar"/>
    <x v="3"/>
    <x v="3"/>
    <x v="9"/>
    <n v="1098.2"/>
    <n v="3"/>
    <x v="893"/>
    <n v="21.2"/>
    <x v="893"/>
    <n v="21.8"/>
    <n v="565.96"/>
    <x v="1"/>
  </r>
  <r>
    <s v="ORD-2026-0895"/>
    <s v="2026-06-02"/>
    <x v="10"/>
    <s v="Q2"/>
    <x v="40"/>
    <x v="1"/>
    <x v="4"/>
    <s v="Jaipur"/>
    <x v="3"/>
    <x v="2"/>
    <x v="9"/>
    <n v="31541.55"/>
    <n v="5"/>
    <x v="894"/>
    <n v="16.2"/>
    <x v="894"/>
    <n v="34.299999999999997"/>
    <n v="45330.57"/>
    <x v="1"/>
  </r>
  <r>
    <s v="ORD-2026-0896"/>
    <s v="2026-09-26"/>
    <x v="3"/>
    <s v="Q3"/>
    <x v="1"/>
    <x v="1"/>
    <x v="2"/>
    <s v="Indore"/>
    <x v="2"/>
    <x v="2"/>
    <x v="4"/>
    <n v="42413.68"/>
    <n v="22"/>
    <x v="895"/>
    <n v="6.4"/>
    <x v="895"/>
    <n v="36.4"/>
    <n v="317911.23"/>
    <x v="1"/>
  </r>
  <r>
    <s v="ORD-2026-0897"/>
    <s v="2026-03-23"/>
    <x v="9"/>
    <s v="Q1"/>
    <x v="6"/>
    <x v="2"/>
    <x v="1"/>
    <s v="Bengaluru"/>
    <x v="2"/>
    <x v="0"/>
    <x v="0"/>
    <n v="1084.4100000000001"/>
    <n v="20"/>
    <x v="896"/>
    <n v="20.5"/>
    <x v="896"/>
    <n v="34.4"/>
    <n v="5931.29"/>
    <x v="2"/>
  </r>
  <r>
    <s v="ORD-2026-0898"/>
    <s v="2026-11-27"/>
    <x v="0"/>
    <s v="Q4"/>
    <x v="11"/>
    <x v="2"/>
    <x v="1"/>
    <s v="Chennai"/>
    <x v="3"/>
    <x v="2"/>
    <x v="4"/>
    <n v="1106.3"/>
    <n v="25"/>
    <x v="897"/>
    <n v="13.6"/>
    <x v="897"/>
    <n v="35"/>
    <n v="8363.6299999999992"/>
    <x v="2"/>
  </r>
  <r>
    <s v="ORD-2026-0899"/>
    <s v="2026-04-12"/>
    <x v="4"/>
    <s v="Q2"/>
    <x v="13"/>
    <x v="4"/>
    <x v="3"/>
    <s v="Pune"/>
    <x v="2"/>
    <x v="3"/>
    <x v="2"/>
    <n v="1301.46"/>
    <n v="2"/>
    <x v="898"/>
    <n v="12"/>
    <x v="898"/>
    <n v="52.8"/>
    <n v="1209.42"/>
    <x v="1"/>
  </r>
  <r>
    <s v="ORD-2026-0900"/>
    <s v="2026-03-12"/>
    <x v="9"/>
    <s v="Q1"/>
    <x v="34"/>
    <x v="5"/>
    <x v="4"/>
    <s v="Delhi"/>
    <x v="4"/>
    <x v="2"/>
    <x v="6"/>
    <n v="2016.96"/>
    <n v="8"/>
    <x v="899"/>
    <n v="3.8"/>
    <x v="899"/>
    <n v="47.7"/>
    <n v="7404.24"/>
    <x v="1"/>
  </r>
  <r>
    <s v="ORD-2026-0901"/>
    <s v="2026-10-28"/>
    <x v="2"/>
    <s v="Q4"/>
    <x v="1"/>
    <x v="1"/>
    <x v="1"/>
    <s v="Bengaluru"/>
    <x v="2"/>
    <x v="2"/>
    <x v="9"/>
    <n v="13116.56"/>
    <n v="14"/>
    <x v="900"/>
    <n v="6.6"/>
    <x v="900"/>
    <n v="36.5"/>
    <n v="62601.93"/>
    <x v="1"/>
  </r>
  <r>
    <s v="ORD-2026-0902"/>
    <s v="2026-06-20"/>
    <x v="10"/>
    <s v="Q2"/>
    <x v="24"/>
    <x v="5"/>
    <x v="3"/>
    <s v="Pune"/>
    <x v="1"/>
    <x v="0"/>
    <x v="9"/>
    <n v="2073.2600000000002"/>
    <n v="10"/>
    <x v="901"/>
    <n v="12.1"/>
    <x v="901"/>
    <n v="61.3"/>
    <n v="11171.29"/>
    <x v="2"/>
  </r>
  <r>
    <s v="ORD-2026-0903"/>
    <s v="2026-02-23"/>
    <x v="6"/>
    <s v="Q1"/>
    <x v="12"/>
    <x v="4"/>
    <x v="0"/>
    <s v="Bhubaneswar"/>
    <x v="0"/>
    <x v="0"/>
    <x v="3"/>
    <n v="3431.72"/>
    <n v="16"/>
    <x v="902"/>
    <n v="3.8"/>
    <x v="902"/>
    <n v="64.8"/>
    <n v="34228.03"/>
    <x v="0"/>
  </r>
  <r>
    <s v="ORD-2026-0904"/>
    <s v="2026-09-09"/>
    <x v="3"/>
    <s v="Q3"/>
    <x v="34"/>
    <x v="5"/>
    <x v="4"/>
    <s v="Lucknow"/>
    <x v="3"/>
    <x v="3"/>
    <x v="0"/>
    <n v="1205.4000000000001"/>
    <n v="9"/>
    <x v="903"/>
    <n v="19.8"/>
    <x v="903"/>
    <n v="48.1"/>
    <n v="4184.9799999999996"/>
    <x v="1"/>
  </r>
  <r>
    <s v="ORD-2026-0905"/>
    <s v="2026-06-01"/>
    <x v="10"/>
    <s v="Q2"/>
    <x v="38"/>
    <x v="0"/>
    <x v="0"/>
    <s v="Patna"/>
    <x v="2"/>
    <x v="0"/>
    <x v="1"/>
    <n v="76465.95"/>
    <n v="2"/>
    <x v="904"/>
    <n v="6"/>
    <x v="904"/>
    <n v="17.3"/>
    <n v="24869.79"/>
    <x v="1"/>
  </r>
  <r>
    <s v="ORD-2026-0906"/>
    <s v="2026-01-22"/>
    <x v="7"/>
    <s v="Q1"/>
    <x v="10"/>
    <x v="1"/>
    <x v="2"/>
    <s v="Raipur"/>
    <x v="3"/>
    <x v="0"/>
    <x v="7"/>
    <n v="42063.94"/>
    <n v="12"/>
    <x v="905"/>
    <n v="7.1"/>
    <x v="905"/>
    <n v="46"/>
    <n v="215707.25"/>
    <x v="1"/>
  </r>
  <r>
    <s v="ORD-2026-0907"/>
    <s v="2026-12-22"/>
    <x v="1"/>
    <s v="Q4"/>
    <x v="26"/>
    <x v="2"/>
    <x v="4"/>
    <s v="Chandigarh"/>
    <x v="2"/>
    <x v="3"/>
    <x v="0"/>
    <n v="1136.29"/>
    <n v="14"/>
    <x v="906"/>
    <n v="17.2"/>
    <x v="906"/>
    <n v="29.9"/>
    <n v="3938.39"/>
    <x v="2"/>
  </r>
  <r>
    <s v="ORD-2026-0908"/>
    <s v="2026-03-22"/>
    <x v="9"/>
    <s v="Q1"/>
    <x v="17"/>
    <x v="4"/>
    <x v="2"/>
    <s v="Indore"/>
    <x v="1"/>
    <x v="1"/>
    <x v="1"/>
    <n v="956.26"/>
    <n v="15"/>
    <x v="907"/>
    <n v="19.899999999999999"/>
    <x v="907"/>
    <n v="63.6"/>
    <n v="7307.3"/>
    <x v="1"/>
  </r>
  <r>
    <s v="ORD-2026-0909"/>
    <s v="2026-02-22"/>
    <x v="6"/>
    <s v="Q1"/>
    <x v="21"/>
    <x v="5"/>
    <x v="3"/>
    <s v="Surat"/>
    <x v="3"/>
    <x v="0"/>
    <x v="0"/>
    <n v="2111.7800000000002"/>
    <n v="6"/>
    <x v="908"/>
    <n v="21.2"/>
    <x v="908"/>
    <n v="41.1"/>
    <n v="4103.63"/>
    <x v="1"/>
  </r>
  <r>
    <s v="ORD-2026-0910"/>
    <s v="2026-02-27"/>
    <x v="6"/>
    <s v="Q1"/>
    <x v="15"/>
    <x v="2"/>
    <x v="3"/>
    <s v="Ahmedabad"/>
    <x v="4"/>
    <x v="2"/>
    <x v="8"/>
    <n v="538.94000000000005"/>
    <n v="11"/>
    <x v="909"/>
    <n v="21.8"/>
    <x v="909"/>
    <n v="25.7"/>
    <n v="1191.44"/>
    <x v="1"/>
  </r>
  <r>
    <s v="ORD-2026-0911"/>
    <s v="2026-04-04"/>
    <x v="4"/>
    <s v="Q2"/>
    <x v="27"/>
    <x v="3"/>
    <x v="0"/>
    <s v="Bhubaneswar"/>
    <x v="1"/>
    <x v="3"/>
    <x v="3"/>
    <n v="4466.37"/>
    <n v="25"/>
    <x v="910"/>
    <n v="5"/>
    <x v="910"/>
    <n v="26.6"/>
    <n v="28216.29"/>
    <x v="1"/>
  </r>
  <r>
    <s v="ORD-2026-0912"/>
    <s v="2026-11-21"/>
    <x v="0"/>
    <s v="Q4"/>
    <x v="14"/>
    <x v="2"/>
    <x v="1"/>
    <s v="Hyderabad"/>
    <x v="0"/>
    <x v="3"/>
    <x v="8"/>
    <n v="1311.9"/>
    <n v="4"/>
    <x v="911"/>
    <n v="8.8000000000000007"/>
    <x v="911"/>
    <n v="29.1"/>
    <n v="1392.67"/>
    <x v="1"/>
  </r>
  <r>
    <s v="ORD-2026-0913"/>
    <s v="2026-02-08"/>
    <x v="6"/>
    <s v="Q1"/>
    <x v="17"/>
    <x v="4"/>
    <x v="2"/>
    <s v="Indore"/>
    <x v="2"/>
    <x v="3"/>
    <x v="9"/>
    <n v="1192.49"/>
    <n v="7"/>
    <x v="912"/>
    <n v="20.9"/>
    <x v="912"/>
    <n v="52.1"/>
    <n v="3440.07"/>
    <x v="1"/>
  </r>
  <r>
    <s v="ORD-2026-0914"/>
    <s v="2026-03-16"/>
    <x v="9"/>
    <s v="Q1"/>
    <x v="25"/>
    <x v="5"/>
    <x v="2"/>
    <s v="Raipur"/>
    <x v="1"/>
    <x v="1"/>
    <x v="0"/>
    <n v="2283.9899999999998"/>
    <n v="8"/>
    <x v="913"/>
    <n v="14.4"/>
    <x v="913"/>
    <n v="52"/>
    <n v="8133.2"/>
    <x v="2"/>
  </r>
  <r>
    <s v="ORD-2026-0915"/>
    <s v="2026-10-25"/>
    <x v="2"/>
    <s v="Q4"/>
    <x v="38"/>
    <x v="0"/>
    <x v="3"/>
    <s v="Pune"/>
    <x v="1"/>
    <x v="1"/>
    <x v="9"/>
    <n v="81114.81"/>
    <n v="25"/>
    <x v="914"/>
    <n v="15.4"/>
    <x v="914"/>
    <n v="30.9"/>
    <n v="530113.67000000004"/>
    <x v="2"/>
  </r>
  <r>
    <s v="ORD-2026-0916"/>
    <s v="2026-04-04"/>
    <x v="4"/>
    <s v="Q2"/>
    <x v="32"/>
    <x v="5"/>
    <x v="0"/>
    <s v="Kolkata"/>
    <x v="2"/>
    <x v="0"/>
    <x v="7"/>
    <n v="2370.2600000000002"/>
    <n v="3"/>
    <x v="915"/>
    <n v="15.9"/>
    <x v="915"/>
    <n v="41.8"/>
    <n v="2499.71"/>
    <x v="1"/>
  </r>
  <r>
    <s v="ORD-2026-0917"/>
    <s v="2026-07-08"/>
    <x v="5"/>
    <s v="Q3"/>
    <x v="36"/>
    <x v="4"/>
    <x v="1"/>
    <s v="Hyderabad"/>
    <x v="3"/>
    <x v="3"/>
    <x v="4"/>
    <n v="3013.14"/>
    <n v="8"/>
    <x v="916"/>
    <n v="19.8"/>
    <x v="916"/>
    <n v="58.1"/>
    <n v="11232.07"/>
    <x v="1"/>
  </r>
  <r>
    <s v="ORD-2026-0918"/>
    <s v="2026-06-09"/>
    <x v="10"/>
    <s v="Q2"/>
    <x v="1"/>
    <x v="1"/>
    <x v="4"/>
    <s v="Lucknow"/>
    <x v="3"/>
    <x v="3"/>
    <x v="3"/>
    <n v="29480.400000000001"/>
    <n v="23"/>
    <x v="917"/>
    <n v="17.100000000000001"/>
    <x v="917"/>
    <n v="45.2"/>
    <n v="254070.46"/>
    <x v="1"/>
  </r>
  <r>
    <s v="ORD-2026-0919"/>
    <s v="2026-05-19"/>
    <x v="11"/>
    <s v="Q2"/>
    <x v="17"/>
    <x v="4"/>
    <x v="1"/>
    <s v="Chennai"/>
    <x v="1"/>
    <x v="0"/>
    <x v="0"/>
    <n v="448.2"/>
    <n v="10"/>
    <x v="918"/>
    <n v="3.3"/>
    <x v="918"/>
    <n v="55.1"/>
    <n v="2388.08"/>
    <x v="0"/>
  </r>
  <r>
    <s v="ORD-2026-0920"/>
    <s v="2026-02-09"/>
    <x v="6"/>
    <s v="Q1"/>
    <x v="14"/>
    <x v="2"/>
    <x v="0"/>
    <s v="Patna"/>
    <x v="2"/>
    <x v="2"/>
    <x v="8"/>
    <n v="112.72"/>
    <n v="3"/>
    <x v="919"/>
    <n v="16.600000000000001"/>
    <x v="919"/>
    <n v="33.5"/>
    <n v="94.48"/>
    <x v="0"/>
  </r>
  <r>
    <s v="ORD-2026-0921"/>
    <s v="2026-04-01"/>
    <x v="4"/>
    <s v="Q2"/>
    <x v="6"/>
    <x v="2"/>
    <x v="3"/>
    <s v="Ahmedabad"/>
    <x v="0"/>
    <x v="2"/>
    <x v="5"/>
    <n v="383.68"/>
    <n v="14"/>
    <x v="920"/>
    <n v="17.3"/>
    <x v="920"/>
    <n v="36.4"/>
    <n v="1616.98"/>
    <x v="1"/>
  </r>
  <r>
    <s v="ORD-2026-0922"/>
    <s v="2026-12-23"/>
    <x v="1"/>
    <s v="Q4"/>
    <x v="14"/>
    <x v="2"/>
    <x v="4"/>
    <s v="Lucknow"/>
    <x v="4"/>
    <x v="0"/>
    <x v="0"/>
    <n v="1028.0999999999999"/>
    <n v="24"/>
    <x v="921"/>
    <n v="11.1"/>
    <x v="921"/>
    <n v="41.6"/>
    <n v="9125.18"/>
    <x v="1"/>
  </r>
  <r>
    <s v="ORD-2026-0923"/>
    <s v="2026-07-18"/>
    <x v="5"/>
    <s v="Q3"/>
    <x v="10"/>
    <x v="1"/>
    <x v="3"/>
    <s v="Pune"/>
    <x v="3"/>
    <x v="1"/>
    <x v="2"/>
    <n v="19560.37"/>
    <n v="8"/>
    <x v="922"/>
    <n v="2.6"/>
    <x v="922"/>
    <n v="32.200000000000003"/>
    <n v="49077.440000000002"/>
    <x v="1"/>
  </r>
  <r>
    <s v="ORD-2026-0924"/>
    <s v="2026-02-26"/>
    <x v="6"/>
    <s v="Q1"/>
    <x v="26"/>
    <x v="2"/>
    <x v="2"/>
    <s v="Raipur"/>
    <x v="3"/>
    <x v="1"/>
    <x v="7"/>
    <n v="238.19"/>
    <n v="11"/>
    <x v="923"/>
    <n v="2.1"/>
    <x v="923"/>
    <n v="32.1"/>
    <n v="823.39"/>
    <x v="2"/>
  </r>
  <r>
    <s v="ORD-2026-0925"/>
    <s v="2026-12-01"/>
    <x v="1"/>
    <s v="Q4"/>
    <x v="7"/>
    <x v="0"/>
    <x v="0"/>
    <s v="Patna"/>
    <x v="4"/>
    <x v="0"/>
    <x v="2"/>
    <n v="44654.05"/>
    <n v="2"/>
    <x v="924"/>
    <n v="15.9"/>
    <x v="924"/>
    <n v="18.8"/>
    <n v="14120.32"/>
    <x v="1"/>
  </r>
  <r>
    <s v="ORD-2026-0926"/>
    <s v="2026-06-22"/>
    <x v="10"/>
    <s v="Q2"/>
    <x v="10"/>
    <x v="1"/>
    <x v="2"/>
    <s v="Indore"/>
    <x v="1"/>
    <x v="3"/>
    <x v="8"/>
    <n v="39106.53"/>
    <n v="16"/>
    <x v="925"/>
    <n v="18.5"/>
    <x v="925"/>
    <n v="43.3"/>
    <n v="220807.98"/>
    <x v="3"/>
  </r>
  <r>
    <s v="ORD-2026-0927"/>
    <s v="2026-09-18"/>
    <x v="3"/>
    <s v="Q3"/>
    <x v="1"/>
    <x v="1"/>
    <x v="1"/>
    <s v="Bengaluru"/>
    <x v="4"/>
    <x v="1"/>
    <x v="3"/>
    <n v="15346.64"/>
    <n v="2"/>
    <x v="926"/>
    <n v="19.100000000000001"/>
    <x v="926"/>
    <n v="43.8"/>
    <n v="10875.92"/>
    <x v="1"/>
  </r>
  <r>
    <s v="ORD-2026-0928"/>
    <s v="2026-08-31"/>
    <x v="8"/>
    <s v="Q3"/>
    <x v="35"/>
    <x v="5"/>
    <x v="0"/>
    <s v="Kolkata"/>
    <x v="1"/>
    <x v="0"/>
    <x v="6"/>
    <n v="2492.09"/>
    <n v="16"/>
    <x v="927"/>
    <n v="23.8"/>
    <x v="927"/>
    <n v="47.4"/>
    <n v="14401.81"/>
    <x v="1"/>
  </r>
  <r>
    <s v="ORD-2026-0929"/>
    <s v="2026-11-15"/>
    <x v="0"/>
    <s v="Q4"/>
    <x v="24"/>
    <x v="5"/>
    <x v="2"/>
    <s v="Nagpur"/>
    <x v="4"/>
    <x v="0"/>
    <x v="1"/>
    <n v="3689.4"/>
    <n v="19"/>
    <x v="928"/>
    <n v="0.2"/>
    <x v="928"/>
    <n v="49"/>
    <n v="34279.620000000003"/>
    <x v="1"/>
  </r>
  <r>
    <s v="ORD-2026-0930"/>
    <s v="2026-07-28"/>
    <x v="5"/>
    <s v="Q3"/>
    <x v="32"/>
    <x v="5"/>
    <x v="2"/>
    <s v="Bhopal"/>
    <x v="2"/>
    <x v="2"/>
    <x v="2"/>
    <n v="2569.34"/>
    <n v="9"/>
    <x v="929"/>
    <n v="3.4"/>
    <x v="929"/>
    <n v="51"/>
    <n v="11392.3"/>
    <x v="1"/>
  </r>
  <r>
    <s v="ORD-2026-0931"/>
    <s v="2026-03-16"/>
    <x v="9"/>
    <s v="Q1"/>
    <x v="28"/>
    <x v="0"/>
    <x v="2"/>
    <s v="Indore"/>
    <x v="3"/>
    <x v="2"/>
    <x v="3"/>
    <n v="72339.48"/>
    <n v="21"/>
    <x v="930"/>
    <n v="19.8"/>
    <x v="930"/>
    <n v="31"/>
    <n v="377685.87"/>
    <x v="0"/>
  </r>
  <r>
    <s v="ORD-2026-0932"/>
    <s v="2026-10-24"/>
    <x v="2"/>
    <s v="Q4"/>
    <x v="25"/>
    <x v="5"/>
    <x v="2"/>
    <s v="Raipur"/>
    <x v="3"/>
    <x v="0"/>
    <x v="0"/>
    <n v="1325.79"/>
    <n v="15"/>
    <x v="931"/>
    <n v="24.9"/>
    <x v="931"/>
    <n v="43.2"/>
    <n v="6451.93"/>
    <x v="1"/>
  </r>
  <r>
    <s v="ORD-2026-0933"/>
    <s v="2026-12-22"/>
    <x v="1"/>
    <s v="Q4"/>
    <x v="38"/>
    <x v="0"/>
    <x v="2"/>
    <s v="Nagpur"/>
    <x v="2"/>
    <x v="0"/>
    <x v="4"/>
    <n v="46028.11"/>
    <n v="18"/>
    <x v="932"/>
    <n v="18.899999999999999"/>
    <x v="932"/>
    <n v="12.6"/>
    <n v="84661.71"/>
    <x v="1"/>
  </r>
  <r>
    <s v="ORD-2026-0934"/>
    <s v="2026-09-18"/>
    <x v="3"/>
    <s v="Q3"/>
    <x v="35"/>
    <x v="5"/>
    <x v="0"/>
    <s v="Kolkata"/>
    <x v="2"/>
    <x v="2"/>
    <x v="2"/>
    <n v="1120.56"/>
    <n v="8"/>
    <x v="933"/>
    <n v="11.9"/>
    <x v="933"/>
    <n v="57.6"/>
    <n v="4549.08"/>
    <x v="1"/>
  </r>
  <r>
    <s v="ORD-2026-0935"/>
    <s v="2026-08-30"/>
    <x v="8"/>
    <s v="Q3"/>
    <x v="0"/>
    <x v="0"/>
    <x v="0"/>
    <s v="Kolkata"/>
    <x v="0"/>
    <x v="2"/>
    <x v="4"/>
    <n v="59054.03"/>
    <n v="4"/>
    <x v="934"/>
    <n v="24.8"/>
    <x v="934"/>
    <n v="28"/>
    <n v="49737.67"/>
    <x v="1"/>
  </r>
  <r>
    <s v="ORD-2026-0936"/>
    <s v="2026-12-22"/>
    <x v="1"/>
    <s v="Q4"/>
    <x v="23"/>
    <x v="2"/>
    <x v="1"/>
    <s v="Hyderabad"/>
    <x v="1"/>
    <x v="2"/>
    <x v="2"/>
    <n v="695.81"/>
    <n v="2"/>
    <x v="935"/>
    <n v="16.7"/>
    <x v="935"/>
    <n v="30"/>
    <n v="347.77"/>
    <x v="1"/>
  </r>
  <r>
    <s v="ORD-2026-0937"/>
    <s v="2026-12-19"/>
    <x v="1"/>
    <s v="Q4"/>
    <x v="3"/>
    <x v="3"/>
    <x v="2"/>
    <s v="Raipur"/>
    <x v="3"/>
    <x v="0"/>
    <x v="9"/>
    <n v="1369.21"/>
    <n v="3"/>
    <x v="936"/>
    <n v="12.7"/>
    <x v="936"/>
    <n v="27"/>
    <n v="968.21"/>
    <x v="1"/>
  </r>
  <r>
    <s v="ORD-2026-0938"/>
    <s v="2026-09-19"/>
    <x v="3"/>
    <s v="Q3"/>
    <x v="30"/>
    <x v="4"/>
    <x v="0"/>
    <s v="Kolkata"/>
    <x v="2"/>
    <x v="0"/>
    <x v="4"/>
    <n v="1776.54"/>
    <n v="22"/>
    <x v="937"/>
    <n v="9"/>
    <x v="937"/>
    <n v="59.6"/>
    <n v="21197.53"/>
    <x v="1"/>
  </r>
  <r>
    <s v="ORD-2026-0939"/>
    <s v="2026-03-13"/>
    <x v="9"/>
    <s v="Q1"/>
    <x v="32"/>
    <x v="5"/>
    <x v="1"/>
    <s v="Chennai"/>
    <x v="1"/>
    <x v="0"/>
    <x v="9"/>
    <n v="3847.79"/>
    <n v="25"/>
    <x v="938"/>
    <n v="9.9"/>
    <x v="938"/>
    <n v="39.9"/>
    <n v="34581.919999999998"/>
    <x v="1"/>
  </r>
  <r>
    <s v="ORD-2026-0940"/>
    <s v="2026-01-03"/>
    <x v="7"/>
    <s v="Q1"/>
    <x v="11"/>
    <x v="2"/>
    <x v="0"/>
    <s v="Bhubaneswar"/>
    <x v="3"/>
    <x v="0"/>
    <x v="5"/>
    <n v="1496.75"/>
    <n v="5"/>
    <x v="939"/>
    <n v="8.6999999999999993"/>
    <x v="939"/>
    <n v="33"/>
    <n v="2254.7800000000002"/>
    <x v="0"/>
  </r>
  <r>
    <s v="ORD-2026-0941"/>
    <s v="2026-07-07"/>
    <x v="5"/>
    <s v="Q3"/>
    <x v="7"/>
    <x v="0"/>
    <x v="2"/>
    <s v="Indore"/>
    <x v="1"/>
    <x v="3"/>
    <x v="1"/>
    <n v="30937.3"/>
    <n v="7"/>
    <x v="940"/>
    <n v="10.3"/>
    <x v="940"/>
    <n v="26.2"/>
    <n v="50894.89"/>
    <x v="1"/>
  </r>
  <r>
    <s v="ORD-2026-0942"/>
    <s v="2026-12-09"/>
    <x v="1"/>
    <s v="Q4"/>
    <x v="21"/>
    <x v="5"/>
    <x v="3"/>
    <s v="Ahmedabad"/>
    <x v="0"/>
    <x v="2"/>
    <x v="7"/>
    <n v="1647.29"/>
    <n v="5"/>
    <x v="941"/>
    <n v="16.7"/>
    <x v="941"/>
    <n v="39.4"/>
    <n v="2703.22"/>
    <x v="2"/>
  </r>
  <r>
    <s v="ORD-2026-0943"/>
    <s v="2026-07-03"/>
    <x v="5"/>
    <s v="Q3"/>
    <x v="10"/>
    <x v="1"/>
    <x v="3"/>
    <s v="Mumbai"/>
    <x v="0"/>
    <x v="0"/>
    <x v="8"/>
    <n v="35871.040000000001"/>
    <n v="4"/>
    <x v="942"/>
    <n v="24.2"/>
    <x v="942"/>
    <n v="30.8"/>
    <n v="33498.379999999997"/>
    <x v="1"/>
  </r>
  <r>
    <s v="ORD-2026-0944"/>
    <s v="2026-11-21"/>
    <x v="0"/>
    <s v="Q4"/>
    <x v="36"/>
    <x v="4"/>
    <x v="3"/>
    <s v="Pune"/>
    <x v="1"/>
    <x v="2"/>
    <x v="0"/>
    <n v="3863.27"/>
    <n v="20"/>
    <x v="943"/>
    <n v="13.5"/>
    <x v="943"/>
    <n v="68.2"/>
    <n v="45581.18"/>
    <x v="1"/>
  </r>
  <r>
    <s v="ORD-2026-0945"/>
    <s v="2026-11-01"/>
    <x v="0"/>
    <s v="Q4"/>
    <x v="25"/>
    <x v="5"/>
    <x v="4"/>
    <s v="Chandigarh"/>
    <x v="3"/>
    <x v="2"/>
    <x v="9"/>
    <n v="3727.53"/>
    <n v="5"/>
    <x v="944"/>
    <n v="15"/>
    <x v="944"/>
    <n v="59.2"/>
    <n v="9378.4599999999991"/>
    <x v="1"/>
  </r>
  <r>
    <s v="ORD-2026-0946"/>
    <s v="2026-05-13"/>
    <x v="11"/>
    <s v="Q2"/>
    <x v="27"/>
    <x v="3"/>
    <x v="1"/>
    <s v="Chennai"/>
    <x v="0"/>
    <x v="2"/>
    <x v="4"/>
    <n v="7037.58"/>
    <n v="1"/>
    <x v="945"/>
    <n v="18.8"/>
    <x v="945"/>
    <n v="41.1"/>
    <n v="2348.66"/>
    <x v="2"/>
  </r>
  <r>
    <s v="ORD-2026-0947"/>
    <s v="2026-10-16"/>
    <x v="2"/>
    <s v="Q4"/>
    <x v="7"/>
    <x v="0"/>
    <x v="1"/>
    <s v="Hyderabad"/>
    <x v="2"/>
    <x v="3"/>
    <x v="2"/>
    <n v="34983.800000000003"/>
    <n v="5"/>
    <x v="946"/>
    <n v="22.3"/>
    <x v="946"/>
    <n v="18.5"/>
    <n v="25143.73"/>
    <x v="2"/>
  </r>
  <r>
    <s v="ORD-2026-0948"/>
    <s v="2026-06-24"/>
    <x v="10"/>
    <s v="Q2"/>
    <x v="36"/>
    <x v="4"/>
    <x v="1"/>
    <s v="Bengaluru"/>
    <x v="4"/>
    <x v="0"/>
    <x v="3"/>
    <n v="2709.28"/>
    <n v="19"/>
    <x v="947"/>
    <n v="8.9"/>
    <x v="947"/>
    <n v="60.9"/>
    <n v="28559.01"/>
    <x v="1"/>
  </r>
  <r>
    <s v="ORD-2026-0949"/>
    <s v="2026-07-24"/>
    <x v="5"/>
    <s v="Q3"/>
    <x v="33"/>
    <x v="3"/>
    <x v="3"/>
    <s v="Ahmedabad"/>
    <x v="4"/>
    <x v="1"/>
    <x v="1"/>
    <n v="6438.87"/>
    <n v="15"/>
    <x v="948"/>
    <n v="19.5"/>
    <x v="948"/>
    <n v="39.4"/>
    <n v="30633.25"/>
    <x v="1"/>
  </r>
  <r>
    <s v="ORD-2026-0950"/>
    <s v="2026-01-16"/>
    <x v="7"/>
    <s v="Q1"/>
    <x v="31"/>
    <x v="4"/>
    <x v="0"/>
    <s v="Guwahati"/>
    <x v="3"/>
    <x v="1"/>
    <x v="7"/>
    <n v="852.31"/>
    <n v="25"/>
    <x v="949"/>
    <n v="14.6"/>
    <x v="949"/>
    <n v="50.2"/>
    <n v="9134.7999999999993"/>
    <x v="1"/>
  </r>
  <r>
    <s v="ORD-2026-0951"/>
    <s v="2026-09-07"/>
    <x v="3"/>
    <s v="Q3"/>
    <x v="21"/>
    <x v="5"/>
    <x v="3"/>
    <s v="Mumbai"/>
    <x v="4"/>
    <x v="1"/>
    <x v="0"/>
    <n v="1397.26"/>
    <n v="18"/>
    <x v="950"/>
    <n v="2.2999999999999998"/>
    <x v="950"/>
    <n v="50.5"/>
    <n v="12408.97"/>
    <x v="1"/>
  </r>
  <r>
    <s v="ORD-2026-0952"/>
    <s v="2026-04-29"/>
    <x v="4"/>
    <s v="Q2"/>
    <x v="38"/>
    <x v="0"/>
    <x v="0"/>
    <s v="Kolkata"/>
    <x v="1"/>
    <x v="1"/>
    <x v="7"/>
    <n v="42734.33"/>
    <n v="17"/>
    <x v="951"/>
    <n v="17"/>
    <x v="951"/>
    <n v="14.1"/>
    <n v="85020.38"/>
    <x v="1"/>
  </r>
  <r>
    <s v="ORD-2026-0953"/>
    <s v="2026-06-10"/>
    <x v="10"/>
    <s v="Q2"/>
    <x v="17"/>
    <x v="4"/>
    <x v="2"/>
    <s v="Indore"/>
    <x v="1"/>
    <x v="2"/>
    <x v="5"/>
    <n v="2582.65"/>
    <n v="10"/>
    <x v="952"/>
    <n v="23"/>
    <x v="952"/>
    <n v="55.4"/>
    <n v="11017.07"/>
    <x v="3"/>
  </r>
  <r>
    <s v="ORD-2026-0954"/>
    <s v="2026-04-07"/>
    <x v="4"/>
    <s v="Q2"/>
    <x v="12"/>
    <x v="4"/>
    <x v="2"/>
    <s v="Bhopal"/>
    <x v="0"/>
    <x v="0"/>
    <x v="8"/>
    <n v="1508.56"/>
    <n v="12"/>
    <x v="953"/>
    <n v="18.8"/>
    <x v="953"/>
    <n v="55.5"/>
    <n v="8158.17"/>
    <x v="2"/>
  </r>
  <r>
    <s v="ORD-2026-0955"/>
    <s v="2026-12-24"/>
    <x v="1"/>
    <s v="Q4"/>
    <x v="13"/>
    <x v="4"/>
    <x v="4"/>
    <s v="Jaipur"/>
    <x v="2"/>
    <x v="0"/>
    <x v="4"/>
    <n v="254.53"/>
    <n v="18"/>
    <x v="954"/>
    <n v="12.2"/>
    <x v="954"/>
    <n v="70.099999999999994"/>
    <n v="2819.84"/>
    <x v="1"/>
  </r>
  <r>
    <s v="ORD-2026-0956"/>
    <s v="2026-12-07"/>
    <x v="1"/>
    <s v="Q4"/>
    <x v="12"/>
    <x v="4"/>
    <x v="3"/>
    <s v="Surat"/>
    <x v="1"/>
    <x v="0"/>
    <x v="1"/>
    <n v="2433.38"/>
    <n v="11"/>
    <x v="955"/>
    <n v="23.4"/>
    <x v="955"/>
    <n v="64.7"/>
    <n v="13265.87"/>
    <x v="0"/>
  </r>
  <r>
    <s v="ORD-2026-0957"/>
    <s v="2026-07-02"/>
    <x v="5"/>
    <s v="Q3"/>
    <x v="34"/>
    <x v="5"/>
    <x v="1"/>
    <s v="Kochi"/>
    <x v="3"/>
    <x v="0"/>
    <x v="8"/>
    <n v="1273.3800000000001"/>
    <n v="14"/>
    <x v="956"/>
    <n v="19.899999999999999"/>
    <x v="956"/>
    <n v="57.3"/>
    <n v="8182.26"/>
    <x v="1"/>
  </r>
  <r>
    <s v="ORD-2026-0958"/>
    <s v="2026-02-08"/>
    <x v="6"/>
    <s v="Q1"/>
    <x v="1"/>
    <x v="1"/>
    <x v="1"/>
    <s v="Chennai"/>
    <x v="1"/>
    <x v="3"/>
    <x v="5"/>
    <n v="27617.88"/>
    <n v="3"/>
    <x v="957"/>
    <n v="2.7"/>
    <x v="957"/>
    <n v="35.700000000000003"/>
    <n v="28780.12"/>
    <x v="1"/>
  </r>
  <r>
    <s v="ORD-2026-0959"/>
    <s v="2026-07-25"/>
    <x v="5"/>
    <s v="Q3"/>
    <x v="30"/>
    <x v="4"/>
    <x v="2"/>
    <s v="Indore"/>
    <x v="0"/>
    <x v="3"/>
    <x v="6"/>
    <n v="932.8"/>
    <n v="6"/>
    <x v="958"/>
    <n v="23.8"/>
    <x v="958"/>
    <n v="54"/>
    <n v="2302.9699999999998"/>
    <x v="1"/>
  </r>
  <r>
    <s v="ORD-2026-0960"/>
    <s v="2026-08-07"/>
    <x v="8"/>
    <s v="Q3"/>
    <x v="2"/>
    <x v="2"/>
    <x v="2"/>
    <s v="Nagpur"/>
    <x v="2"/>
    <x v="0"/>
    <x v="1"/>
    <n v="371.34"/>
    <n v="8"/>
    <x v="959"/>
    <n v="12.2"/>
    <x v="959"/>
    <n v="26.2"/>
    <n v="683.37"/>
    <x v="1"/>
  </r>
  <r>
    <s v="ORD-2026-0961"/>
    <s v="2026-05-26"/>
    <x v="11"/>
    <s v="Q2"/>
    <x v="8"/>
    <x v="3"/>
    <x v="0"/>
    <s v="Kolkata"/>
    <x v="4"/>
    <x v="0"/>
    <x v="1"/>
    <n v="2098.59"/>
    <n v="22"/>
    <x v="960"/>
    <n v="15.5"/>
    <x v="960"/>
    <n v="26.1"/>
    <n v="10182.34"/>
    <x v="1"/>
  </r>
  <r>
    <s v="ORD-2026-0962"/>
    <s v="2026-01-07"/>
    <x v="7"/>
    <s v="Q1"/>
    <x v="39"/>
    <x v="1"/>
    <x v="2"/>
    <s v="Nagpur"/>
    <x v="1"/>
    <x v="2"/>
    <x v="9"/>
    <n v="7421.11"/>
    <n v="16"/>
    <x v="961"/>
    <n v="13.4"/>
    <x v="961"/>
    <n v="32.9"/>
    <n v="33830.050000000003"/>
    <x v="1"/>
  </r>
  <r>
    <s v="ORD-2026-0963"/>
    <s v="2026-10-26"/>
    <x v="2"/>
    <s v="Q4"/>
    <x v="16"/>
    <x v="0"/>
    <x v="0"/>
    <s v="Bhubaneswar"/>
    <x v="1"/>
    <x v="0"/>
    <x v="5"/>
    <n v="77963.960000000006"/>
    <n v="4"/>
    <x v="962"/>
    <n v="24.7"/>
    <x v="962"/>
    <n v="19.8"/>
    <n v="46495.839999999997"/>
    <x v="3"/>
  </r>
  <r>
    <s v="ORD-2026-0964"/>
    <s v="2026-08-21"/>
    <x v="8"/>
    <s v="Q3"/>
    <x v="35"/>
    <x v="5"/>
    <x v="1"/>
    <s v="Kochi"/>
    <x v="4"/>
    <x v="1"/>
    <x v="8"/>
    <n v="2510.16"/>
    <n v="18"/>
    <x v="963"/>
    <n v="4.3"/>
    <x v="963"/>
    <n v="51.4"/>
    <n v="22225.37"/>
    <x v="1"/>
  </r>
  <r>
    <s v="ORD-2026-0965"/>
    <s v="2026-01-27"/>
    <x v="7"/>
    <s v="Q1"/>
    <x v="32"/>
    <x v="5"/>
    <x v="2"/>
    <s v="Raipur"/>
    <x v="3"/>
    <x v="2"/>
    <x v="2"/>
    <n v="459.16"/>
    <n v="8"/>
    <x v="964"/>
    <n v="13.4"/>
    <x v="964"/>
    <n v="56"/>
    <n v="1781.39"/>
    <x v="1"/>
  </r>
  <r>
    <s v="ORD-2026-0966"/>
    <s v="2026-08-26"/>
    <x v="8"/>
    <s v="Q3"/>
    <x v="41"/>
    <x v="5"/>
    <x v="0"/>
    <s v="Kolkata"/>
    <x v="2"/>
    <x v="3"/>
    <x v="0"/>
    <n v="3650.76"/>
    <n v="17"/>
    <x v="965"/>
    <n v="12.3"/>
    <x v="965"/>
    <n v="50.7"/>
    <n v="27595.59"/>
    <x v="1"/>
  </r>
  <r>
    <s v="ORD-2026-0967"/>
    <s v="2026-11-09"/>
    <x v="0"/>
    <s v="Q4"/>
    <x v="19"/>
    <x v="0"/>
    <x v="2"/>
    <s v="Bhopal"/>
    <x v="3"/>
    <x v="0"/>
    <x v="0"/>
    <n v="42757.75"/>
    <n v="11"/>
    <x v="966"/>
    <n v="1.1000000000000001"/>
    <x v="966"/>
    <n v="22"/>
    <n v="102335.54"/>
    <x v="1"/>
  </r>
  <r>
    <s v="ORD-2026-0968"/>
    <s v="2026-01-22"/>
    <x v="7"/>
    <s v="Q1"/>
    <x v="25"/>
    <x v="5"/>
    <x v="2"/>
    <s v="Bhopal"/>
    <x v="1"/>
    <x v="3"/>
    <x v="8"/>
    <n v="2897.56"/>
    <n v="12"/>
    <x v="967"/>
    <n v="21.3"/>
    <x v="967"/>
    <n v="50.9"/>
    <n v="13928.56"/>
    <x v="2"/>
  </r>
  <r>
    <s v="ORD-2026-0969"/>
    <s v="2026-03-14"/>
    <x v="9"/>
    <s v="Q1"/>
    <x v="8"/>
    <x v="3"/>
    <x v="0"/>
    <s v="Bhubaneswar"/>
    <x v="4"/>
    <x v="1"/>
    <x v="2"/>
    <n v="4013.95"/>
    <n v="3"/>
    <x v="968"/>
    <n v="9.6999999999999993"/>
    <x v="968"/>
    <n v="33.5"/>
    <n v="3642.72"/>
    <x v="2"/>
  </r>
  <r>
    <s v="ORD-2026-0970"/>
    <s v="2026-04-17"/>
    <x v="4"/>
    <s v="Q2"/>
    <x v="17"/>
    <x v="4"/>
    <x v="3"/>
    <s v="Surat"/>
    <x v="2"/>
    <x v="2"/>
    <x v="2"/>
    <n v="3409.96"/>
    <n v="4"/>
    <x v="969"/>
    <n v="8.3000000000000007"/>
    <x v="969"/>
    <n v="63.6"/>
    <n v="7954.92"/>
    <x v="1"/>
  </r>
  <r>
    <s v="ORD-2026-0971"/>
    <s v="2026-09-18"/>
    <x v="3"/>
    <s v="Q3"/>
    <x v="35"/>
    <x v="5"/>
    <x v="1"/>
    <s v="Kochi"/>
    <x v="1"/>
    <x v="0"/>
    <x v="3"/>
    <n v="2271.9"/>
    <n v="18"/>
    <x v="970"/>
    <n v="18.100000000000001"/>
    <x v="970"/>
    <n v="55.7"/>
    <n v="18655.240000000002"/>
    <x v="1"/>
  </r>
  <r>
    <s v="ORD-2026-0972"/>
    <s v="2026-05-15"/>
    <x v="11"/>
    <s v="Q2"/>
    <x v="22"/>
    <x v="3"/>
    <x v="1"/>
    <s v="Hyderabad"/>
    <x v="2"/>
    <x v="1"/>
    <x v="7"/>
    <n v="5456.3"/>
    <n v="9"/>
    <x v="971"/>
    <n v="21.1"/>
    <x v="971"/>
    <n v="46"/>
    <n v="17822.79"/>
    <x v="1"/>
  </r>
  <r>
    <s v="ORD-2026-0973"/>
    <s v="2026-12-20"/>
    <x v="1"/>
    <s v="Q4"/>
    <x v="31"/>
    <x v="4"/>
    <x v="1"/>
    <s v="Bengaluru"/>
    <x v="4"/>
    <x v="3"/>
    <x v="6"/>
    <n v="2233.09"/>
    <n v="15"/>
    <x v="972"/>
    <n v="17.899999999999999"/>
    <x v="972"/>
    <n v="65.8"/>
    <n v="18095.330000000002"/>
    <x v="0"/>
  </r>
  <r>
    <s v="ORD-2026-0974"/>
    <s v="2026-06-16"/>
    <x v="10"/>
    <s v="Q2"/>
    <x v="15"/>
    <x v="2"/>
    <x v="3"/>
    <s v="Mumbai"/>
    <x v="0"/>
    <x v="1"/>
    <x v="3"/>
    <n v="1286.53"/>
    <n v="3"/>
    <x v="973"/>
    <n v="14"/>
    <x v="973"/>
    <n v="22.8"/>
    <n v="756.79"/>
    <x v="1"/>
  </r>
  <r>
    <s v="ORD-2026-0975"/>
    <s v="2026-05-23"/>
    <x v="11"/>
    <s v="Q2"/>
    <x v="6"/>
    <x v="2"/>
    <x v="3"/>
    <s v="Ahmedabad"/>
    <x v="4"/>
    <x v="1"/>
    <x v="7"/>
    <n v="835.73"/>
    <n v="25"/>
    <x v="974"/>
    <n v="17.399999999999999"/>
    <x v="974"/>
    <n v="35.200000000000003"/>
    <n v="6074.75"/>
    <x v="2"/>
  </r>
  <r>
    <s v="ORD-2026-0976"/>
    <s v="2026-09-11"/>
    <x v="3"/>
    <s v="Q3"/>
    <x v="5"/>
    <x v="0"/>
    <x v="2"/>
    <s v="Indore"/>
    <x v="3"/>
    <x v="0"/>
    <x v="5"/>
    <n v="79878.14"/>
    <n v="2"/>
    <x v="975"/>
    <n v="13"/>
    <x v="975"/>
    <n v="16.2"/>
    <n v="22516.05"/>
    <x v="1"/>
  </r>
  <r>
    <s v="ORD-2026-0977"/>
    <s v="2026-04-09"/>
    <x v="4"/>
    <s v="Q2"/>
    <x v="21"/>
    <x v="5"/>
    <x v="2"/>
    <s v="Indore"/>
    <x v="3"/>
    <x v="0"/>
    <x v="4"/>
    <n v="2154.9"/>
    <n v="14"/>
    <x v="976"/>
    <n v="4.0999999999999996"/>
    <x v="976"/>
    <n v="42.3"/>
    <n v="12238.1"/>
    <x v="1"/>
  </r>
  <r>
    <s v="ORD-2026-0978"/>
    <s v="2026-10-30"/>
    <x v="2"/>
    <s v="Q4"/>
    <x v="3"/>
    <x v="3"/>
    <x v="3"/>
    <s v="Mumbai"/>
    <x v="0"/>
    <x v="0"/>
    <x v="0"/>
    <n v="2863.79"/>
    <n v="18"/>
    <x v="977"/>
    <n v="19.3"/>
    <x v="977"/>
    <n v="31.4"/>
    <n v="13062.21"/>
    <x v="1"/>
  </r>
  <r>
    <s v="ORD-2026-0979"/>
    <s v="2026-03-03"/>
    <x v="9"/>
    <s v="Q1"/>
    <x v="33"/>
    <x v="3"/>
    <x v="4"/>
    <s v="Delhi"/>
    <x v="2"/>
    <x v="3"/>
    <x v="2"/>
    <n v="5110.5600000000004"/>
    <n v="16"/>
    <x v="978"/>
    <n v="4"/>
    <x v="978"/>
    <n v="25.4"/>
    <n v="19938.54"/>
    <x v="1"/>
  </r>
  <r>
    <s v="ORD-2026-0980"/>
    <s v="2026-10-05"/>
    <x v="2"/>
    <s v="Q4"/>
    <x v="9"/>
    <x v="1"/>
    <x v="4"/>
    <s v="Delhi"/>
    <x v="1"/>
    <x v="2"/>
    <x v="3"/>
    <n v="29245.33"/>
    <n v="18"/>
    <x v="979"/>
    <n v="17"/>
    <x v="979"/>
    <n v="40.799999999999997"/>
    <n v="178265.49"/>
    <x v="3"/>
  </r>
  <r>
    <s v="ORD-2026-0981"/>
    <s v="2026-05-22"/>
    <x v="11"/>
    <s v="Q2"/>
    <x v="0"/>
    <x v="0"/>
    <x v="0"/>
    <s v="Guwahati"/>
    <x v="4"/>
    <x v="0"/>
    <x v="4"/>
    <n v="91533.02"/>
    <n v="8"/>
    <x v="980"/>
    <n v="1"/>
    <x v="980"/>
    <n v="12.4"/>
    <n v="89892.75"/>
    <x v="2"/>
  </r>
  <r>
    <s v="ORD-2026-0982"/>
    <s v="2026-03-20"/>
    <x v="9"/>
    <s v="Q1"/>
    <x v="1"/>
    <x v="1"/>
    <x v="3"/>
    <s v="Mumbai"/>
    <x v="3"/>
    <x v="1"/>
    <x v="4"/>
    <n v="20907.32"/>
    <n v="22"/>
    <x v="981"/>
    <n v="21.8"/>
    <x v="981"/>
    <n v="38.1"/>
    <n v="137041.71"/>
    <x v="2"/>
  </r>
  <r>
    <s v="ORD-2026-0983"/>
    <s v="2026-01-27"/>
    <x v="7"/>
    <s v="Q1"/>
    <x v="34"/>
    <x v="5"/>
    <x v="3"/>
    <s v="Mumbai"/>
    <x v="0"/>
    <x v="0"/>
    <x v="8"/>
    <n v="2138.61"/>
    <n v="21"/>
    <x v="982"/>
    <n v="10.4"/>
    <x v="982"/>
    <n v="50.4"/>
    <n v="20281.009999999998"/>
    <x v="1"/>
  </r>
  <r>
    <s v="ORD-2026-0984"/>
    <s v="2026-06-28"/>
    <x v="10"/>
    <s v="Q2"/>
    <x v="7"/>
    <x v="0"/>
    <x v="0"/>
    <s v="Kolkata"/>
    <x v="2"/>
    <x v="3"/>
    <x v="1"/>
    <n v="86218.62"/>
    <n v="9"/>
    <x v="983"/>
    <n v="10"/>
    <x v="983"/>
    <n v="22.2"/>
    <n v="155038.32"/>
    <x v="1"/>
  </r>
  <r>
    <s v="ORD-2026-0985"/>
    <s v="2026-10-26"/>
    <x v="2"/>
    <s v="Q4"/>
    <x v="27"/>
    <x v="3"/>
    <x v="2"/>
    <s v="Nagpur"/>
    <x v="4"/>
    <x v="3"/>
    <x v="3"/>
    <n v="2389.0300000000002"/>
    <n v="10"/>
    <x v="984"/>
    <n v="24.3"/>
    <x v="984"/>
    <n v="45.7"/>
    <n v="8264.83"/>
    <x v="2"/>
  </r>
  <r>
    <s v="ORD-2026-0986"/>
    <s v="2026-12-21"/>
    <x v="1"/>
    <s v="Q4"/>
    <x v="36"/>
    <x v="4"/>
    <x v="4"/>
    <s v="Chandigarh"/>
    <x v="0"/>
    <x v="2"/>
    <x v="7"/>
    <n v="402.69"/>
    <n v="11"/>
    <x v="985"/>
    <n v="13.2"/>
    <x v="985"/>
    <n v="66.5"/>
    <n v="2556.85"/>
    <x v="3"/>
  </r>
  <r>
    <s v="ORD-2026-0987"/>
    <s v="2026-07-26"/>
    <x v="5"/>
    <s v="Q3"/>
    <x v="23"/>
    <x v="2"/>
    <x v="3"/>
    <s v="Ahmedabad"/>
    <x v="3"/>
    <x v="1"/>
    <x v="2"/>
    <n v="1012.4"/>
    <n v="22"/>
    <x v="986"/>
    <n v="21.3"/>
    <x v="986"/>
    <n v="32.299999999999997"/>
    <n v="5661.77"/>
    <x v="1"/>
  </r>
  <r>
    <s v="ORD-2026-0988"/>
    <s v="2026-01-24"/>
    <x v="7"/>
    <s v="Q1"/>
    <x v="23"/>
    <x v="2"/>
    <x v="4"/>
    <s v="Lucknow"/>
    <x v="0"/>
    <x v="0"/>
    <x v="6"/>
    <n v="1261.07"/>
    <n v="13"/>
    <x v="987"/>
    <n v="12"/>
    <x v="987"/>
    <n v="24.9"/>
    <n v="3592.23"/>
    <x v="0"/>
  </r>
  <r>
    <s v="ORD-2026-0989"/>
    <s v="2026-12-04"/>
    <x v="1"/>
    <s v="Q4"/>
    <x v="21"/>
    <x v="5"/>
    <x v="1"/>
    <s v="Chennai"/>
    <x v="2"/>
    <x v="2"/>
    <x v="6"/>
    <n v="628.14"/>
    <n v="23"/>
    <x v="988"/>
    <n v="3.2"/>
    <x v="988"/>
    <n v="49.1"/>
    <n v="6866.59"/>
    <x v="2"/>
  </r>
  <r>
    <s v="ORD-2026-0990"/>
    <s v="2026-09-26"/>
    <x v="3"/>
    <s v="Q3"/>
    <x v="18"/>
    <x v="3"/>
    <x v="4"/>
    <s v="Jaipur"/>
    <x v="4"/>
    <x v="1"/>
    <x v="2"/>
    <n v="1765.72"/>
    <n v="13"/>
    <x v="989"/>
    <n v="16.100000000000001"/>
    <x v="989"/>
    <n v="40.5"/>
    <n v="7799.78"/>
    <x v="1"/>
  </r>
  <r>
    <s v="ORD-2026-0991"/>
    <s v="2026-09-01"/>
    <x v="3"/>
    <s v="Q3"/>
    <x v="33"/>
    <x v="3"/>
    <x v="4"/>
    <s v="Delhi"/>
    <x v="0"/>
    <x v="3"/>
    <x v="3"/>
    <n v="5596.4"/>
    <n v="8"/>
    <x v="990"/>
    <n v="24.9"/>
    <x v="990"/>
    <n v="38.700000000000003"/>
    <n v="13012.17"/>
    <x v="1"/>
  </r>
  <r>
    <s v="ORD-2026-0992"/>
    <s v="2026-07-23"/>
    <x v="5"/>
    <s v="Q3"/>
    <x v="18"/>
    <x v="3"/>
    <x v="4"/>
    <s v="Chandigarh"/>
    <x v="2"/>
    <x v="3"/>
    <x v="9"/>
    <n v="4012.1"/>
    <n v="7"/>
    <x v="991"/>
    <n v="20.6"/>
    <x v="991"/>
    <n v="45.8"/>
    <n v="10213.06"/>
    <x v="1"/>
  </r>
  <r>
    <s v="ORD-2026-0993"/>
    <s v="2026-03-01"/>
    <x v="9"/>
    <s v="Q1"/>
    <x v="21"/>
    <x v="5"/>
    <x v="3"/>
    <s v="Surat"/>
    <x v="0"/>
    <x v="3"/>
    <x v="6"/>
    <n v="1548.75"/>
    <n v="1"/>
    <x v="992"/>
    <n v="2.2999999999999998"/>
    <x v="992"/>
    <n v="43.1"/>
    <n v="652.16"/>
    <x v="1"/>
  </r>
  <r>
    <s v="ORD-2026-0994"/>
    <s v="2026-03-19"/>
    <x v="9"/>
    <s v="Q1"/>
    <x v="41"/>
    <x v="5"/>
    <x v="3"/>
    <s v="Pune"/>
    <x v="3"/>
    <x v="3"/>
    <x v="3"/>
    <n v="1972.71"/>
    <n v="25"/>
    <x v="993"/>
    <n v="9"/>
    <x v="993"/>
    <n v="56.8"/>
    <n v="25491.360000000001"/>
    <x v="1"/>
  </r>
  <r>
    <s v="ORD-2026-0995"/>
    <s v="2026-12-23"/>
    <x v="1"/>
    <s v="Q4"/>
    <x v="23"/>
    <x v="2"/>
    <x v="0"/>
    <s v="Patna"/>
    <x v="1"/>
    <x v="2"/>
    <x v="0"/>
    <n v="240.73"/>
    <n v="16"/>
    <x v="994"/>
    <n v="10.3"/>
    <x v="994"/>
    <n v="32.299999999999997"/>
    <n v="1115.95"/>
    <x v="1"/>
  </r>
  <r>
    <s v="ORD-2026-0996"/>
    <s v="2026-09-27"/>
    <x v="3"/>
    <s v="Q3"/>
    <x v="0"/>
    <x v="0"/>
    <x v="3"/>
    <s v="Surat"/>
    <x v="2"/>
    <x v="2"/>
    <x v="2"/>
    <n v="25141.27"/>
    <n v="8"/>
    <x v="995"/>
    <n v="16.8"/>
    <x v="995"/>
    <n v="23.8"/>
    <n v="39826.99"/>
    <x v="2"/>
  </r>
  <r>
    <s v="ORD-2026-0997"/>
    <s v="2026-09-30"/>
    <x v="3"/>
    <s v="Q3"/>
    <x v="26"/>
    <x v="2"/>
    <x v="2"/>
    <s v="Bhopal"/>
    <x v="4"/>
    <x v="2"/>
    <x v="2"/>
    <n v="155.76"/>
    <n v="11"/>
    <x v="996"/>
    <n v="0.8"/>
    <x v="996"/>
    <n v="40.1"/>
    <n v="681.56"/>
    <x v="1"/>
  </r>
  <r>
    <s v="ORD-2026-0998"/>
    <s v="2026-08-15"/>
    <x v="8"/>
    <s v="Q3"/>
    <x v="36"/>
    <x v="4"/>
    <x v="4"/>
    <s v="Chandigarh"/>
    <x v="0"/>
    <x v="2"/>
    <x v="2"/>
    <n v="2935.36"/>
    <n v="25"/>
    <x v="997"/>
    <n v="5.0999999999999996"/>
    <x v="997"/>
    <n v="56"/>
    <n v="38999.199999999997"/>
    <x v="1"/>
  </r>
  <r>
    <s v="ORD-2026-0999"/>
    <s v="2026-05-06"/>
    <x v="11"/>
    <s v="Q2"/>
    <x v="0"/>
    <x v="0"/>
    <x v="4"/>
    <s v="Delhi"/>
    <x v="4"/>
    <x v="2"/>
    <x v="5"/>
    <n v="46571.8"/>
    <n v="11"/>
    <x v="998"/>
    <n v="3.1"/>
    <x v="998"/>
    <n v="14.8"/>
    <n v="73468.509999999995"/>
    <x v="1"/>
  </r>
  <r>
    <s v="ORD-2026-1000"/>
    <s v="2026-07-22"/>
    <x v="5"/>
    <s v="Q3"/>
    <x v="39"/>
    <x v="1"/>
    <x v="1"/>
    <s v="Hyderabad"/>
    <x v="0"/>
    <x v="0"/>
    <x v="5"/>
    <n v="23512.01"/>
    <n v="23"/>
    <x v="999"/>
    <n v="15.2"/>
    <x v="999"/>
    <n v="36"/>
    <n v="165088.1700000000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1EE84E-9D84-4050-8C82-107DDC1633C4}" name="PivotTable1"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10" firstHeaderRow="1" firstDataRow="1" firstDataCol="1"/>
  <pivotFields count="19">
    <pivotField showAll="0"/>
    <pivotField showAll="0"/>
    <pivotField showAll="0"/>
    <pivotField showAll="0"/>
    <pivotField showAll="0"/>
    <pivotField showAll="0"/>
    <pivotField axis="axisRow" showAll="0">
      <items count="7">
        <item x="2"/>
        <item x="0"/>
        <item x="4"/>
        <item x="1"/>
        <item x="3"/>
        <item x="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6"/>
  </rowFields>
  <rowItems count="7">
    <i>
      <x/>
    </i>
    <i>
      <x v="1"/>
    </i>
    <i>
      <x v="2"/>
    </i>
    <i>
      <x v="3"/>
    </i>
    <i>
      <x v="4"/>
    </i>
    <i>
      <x v="5"/>
    </i>
    <i t="grand">
      <x/>
    </i>
  </rowItems>
  <colItems count="1">
    <i/>
  </colItems>
  <dataFields count="1">
    <dataField name="Sum of Net Revenue (INR)" fld="15"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6" count="1" selected="0">
            <x v="0"/>
          </reference>
        </references>
      </pivotArea>
    </chartFormat>
    <chartFormat chart="5" format="16">
      <pivotArea type="data" outline="0" fieldPosition="0">
        <references count="2">
          <reference field="4294967294" count="1" selected="0">
            <x v="0"/>
          </reference>
          <reference field="6" count="1" selected="0">
            <x v="1"/>
          </reference>
        </references>
      </pivotArea>
    </chartFormat>
    <chartFormat chart="5" format="17">
      <pivotArea type="data" outline="0" fieldPosition="0">
        <references count="2">
          <reference field="4294967294" count="1" selected="0">
            <x v="0"/>
          </reference>
          <reference field="6" count="1" selected="0">
            <x v="2"/>
          </reference>
        </references>
      </pivotArea>
    </chartFormat>
    <chartFormat chart="5" format="18">
      <pivotArea type="data" outline="0" fieldPosition="0">
        <references count="2">
          <reference field="4294967294" count="1" selected="0">
            <x v="0"/>
          </reference>
          <reference field="6" count="1" selected="0">
            <x v="3"/>
          </reference>
        </references>
      </pivotArea>
    </chartFormat>
    <chartFormat chart="5" format="19">
      <pivotArea type="data" outline="0" fieldPosition="0">
        <references count="2">
          <reference field="4294967294" count="1" selected="0">
            <x v="0"/>
          </reference>
          <reference field="6" count="1" selected="0">
            <x v="4"/>
          </reference>
        </references>
      </pivotArea>
    </chartFormat>
    <chartFormat chart="5" format="20">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CD14EF-D11A-43F9-A796-C18BAF65E984}" name="PivotTable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7" firstHeaderRow="1" firstDataRow="1" firstDataCol="1"/>
  <pivotFields count="19">
    <pivotField showAll="0"/>
    <pivotField showAll="0"/>
    <pivotField axis="axisRow" showAll="0">
      <items count="14">
        <item x="7"/>
        <item x="6"/>
        <item x="9"/>
        <item x="4"/>
        <item x="11"/>
        <item x="10"/>
        <item x="5"/>
        <item x="8"/>
        <item x="3"/>
        <item x="2"/>
        <item x="0"/>
        <item x="1"/>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14">
    <i>
      <x/>
    </i>
    <i>
      <x v="1"/>
    </i>
    <i>
      <x v="2"/>
    </i>
    <i>
      <x v="3"/>
    </i>
    <i>
      <x v="4"/>
    </i>
    <i>
      <x v="5"/>
    </i>
    <i>
      <x v="6"/>
    </i>
    <i>
      <x v="7"/>
    </i>
    <i>
      <x v="8"/>
    </i>
    <i>
      <x v="9"/>
    </i>
    <i>
      <x v="10"/>
    </i>
    <i>
      <x v="11"/>
    </i>
    <i>
      <x v="12"/>
    </i>
    <i t="grand">
      <x/>
    </i>
  </rowItems>
  <colItems count="1">
    <i/>
  </colItems>
  <dataFields count="1">
    <dataField name="Sum of Net Revenue (INR)" fld="1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72EF33-E107-442B-AB84-342353D1B609}" name="PivotTable3"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0" firstHeaderRow="1" firstDataRow="1" firstDataCol="1"/>
  <pivotFields count="19">
    <pivotField showAll="0"/>
    <pivotField showAll="0"/>
    <pivotField showAll="0"/>
    <pivotField showAll="0"/>
    <pivotField dataField="1" showAll="0">
      <items count="43">
        <item x="22"/>
        <item x="10"/>
        <item x="13"/>
        <item x="37"/>
        <item x="9"/>
        <item x="32"/>
        <item x="33"/>
        <item x="24"/>
        <item x="28"/>
        <item x="8"/>
        <item x="4"/>
        <item x="12"/>
        <item x="3"/>
        <item x="41"/>
        <item x="30"/>
        <item x="19"/>
        <item x="15"/>
        <item x="36"/>
        <item x="34"/>
        <item x="16"/>
        <item x="17"/>
        <item x="6"/>
        <item x="23"/>
        <item x="40"/>
        <item x="2"/>
        <item x="26"/>
        <item x="11"/>
        <item x="14"/>
        <item x="29"/>
        <item x="35"/>
        <item x="27"/>
        <item x="38"/>
        <item x="5"/>
        <item x="1"/>
        <item x="21"/>
        <item x="39"/>
        <item x="31"/>
        <item x="0"/>
        <item x="20"/>
        <item x="25"/>
        <item x="7"/>
        <item x="18"/>
        <item t="default"/>
      </items>
    </pivotField>
    <pivotField axis="axisRow" showAll="0">
      <items count="7">
        <item x="5"/>
        <item x="4"/>
        <item x="0"/>
        <item x="2"/>
        <item x="1"/>
        <item x="3"/>
        <item t="default"/>
      </items>
    </pivotField>
    <pivotField showAll="0"/>
    <pivotField showAll="0"/>
    <pivotField showAll="0"/>
    <pivotField showAll="0"/>
    <pivotField showAll="0"/>
    <pivotField numFmtId="4" showAll="0"/>
    <pivotField showAll="0"/>
    <pivotField numFmtId="4" showAll="0">
      <items count="1001">
        <item x="382"/>
        <item x="36"/>
        <item x="550"/>
        <item x="919"/>
        <item x="552"/>
        <item x="575"/>
        <item x="718"/>
        <item x="388"/>
        <item x="274"/>
        <item x="57"/>
        <item x="444"/>
        <item x="284"/>
        <item x="743"/>
        <item x="565"/>
        <item x="233"/>
        <item x="505"/>
        <item x="574"/>
        <item x="122"/>
        <item x="656"/>
        <item x="510"/>
        <item x="347"/>
        <item x="682"/>
        <item x="935"/>
        <item x="165"/>
        <item x="345"/>
        <item x="576"/>
        <item x="398"/>
        <item x="331"/>
        <item x="512"/>
        <item x="992"/>
        <item x="99"/>
        <item x="737"/>
        <item x="996"/>
        <item x="65"/>
        <item x="733"/>
        <item x="597"/>
        <item x="876"/>
        <item x="296"/>
        <item x="33"/>
        <item x="308"/>
        <item x="562"/>
        <item x="32"/>
        <item x="849"/>
        <item x="663"/>
        <item x="831"/>
        <item x="813"/>
        <item x="264"/>
        <item x="60"/>
        <item x="898"/>
        <item x="923"/>
        <item x="217"/>
        <item x="192"/>
        <item x="750"/>
        <item x="141"/>
        <item x="506"/>
        <item x="387"/>
        <item x="626"/>
        <item x="959"/>
        <item x="18"/>
        <item x="404"/>
        <item x="250"/>
        <item x="393"/>
        <item x="893"/>
        <item x="869"/>
        <item x="640"/>
        <item x="658"/>
        <item x="240"/>
        <item x="129"/>
        <item x="112"/>
        <item x="686"/>
        <item x="888"/>
        <item x="870"/>
        <item x="964"/>
        <item x="326"/>
        <item x="288"/>
        <item x="125"/>
        <item x="470"/>
        <item x="874"/>
        <item x="994"/>
        <item x="973"/>
        <item x="800"/>
        <item x="321"/>
        <item x="739"/>
        <item x="761"/>
        <item x="202"/>
        <item x="21"/>
        <item x="577"/>
        <item x="865"/>
        <item x="936"/>
        <item x="461"/>
        <item x="702"/>
        <item x="502"/>
        <item x="704"/>
        <item x="144"/>
        <item x="451"/>
        <item x="83"/>
        <item x="78"/>
        <item x="985"/>
        <item x="918"/>
        <item x="322"/>
        <item x="270"/>
        <item x="229"/>
        <item x="954"/>
        <item x="246"/>
        <item x="256"/>
        <item x="669"/>
        <item x="892"/>
        <item x="333"/>
        <item x="163"/>
        <item x="725"/>
        <item x="374"/>
        <item x="102"/>
        <item x="863"/>
        <item x="494"/>
        <item x="348"/>
        <item x="373"/>
        <item x="911"/>
        <item x="848"/>
        <item x="920"/>
        <item x="350"/>
        <item x="158"/>
        <item x="509"/>
        <item x="529"/>
        <item x="958"/>
        <item x="40"/>
        <item x="539"/>
        <item x="377"/>
        <item x="655"/>
        <item x="452"/>
        <item x="280"/>
        <item x="62"/>
        <item x="909"/>
        <item x="736"/>
        <item x="234"/>
        <item x="522"/>
        <item x="646"/>
        <item x="110"/>
        <item x="357"/>
        <item x="820"/>
        <item x="427"/>
        <item x="478"/>
        <item x="153"/>
        <item x="844"/>
        <item x="6"/>
        <item x="862"/>
        <item x="423"/>
        <item x="338"/>
        <item x="149"/>
        <item x="64"/>
        <item x="945"/>
        <item x="143"/>
        <item x="381"/>
        <item x="915"/>
        <item x="356"/>
        <item x="179"/>
        <item x="814"/>
        <item x="25"/>
        <item x="431"/>
        <item x="182"/>
        <item x="939"/>
        <item x="384"/>
        <item x="858"/>
        <item x="645"/>
        <item x="797"/>
        <item x="362"/>
        <item x="1"/>
        <item x="513"/>
        <item x="298"/>
        <item x="380"/>
        <item x="492"/>
        <item x="592"/>
        <item x="260"/>
        <item x="91"/>
        <item x="191"/>
        <item x="700"/>
        <item x="941"/>
        <item x="434"/>
        <item x="15"/>
        <item x="817"/>
        <item x="912"/>
        <item x="887"/>
        <item x="257"/>
        <item x="124"/>
        <item x="801"/>
        <item x="396"/>
        <item x="316"/>
        <item x="465"/>
        <item x="422"/>
        <item x="933"/>
        <item x="627"/>
        <item x="135"/>
        <item x="372"/>
        <item x="420"/>
        <item x="625"/>
        <item x="38"/>
        <item x="77"/>
        <item x="584"/>
        <item x="293"/>
        <item x="768"/>
        <item x="639"/>
        <item x="486"/>
        <item x="235"/>
        <item x="804"/>
        <item x="623"/>
        <item x="705"/>
        <item x="825"/>
        <item x="471"/>
        <item x="792"/>
        <item x="251"/>
        <item x="466"/>
        <item x="58"/>
        <item x="302"/>
        <item x="527"/>
        <item x="903"/>
        <item x="812"/>
        <item x="283"/>
        <item x="311"/>
        <item x="891"/>
        <item x="394"/>
        <item x="571"/>
        <item x="292"/>
        <item x="534"/>
        <item x="405"/>
        <item x="766"/>
        <item x="188"/>
        <item x="634"/>
        <item x="93"/>
        <item x="285"/>
        <item x="42"/>
        <item x="227"/>
        <item x="361"/>
        <item x="654"/>
        <item x="560"/>
        <item x="299"/>
        <item x="14"/>
        <item x="100"/>
        <item x="92"/>
        <item x="968"/>
        <item x="305"/>
        <item x="517"/>
        <item x="572"/>
        <item x="742"/>
        <item x="778"/>
        <item x="500"/>
        <item x="497"/>
        <item x="908"/>
        <item x="74"/>
        <item x="780"/>
        <item x="49"/>
        <item x="501"/>
        <item x="267"/>
        <item x="875"/>
        <item x="161"/>
        <item x="231"/>
        <item x="521"/>
        <item x="147"/>
        <item x="243"/>
        <item x="691"/>
        <item x="446"/>
        <item x="351"/>
        <item x="969"/>
        <item x="618"/>
        <item x="784"/>
        <item x="313"/>
        <item x="672"/>
        <item x="131"/>
        <item x="273"/>
        <item x="69"/>
        <item x="207"/>
        <item x="907"/>
        <item x="54"/>
        <item x="684"/>
        <item x="988"/>
        <item x="11"/>
        <item x="616"/>
        <item x="499"/>
        <item x="364"/>
        <item x="335"/>
        <item x="526"/>
        <item x="109"/>
        <item x="148"/>
        <item x="344"/>
        <item x="272"/>
        <item x="516"/>
        <item x="277"/>
        <item x="747"/>
        <item x="796"/>
        <item x="557"/>
        <item x="791"/>
        <item x="906"/>
        <item x="73"/>
        <item x="648"/>
        <item x="899"/>
        <item x="134"/>
        <item x="803"/>
        <item x="829"/>
        <item x="476"/>
        <item x="392"/>
        <item x="116"/>
        <item x="987"/>
        <item x="425"/>
        <item x="480"/>
        <item x="787"/>
        <item x="319"/>
        <item x="34"/>
        <item x="693"/>
        <item x="37"/>
        <item x="223"/>
        <item x="532"/>
        <item x="383"/>
        <item x="458"/>
        <item x="641"/>
        <item x="620"/>
        <item x="432"/>
        <item x="541"/>
        <item x="717"/>
        <item x="754"/>
        <item x="199"/>
        <item x="632"/>
        <item x="371"/>
        <item x="454"/>
        <item x="692"/>
        <item x="956"/>
        <item x="403"/>
        <item x="342"/>
        <item x="85"/>
        <item x="953"/>
        <item x="889"/>
        <item x="479"/>
        <item x="913"/>
        <item x="826"/>
        <item x="254"/>
        <item x="156"/>
        <item x="944"/>
        <item x="533"/>
        <item x="155"/>
        <item x="138"/>
        <item x="445"/>
        <item x="385"/>
        <item x="556"/>
        <item x="774"/>
        <item x="304"/>
        <item x="47"/>
        <item x="213"/>
        <item x="50"/>
        <item x="845"/>
        <item x="621"/>
        <item x="931"/>
        <item x="679"/>
        <item x="519"/>
        <item x="719"/>
        <item x="312"/>
        <item x="651"/>
        <item x="776"/>
        <item x="483"/>
        <item x="599"/>
        <item x="615"/>
        <item x="901"/>
        <item x="222"/>
        <item x="79"/>
        <item x="495"/>
        <item x="974"/>
        <item x="23"/>
        <item x="949"/>
        <item x="652"/>
        <item x="806"/>
        <item x="883"/>
        <item x="758"/>
        <item x="635"/>
        <item x="896"/>
        <item x="426"/>
        <item x="221"/>
        <item x="378"/>
        <item x="986"/>
        <item x="360"/>
        <item x="187"/>
        <item x="88"/>
        <item x="728"/>
        <item x="857"/>
        <item x="120"/>
        <item x="441"/>
        <item x="46"/>
        <item x="409"/>
        <item x="118"/>
        <item x="354"/>
        <item x="989"/>
        <item x="929"/>
        <item x="731"/>
        <item x="819"/>
        <item x="346"/>
        <item x="885"/>
        <item x="838"/>
        <item x="365"/>
        <item x="678"/>
        <item x="151"/>
        <item x="375"/>
        <item x="281"/>
        <item x="984"/>
        <item x="916"/>
        <item x="643"/>
        <item x="16"/>
        <item x="355"/>
        <item x="847"/>
        <item x="113"/>
        <item x="105"/>
        <item x="853"/>
        <item x="605"/>
        <item x="413"/>
        <item x="29"/>
        <item x="921"/>
        <item x="282"/>
        <item x="587"/>
        <item x="303"/>
        <item x="598"/>
        <item x="950"/>
        <item x="677"/>
        <item x="241"/>
        <item x="547"/>
        <item x="487"/>
        <item x="952"/>
        <item x="301"/>
        <item x="671"/>
        <item x="569"/>
        <item x="400"/>
        <item x="798"/>
        <item x="488"/>
        <item x="841"/>
        <item x="955"/>
        <item x="582"/>
        <item x="507"/>
        <item x="650"/>
        <item x="612"/>
        <item x="897"/>
        <item x="880"/>
        <item x="71"/>
        <item x="561"/>
        <item x="55"/>
        <item x="991"/>
        <item x="35"/>
        <item x="200"/>
        <item x="310"/>
        <item x="563"/>
        <item x="855"/>
        <item x="4"/>
        <item x="117"/>
        <item x="2"/>
        <item x="417"/>
        <item x="275"/>
        <item x="567"/>
        <item x="484"/>
        <item x="126"/>
        <item x="566"/>
        <item x="41"/>
        <item x="976"/>
        <item x="391"/>
        <item x="659"/>
        <item x="701"/>
        <item x="926"/>
        <item x="363"/>
        <item x="167"/>
        <item x="433"/>
        <item x="329"/>
        <item x="353"/>
        <item x="815"/>
        <item x="809"/>
        <item x="459"/>
        <item x="290"/>
        <item x="868"/>
        <item x="343"/>
        <item x="166"/>
        <item x="972"/>
        <item x="193"/>
        <item x="184"/>
        <item x="330"/>
        <item x="846"/>
        <item x="287"/>
        <item x="84"/>
        <item x="430"/>
        <item x="617"/>
        <item x="967"/>
        <item x="123"/>
        <item x="741"/>
        <item x="248"/>
        <item x="890"/>
        <item x="514"/>
        <item x="727"/>
        <item x="418"/>
        <item x="771"/>
        <item x="456"/>
        <item x="180"/>
        <item x="190"/>
        <item x="174"/>
        <item x="168"/>
        <item x="657"/>
        <item x="108"/>
        <item x="745"/>
        <item x="588"/>
        <item x="443"/>
        <item x="210"/>
        <item x="160"/>
        <item x="219"/>
        <item x="664"/>
        <item x="790"/>
        <item x="524"/>
        <item x="489"/>
        <item x="864"/>
        <item x="189"/>
        <item x="82"/>
        <item x="585"/>
        <item x="757"/>
        <item x="327"/>
        <item x="937"/>
        <item x="197"/>
        <item x="608"/>
        <item x="244"/>
        <item x="927"/>
        <item x="543"/>
        <item x="70"/>
        <item x="729"/>
        <item x="970"/>
        <item x="271"/>
        <item x="689"/>
        <item x="232"/>
        <item x="680"/>
        <item x="467"/>
        <item x="882"/>
        <item x="307"/>
        <item x="114"/>
        <item x="603"/>
        <item x="633"/>
        <item x="30"/>
        <item x="435"/>
        <item x="834"/>
        <item x="762"/>
        <item x="318"/>
        <item x="411"/>
        <item x="140"/>
        <item x="463"/>
        <item x="990"/>
        <item x="982"/>
        <item x="20"/>
        <item x="963"/>
        <item x="867"/>
        <item x="209"/>
        <item x="17"/>
        <item x="721"/>
        <item x="406"/>
        <item x="960"/>
        <item x="181"/>
        <item x="145"/>
        <item x="749"/>
        <item x="66"/>
        <item x="337"/>
        <item x="415"/>
        <item x="132"/>
        <item x="439"/>
        <item x="410"/>
        <item x="555"/>
        <item x="203"/>
        <item x="764"/>
        <item x="971"/>
        <item x="201"/>
        <item x="628"/>
        <item x="993"/>
        <item x="706"/>
        <item x="788"/>
        <item x="96"/>
        <item x="75"/>
        <item x="185"/>
        <item x="775"/>
        <item x="538"/>
        <item x="399"/>
        <item x="115"/>
        <item x="525"/>
        <item x="667"/>
        <item x="947"/>
        <item x="352"/>
        <item x="977"/>
        <item x="63"/>
        <item x="818"/>
        <item x="676"/>
        <item x="852"/>
        <item x="559"/>
        <item x="8"/>
        <item x="336"/>
        <item x="490"/>
        <item x="421"/>
        <item x="127"/>
        <item x="315"/>
        <item x="794"/>
        <item x="726"/>
        <item x="714"/>
        <item x="546"/>
        <item x="579"/>
        <item x="589"/>
        <item x="681"/>
        <item x="412"/>
        <item x="823"/>
        <item x="902"/>
        <item x="568"/>
        <item x="833"/>
        <item x="436"/>
        <item x="13"/>
        <item x="807"/>
        <item x="154"/>
        <item x="638"/>
        <item x="51"/>
        <item x="805"/>
        <item x="832"/>
        <item x="259"/>
        <item x="590"/>
        <item x="72"/>
        <item x="821"/>
        <item x="647"/>
        <item x="462"/>
        <item x="756"/>
        <item x="450"/>
        <item x="583"/>
        <item x="498"/>
        <item x="877"/>
        <item x="965"/>
        <item x="328"/>
        <item x="367"/>
        <item x="178"/>
        <item x="225"/>
        <item x="504"/>
        <item x="68"/>
        <item x="642"/>
        <item x="602"/>
        <item x="261"/>
        <item x="309"/>
        <item x="594"/>
        <item x="424"/>
        <item x="873"/>
        <item x="668"/>
        <item x="43"/>
        <item x="266"/>
        <item x="97"/>
        <item x="3"/>
        <item x="866"/>
        <item x="414"/>
        <item x="457"/>
        <item x="157"/>
        <item x="674"/>
        <item x="205"/>
        <item x="59"/>
        <item x="358"/>
        <item x="428"/>
        <item x="44"/>
        <item x="928"/>
        <item x="878"/>
        <item x="694"/>
        <item x="111"/>
        <item x="535"/>
        <item x="997"/>
        <item x="52"/>
        <item x="314"/>
        <item x="687"/>
        <item x="649"/>
        <item x="759"/>
        <item x="86"/>
        <item x="236"/>
        <item x="530"/>
        <item x="10"/>
        <item x="943"/>
        <item x="786"/>
        <item x="332"/>
        <item x="551"/>
        <item x="544"/>
        <item x="295"/>
        <item x="610"/>
        <item x="216"/>
        <item x="767"/>
        <item x="836"/>
        <item x="827"/>
        <item x="263"/>
        <item x="685"/>
        <item x="325"/>
        <item x="269"/>
        <item x="31"/>
        <item x="978"/>
        <item x="553"/>
        <item x="830"/>
        <item x="95"/>
        <item x="670"/>
        <item x="957"/>
        <item x="697"/>
        <item x="137"/>
        <item x="94"/>
        <item x="146"/>
        <item x="690"/>
        <item x="924"/>
        <item x="276"/>
        <item x="162"/>
        <item x="53"/>
        <item x="196"/>
        <item x="715"/>
        <item x="586"/>
        <item x="253"/>
        <item x="472"/>
        <item x="186"/>
        <item x="136"/>
        <item x="938"/>
        <item x="948"/>
        <item x="837"/>
        <item x="854"/>
        <item x="142"/>
        <item x="402"/>
        <item x="879"/>
        <item x="811"/>
        <item x="101"/>
        <item x="735"/>
        <item x="884"/>
        <item x="453"/>
        <item x="24"/>
        <item x="215"/>
        <item x="279"/>
        <item x="455"/>
        <item x="573"/>
        <item x="228"/>
        <item x="910"/>
        <item x="709"/>
        <item x="408"/>
        <item x="593"/>
        <item x="644"/>
        <item x="622"/>
        <item x="239"/>
        <item x="732"/>
        <item x="609"/>
        <item x="26"/>
        <item x="106"/>
        <item x="860"/>
        <item x="961"/>
        <item x="204"/>
        <item x="783"/>
        <item x="722"/>
        <item x="474"/>
        <item x="779"/>
        <item x="753"/>
        <item x="810"/>
        <item x="839"/>
        <item x="785"/>
        <item x="164"/>
        <item x="613"/>
        <item x="835"/>
        <item x="720"/>
        <item x="278"/>
        <item x="128"/>
        <item x="688"/>
        <item x="843"/>
        <item x="770"/>
        <item x="528"/>
        <item x="856"/>
        <item x="359"/>
        <item x="194"/>
        <item x="376"/>
        <item x="675"/>
        <item x="258"/>
        <item x="861"/>
        <item x="255"/>
        <item x="942"/>
        <item x="542"/>
        <item x="449"/>
        <item x="397"/>
        <item x="604"/>
        <item x="390"/>
        <item x="581"/>
        <item x="139"/>
        <item x="549"/>
        <item x="491"/>
        <item x="872"/>
        <item x="614"/>
        <item x="904"/>
        <item x="171"/>
        <item x="922"/>
        <item x="894"/>
        <item x="67"/>
        <item x="564"/>
        <item x="975"/>
        <item x="782"/>
        <item x="173"/>
        <item x="886"/>
        <item x="653"/>
        <item x="121"/>
        <item x="379"/>
        <item x="503"/>
        <item x="624"/>
        <item x="438"/>
        <item x="220"/>
        <item x="152"/>
        <item x="946"/>
        <item x="230"/>
        <item x="9"/>
        <item x="177"/>
        <item x="518"/>
        <item x="300"/>
        <item x="238"/>
        <item x="389"/>
        <item x="607"/>
        <item x="900"/>
        <item x="195"/>
        <item x="523"/>
        <item x="496"/>
        <item x="723"/>
        <item x="631"/>
        <item x="710"/>
        <item x="214"/>
        <item x="482"/>
        <item x="799"/>
        <item x="995"/>
        <item x="752"/>
        <item x="531"/>
        <item x="601"/>
        <item x="699"/>
        <item x="247"/>
        <item x="107"/>
        <item x="242"/>
        <item x="940"/>
        <item x="320"/>
        <item x="211"/>
        <item x="763"/>
        <item x="802"/>
        <item x="740"/>
        <item x="578"/>
        <item x="419"/>
        <item x="934"/>
        <item x="477"/>
        <item x="289"/>
        <item x="268"/>
        <item x="724"/>
        <item x="80"/>
        <item x="712"/>
        <item x="291"/>
        <item x="773"/>
        <item x="159"/>
        <item x="81"/>
        <item x="545"/>
        <item x="208"/>
        <item x="548"/>
        <item x="170"/>
        <item x="611"/>
        <item x="265"/>
        <item x="738"/>
        <item x="252"/>
        <item x="103"/>
        <item x="660"/>
        <item x="673"/>
        <item x="369"/>
        <item x="795"/>
        <item x="540"/>
        <item x="962"/>
        <item x="172"/>
        <item x="334"/>
        <item x="218"/>
        <item x="711"/>
        <item x="349"/>
        <item x="746"/>
        <item x="5"/>
        <item x="150"/>
        <item x="824"/>
        <item x="840"/>
        <item x="368"/>
        <item x="666"/>
        <item x="665"/>
        <item x="744"/>
        <item x="816"/>
        <item x="317"/>
        <item x="789"/>
        <item x="554"/>
        <item x="183"/>
        <item x="87"/>
        <item x="636"/>
        <item x="119"/>
        <item x="580"/>
        <item x="56"/>
        <item x="19"/>
        <item x="469"/>
        <item x="871"/>
        <item x="481"/>
        <item x="324"/>
        <item x="104"/>
        <item x="198"/>
        <item x="339"/>
        <item x="493"/>
        <item x="515"/>
        <item x="447"/>
        <item x="596"/>
        <item x="981"/>
        <item x="28"/>
        <item x="966"/>
        <item x="591"/>
        <item x="696"/>
        <item x="237"/>
        <item x="905"/>
        <item x="448"/>
        <item x="262"/>
        <item x="881"/>
        <item x="998"/>
        <item x="370"/>
        <item x="386"/>
        <item x="485"/>
        <item x="473"/>
        <item x="979"/>
        <item x="558"/>
        <item x="206"/>
        <item x="999"/>
        <item x="751"/>
        <item x="341"/>
        <item x="707"/>
        <item x="468"/>
        <item x="772"/>
        <item x="511"/>
        <item x="851"/>
        <item x="176"/>
        <item x="713"/>
        <item x="323"/>
        <item x="536"/>
        <item x="297"/>
        <item x="89"/>
        <item x="683"/>
        <item x="850"/>
        <item x="595"/>
        <item x="133"/>
        <item x="212"/>
        <item x="306"/>
        <item x="716"/>
        <item x="98"/>
        <item x="169"/>
        <item x="637"/>
        <item x="925"/>
        <item x="175"/>
        <item x="130"/>
        <item x="440"/>
        <item x="606"/>
        <item x="765"/>
        <item x="760"/>
        <item x="755"/>
        <item x="708"/>
        <item x="703"/>
        <item x="917"/>
        <item x="460"/>
        <item x="537"/>
        <item x="951"/>
        <item x="980"/>
        <item x="226"/>
        <item x="224"/>
        <item x="983"/>
        <item x="27"/>
        <item x="12"/>
        <item x="395"/>
        <item x="401"/>
        <item x="294"/>
        <item x="932"/>
        <item x="822"/>
        <item x="0"/>
        <item x="340"/>
        <item x="781"/>
        <item x="629"/>
        <item x="828"/>
        <item x="366"/>
        <item x="407"/>
        <item x="662"/>
        <item x="48"/>
        <item x="249"/>
        <item x="895"/>
        <item x="508"/>
        <item x="442"/>
        <item x="730"/>
        <item x="245"/>
        <item x="734"/>
        <item x="695"/>
        <item x="630"/>
        <item x="777"/>
        <item x="748"/>
        <item x="570"/>
        <item x="698"/>
        <item x="416"/>
        <item x="437"/>
        <item x="286"/>
        <item x="793"/>
        <item x="429"/>
        <item x="7"/>
        <item x="859"/>
        <item x="464"/>
        <item x="808"/>
        <item x="930"/>
        <item x="619"/>
        <item x="45"/>
        <item x="600"/>
        <item x="661"/>
        <item x="769"/>
        <item x="76"/>
        <item x="842"/>
        <item x="39"/>
        <item x="61"/>
        <item x="520"/>
        <item x="475"/>
        <item x="914"/>
        <item x="22"/>
        <item x="90"/>
        <item t="default"/>
      </items>
    </pivotField>
    <pivotField numFmtId="164" showAll="0"/>
    <pivotField numFmtId="4" showAll="0"/>
    <pivotField numFmtId="164" showAll="0"/>
    <pivotField numFmtId="4" showAll="0"/>
    <pivotField showAll="0"/>
  </pivotFields>
  <rowFields count="1">
    <field x="5"/>
  </rowFields>
  <rowItems count="7">
    <i>
      <x/>
    </i>
    <i>
      <x v="1"/>
    </i>
    <i>
      <x v="2"/>
    </i>
    <i>
      <x v="3"/>
    </i>
    <i>
      <x v="4"/>
    </i>
    <i>
      <x v="5"/>
    </i>
    <i t="grand">
      <x/>
    </i>
  </rowItems>
  <colItems count="1">
    <i/>
  </colItems>
  <dataFields count="1">
    <dataField name="Count of Product" fld="4"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5" count="1" selected="0">
            <x v="0"/>
          </reference>
        </references>
      </pivotArea>
    </chartFormat>
    <chartFormat chart="4" format="16">
      <pivotArea type="data" outline="0" fieldPosition="0">
        <references count="2">
          <reference field="4294967294" count="1" selected="0">
            <x v="0"/>
          </reference>
          <reference field="5" count="1" selected="0">
            <x v="1"/>
          </reference>
        </references>
      </pivotArea>
    </chartFormat>
    <chartFormat chart="4" format="17">
      <pivotArea type="data" outline="0" fieldPosition="0">
        <references count="2">
          <reference field="4294967294" count="1" selected="0">
            <x v="0"/>
          </reference>
          <reference field="5" count="1" selected="0">
            <x v="2"/>
          </reference>
        </references>
      </pivotArea>
    </chartFormat>
    <chartFormat chart="4" format="18">
      <pivotArea type="data" outline="0" fieldPosition="0">
        <references count="2">
          <reference field="4294967294" count="1" selected="0">
            <x v="0"/>
          </reference>
          <reference field="5" count="1" selected="0">
            <x v="3"/>
          </reference>
        </references>
      </pivotArea>
    </chartFormat>
    <chartFormat chart="4" format="19">
      <pivotArea type="data" outline="0" fieldPosition="0">
        <references count="2">
          <reference field="4294967294" count="1" selected="0">
            <x v="0"/>
          </reference>
          <reference field="5" count="1" selected="0">
            <x v="4"/>
          </reference>
        </references>
      </pivotArea>
    </chartFormat>
    <chartFormat chart="4"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FBD116-B009-4A34-8EC1-07F649BE7059}" name="PivotTable4"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9" firstHeaderRow="1" firstDataRow="1" firstDataCol="1"/>
  <pivotFields count="19">
    <pivotField showAll="0"/>
    <pivotField showAll="0"/>
    <pivotField showAll="0"/>
    <pivotField showAll="0"/>
    <pivotField showAll="0"/>
    <pivotField showAll="0">
      <items count="7">
        <item x="5"/>
        <item x="4"/>
        <item x="0"/>
        <item x="2"/>
        <item x="1"/>
        <item x="3"/>
        <item t="default"/>
      </items>
    </pivotField>
    <pivotField showAll="0"/>
    <pivotField showAll="0"/>
    <pivotField axis="axisRow" showAll="0">
      <items count="6">
        <item x="4"/>
        <item x="2"/>
        <item x="3"/>
        <item x="0"/>
        <item x="1"/>
        <item t="default"/>
      </items>
    </pivotField>
    <pivotField showAll="0"/>
    <pivotField showAll="0"/>
    <pivotField numFmtId="4" showAll="0"/>
    <pivotField showAll="0"/>
    <pivotField numFmtId="4" showAll="0"/>
    <pivotField numFmtId="164" showAll="0"/>
    <pivotField dataField="1" numFmtId="4" showAll="0"/>
    <pivotField numFmtId="164" showAll="0"/>
    <pivotField numFmtId="4" showAll="0"/>
    <pivotField showAll="0"/>
  </pivotFields>
  <rowFields count="1">
    <field x="8"/>
  </rowFields>
  <rowItems count="6">
    <i>
      <x/>
    </i>
    <i>
      <x v="1"/>
    </i>
    <i>
      <x v="2"/>
    </i>
    <i>
      <x v="3"/>
    </i>
    <i>
      <x v="4"/>
    </i>
    <i t="grand">
      <x/>
    </i>
  </rowItems>
  <colItems count="1">
    <i/>
  </colItems>
  <dataFields count="1">
    <dataField name="Sum of Net Revenue (INR)" fld="15"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8" count="1" selected="0">
            <x v="0"/>
          </reference>
        </references>
      </pivotArea>
    </chartFormat>
    <chartFormat chart="5" format="14">
      <pivotArea type="data" outline="0" fieldPosition="0">
        <references count="2">
          <reference field="4294967294" count="1" selected="0">
            <x v="0"/>
          </reference>
          <reference field="8" count="1" selected="0">
            <x v="1"/>
          </reference>
        </references>
      </pivotArea>
    </chartFormat>
    <chartFormat chart="5" format="15">
      <pivotArea type="data" outline="0" fieldPosition="0">
        <references count="2">
          <reference field="4294967294" count="1" selected="0">
            <x v="0"/>
          </reference>
          <reference field="8" count="1" selected="0">
            <x v="2"/>
          </reference>
        </references>
      </pivotArea>
    </chartFormat>
    <chartFormat chart="5" format="16">
      <pivotArea type="data" outline="0" fieldPosition="0">
        <references count="2">
          <reference field="4294967294" count="1" selected="0">
            <x v="0"/>
          </reference>
          <reference field="8" count="1" selected="0">
            <x v="3"/>
          </reference>
        </references>
      </pivotArea>
    </chartFormat>
    <chartFormat chart="5" format="1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3A6668-2746-4D34-A883-C398D1BFE578}" name="PivotTable5"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B8" firstHeaderRow="1" firstDataRow="1" firstDataCol="1"/>
  <pivotFields count="19">
    <pivotField showAll="0"/>
    <pivotField showAll="0"/>
    <pivotField showAll="0"/>
    <pivotField showAll="0"/>
    <pivotField showAll="0"/>
    <pivotField axis="axisRow" showAll="0">
      <items count="7">
        <item x="5"/>
        <item x="4"/>
        <item x="0"/>
        <item x="2"/>
        <item x="1"/>
        <item x="3"/>
        <item t="default"/>
      </items>
    </pivotField>
    <pivotField showAll="0"/>
    <pivotField showAll="0"/>
    <pivotField showAll="0"/>
    <pivotField showAll="0"/>
    <pivotField showAll="0"/>
    <pivotField numFmtId="4" showAll="0"/>
    <pivotField showAll="0"/>
    <pivotField numFmtId="4" showAll="0"/>
    <pivotField numFmtId="164" showAll="0"/>
    <pivotField numFmtId="4" showAll="0"/>
    <pivotField dataField="1" numFmtId="164" showAll="0"/>
    <pivotField numFmtId="4" showAll="0"/>
    <pivotField showAll="0"/>
  </pivotFields>
  <rowFields count="1">
    <field x="5"/>
  </rowFields>
  <rowItems count="7">
    <i>
      <x/>
    </i>
    <i>
      <x v="1"/>
    </i>
    <i>
      <x v="2"/>
    </i>
    <i>
      <x v="3"/>
    </i>
    <i>
      <x v="4"/>
    </i>
    <i>
      <x v="5"/>
    </i>
    <i t="grand">
      <x/>
    </i>
  </rowItems>
  <colItems count="1">
    <i/>
  </colItems>
  <dataFields count="1">
    <dataField name="Sum of Margin (%)" fld="1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9D7157-930E-45CB-8174-31CD513EB025}" name="PivotTable6"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4" firstHeaderRow="1" firstDataRow="1" firstDataCol="1"/>
  <pivotFields count="19">
    <pivotField showAll="0"/>
    <pivotField showAll="0"/>
    <pivotField showAll="0"/>
    <pivotField showAll="0"/>
    <pivotField axis="axisRow" showAll="0" measureFilter="1">
      <items count="43">
        <item x="22"/>
        <item x="10"/>
        <item x="13"/>
        <item x="37"/>
        <item x="9"/>
        <item x="32"/>
        <item x="33"/>
        <item x="24"/>
        <item x="28"/>
        <item x="8"/>
        <item x="4"/>
        <item x="12"/>
        <item x="3"/>
        <item x="41"/>
        <item x="30"/>
        <item x="19"/>
        <item x="15"/>
        <item x="36"/>
        <item x="34"/>
        <item x="16"/>
        <item x="17"/>
        <item x="6"/>
        <item x="23"/>
        <item x="40"/>
        <item x="2"/>
        <item x="26"/>
        <item x="11"/>
        <item x="14"/>
        <item x="29"/>
        <item x="35"/>
        <item x="27"/>
        <item x="38"/>
        <item x="5"/>
        <item x="1"/>
        <item x="21"/>
        <item x="39"/>
        <item x="31"/>
        <item x="0"/>
        <item x="20"/>
        <item x="25"/>
        <item x="7"/>
        <item x="18"/>
        <item t="default"/>
      </items>
    </pivotField>
    <pivotField showAll="0">
      <items count="7">
        <item x="5"/>
        <item x="4"/>
        <item x="0"/>
        <item x="2"/>
        <item x="1"/>
        <item x="3"/>
        <item t="default"/>
      </items>
    </pivotField>
    <pivotField showAll="0"/>
    <pivotField showAll="0"/>
    <pivotField showAll="0"/>
    <pivotField showAll="0"/>
    <pivotField showAll="0"/>
    <pivotField numFmtId="4" showAll="0"/>
    <pivotField showAll="0"/>
    <pivotField numFmtId="4" showAll="0"/>
    <pivotField numFmtId="164" showAll="0"/>
    <pivotField dataField="1" numFmtId="4" showAll="0">
      <items count="1001">
        <item x="382"/>
        <item x="550"/>
        <item x="36"/>
        <item x="919"/>
        <item x="552"/>
        <item x="575"/>
        <item x="718"/>
        <item x="274"/>
        <item x="388"/>
        <item x="57"/>
        <item x="284"/>
        <item x="444"/>
        <item x="233"/>
        <item x="743"/>
        <item x="122"/>
        <item x="565"/>
        <item x="656"/>
        <item x="510"/>
        <item x="505"/>
        <item x="574"/>
        <item x="347"/>
        <item x="165"/>
        <item x="682"/>
        <item x="935"/>
        <item x="345"/>
        <item x="398"/>
        <item x="737"/>
        <item x="576"/>
        <item x="331"/>
        <item x="99"/>
        <item x="512"/>
        <item x="992"/>
        <item x="65"/>
        <item x="33"/>
        <item x="733"/>
        <item x="996"/>
        <item x="597"/>
        <item x="308"/>
        <item x="663"/>
        <item x="876"/>
        <item x="296"/>
        <item x="562"/>
        <item x="60"/>
        <item x="192"/>
        <item x="32"/>
        <item x="849"/>
        <item x="831"/>
        <item x="141"/>
        <item x="264"/>
        <item x="898"/>
        <item x="387"/>
        <item x="217"/>
        <item x="813"/>
        <item x="923"/>
        <item x="893"/>
        <item x="959"/>
        <item x="250"/>
        <item x="686"/>
        <item x="626"/>
        <item x="750"/>
        <item x="18"/>
        <item x="506"/>
        <item x="326"/>
        <item x="888"/>
        <item x="112"/>
        <item x="870"/>
        <item x="640"/>
        <item x="874"/>
        <item x="125"/>
        <item x="404"/>
        <item x="240"/>
        <item x="470"/>
        <item x="202"/>
        <item x="761"/>
        <item x="393"/>
        <item x="869"/>
        <item x="964"/>
        <item x="800"/>
        <item x="658"/>
        <item x="865"/>
        <item x="973"/>
        <item x="288"/>
        <item x="129"/>
        <item x="322"/>
        <item x="321"/>
        <item x="994"/>
        <item x="144"/>
        <item x="936"/>
        <item x="461"/>
        <item x="229"/>
        <item x="246"/>
        <item x="21"/>
        <item x="702"/>
        <item x="163"/>
        <item x="374"/>
        <item x="502"/>
        <item x="985"/>
        <item x="577"/>
        <item x="451"/>
        <item x="270"/>
        <item x="78"/>
        <item x="739"/>
        <item x="256"/>
        <item x="954"/>
        <item x="669"/>
        <item x="848"/>
        <item x="83"/>
        <item x="704"/>
        <item x="892"/>
        <item x="958"/>
        <item x="509"/>
        <item x="918"/>
        <item x="348"/>
        <item x="102"/>
        <item x="863"/>
        <item x="920"/>
        <item x="158"/>
        <item x="333"/>
        <item x="452"/>
        <item x="725"/>
        <item x="909"/>
        <item x="40"/>
        <item x="110"/>
        <item x="911"/>
        <item x="494"/>
        <item x="373"/>
        <item x="62"/>
        <item x="655"/>
        <item x="646"/>
        <item x="539"/>
        <item x="350"/>
        <item x="529"/>
        <item x="280"/>
        <item x="381"/>
        <item x="377"/>
        <item x="6"/>
        <item x="25"/>
        <item x="862"/>
        <item x="736"/>
        <item x="814"/>
        <item x="844"/>
        <item x="945"/>
        <item x="357"/>
        <item x="153"/>
        <item x="522"/>
        <item x="645"/>
        <item x="797"/>
        <item x="478"/>
        <item x="915"/>
        <item x="234"/>
        <item x="820"/>
        <item x="338"/>
        <item x="384"/>
        <item x="182"/>
        <item x="298"/>
        <item x="427"/>
        <item x="1"/>
        <item x="356"/>
        <item x="423"/>
        <item x="64"/>
        <item x="858"/>
        <item x="912"/>
        <item x="179"/>
        <item x="801"/>
        <item x="149"/>
        <item x="431"/>
        <item x="316"/>
        <item x="939"/>
        <item x="257"/>
        <item x="513"/>
        <item x="941"/>
        <item x="592"/>
        <item x="362"/>
        <item x="465"/>
        <item x="143"/>
        <item x="700"/>
        <item x="492"/>
        <item x="91"/>
        <item x="380"/>
        <item x="135"/>
        <item x="235"/>
        <item x="486"/>
        <item x="191"/>
        <item x="293"/>
        <item x="825"/>
        <item x="77"/>
        <item x="817"/>
        <item x="933"/>
        <item x="260"/>
        <item x="372"/>
        <item x="434"/>
        <item x="627"/>
        <item x="812"/>
        <item x="420"/>
        <item x="38"/>
        <item x="396"/>
        <item x="15"/>
        <item x="471"/>
        <item x="887"/>
        <item x="584"/>
        <item x="625"/>
        <item x="124"/>
        <item x="422"/>
        <item x="903"/>
        <item x="571"/>
        <item x="639"/>
        <item x="283"/>
        <item x="768"/>
        <item x="766"/>
        <item x="804"/>
        <item x="93"/>
        <item x="792"/>
        <item x="623"/>
        <item x="251"/>
        <item x="654"/>
        <item x="285"/>
        <item x="311"/>
        <item x="58"/>
        <item x="527"/>
        <item x="405"/>
        <item x="14"/>
        <item x="299"/>
        <item x="466"/>
        <item x="705"/>
        <item x="891"/>
        <item x="305"/>
        <item x="908"/>
        <item x="394"/>
        <item x="572"/>
        <item x="778"/>
        <item x="742"/>
        <item x="227"/>
        <item x="267"/>
        <item x="292"/>
        <item x="634"/>
        <item x="446"/>
        <item x="784"/>
        <item x="302"/>
        <item x="147"/>
        <item x="618"/>
        <item x="517"/>
        <item x="534"/>
        <item x="243"/>
        <item x="968"/>
        <item x="188"/>
        <item x="11"/>
        <item x="161"/>
        <item x="875"/>
        <item x="780"/>
        <item x="100"/>
        <item x="42"/>
        <item x="501"/>
        <item x="148"/>
        <item x="335"/>
        <item x="497"/>
        <item x="907"/>
        <item x="500"/>
        <item x="272"/>
        <item x="361"/>
        <item x="521"/>
        <item x="351"/>
        <item x="747"/>
        <item x="92"/>
        <item x="109"/>
        <item x="560"/>
        <item x="526"/>
        <item x="425"/>
        <item x="969"/>
        <item x="207"/>
        <item x="691"/>
        <item x="74"/>
        <item x="684"/>
        <item x="49"/>
        <item x="69"/>
        <item x="231"/>
        <item x="319"/>
        <item x="803"/>
        <item x="906"/>
        <item x="344"/>
        <item x="672"/>
        <item x="392"/>
        <item x="134"/>
        <item x="641"/>
        <item x="648"/>
        <item x="131"/>
        <item x="313"/>
        <item x="34"/>
        <item x="480"/>
        <item x="273"/>
        <item x="54"/>
        <item x="988"/>
        <item x="791"/>
        <item x="199"/>
        <item x="956"/>
        <item x="829"/>
        <item x="364"/>
        <item x="754"/>
        <item x="616"/>
        <item x="987"/>
        <item x="499"/>
        <item x="541"/>
        <item x="516"/>
        <item x="304"/>
        <item x="557"/>
        <item x="953"/>
        <item x="445"/>
        <item x="156"/>
        <item x="931"/>
        <item x="796"/>
        <item x="85"/>
        <item x="692"/>
        <item x="277"/>
        <item x="826"/>
        <item x="458"/>
        <item x="679"/>
        <item x="899"/>
        <item x="532"/>
        <item x="913"/>
        <item x="476"/>
        <item x="371"/>
        <item x="73"/>
        <item x="383"/>
        <item x="787"/>
        <item x="944"/>
        <item x="47"/>
        <item x="385"/>
        <item x="116"/>
        <item x="533"/>
        <item x="615"/>
        <item x="479"/>
        <item x="483"/>
        <item x="621"/>
        <item x="223"/>
        <item x="37"/>
        <item x="599"/>
        <item x="693"/>
        <item x="254"/>
        <item x="432"/>
        <item x="403"/>
        <item x="717"/>
        <item x="360"/>
        <item x="88"/>
        <item x="889"/>
        <item x="454"/>
        <item x="620"/>
        <item x="776"/>
        <item x="896"/>
        <item x="974"/>
        <item x="632"/>
        <item x="79"/>
        <item x="23"/>
        <item x="986"/>
        <item x="519"/>
        <item x="120"/>
        <item x="155"/>
        <item x="652"/>
        <item x="342"/>
        <item x="222"/>
        <item x="984"/>
        <item x="728"/>
        <item x="221"/>
        <item x="819"/>
        <item x="949"/>
        <item x="901"/>
        <item x="138"/>
        <item x="46"/>
        <item x="118"/>
        <item x="774"/>
        <item x="845"/>
        <item x="719"/>
        <item x="50"/>
        <item x="213"/>
        <item x="651"/>
        <item x="806"/>
        <item x="16"/>
        <item x="355"/>
        <item x="758"/>
        <item x="378"/>
        <item x="643"/>
        <item x="409"/>
        <item x="635"/>
        <item x="354"/>
        <item x="556"/>
        <item x="605"/>
        <item x="989"/>
        <item x="916"/>
        <item x="487"/>
        <item x="312"/>
        <item x="413"/>
        <item x="587"/>
        <item x="187"/>
        <item x="952"/>
        <item x="495"/>
        <item x="282"/>
        <item x="426"/>
        <item x="400"/>
        <item x="365"/>
        <item x="955"/>
        <item x="677"/>
        <item x="569"/>
        <item x="883"/>
        <item x="281"/>
        <item x="598"/>
        <item x="857"/>
        <item x="151"/>
        <item x="346"/>
        <item x="838"/>
        <item x="200"/>
        <item x="612"/>
        <item x="113"/>
        <item x="853"/>
        <item x="731"/>
        <item x="921"/>
        <item x="441"/>
        <item x="678"/>
        <item x="991"/>
        <item x="929"/>
        <item x="35"/>
        <item x="301"/>
        <item x="484"/>
        <item x="375"/>
        <item x="847"/>
        <item x="885"/>
        <item x="880"/>
        <item x="561"/>
        <item x="105"/>
        <item x="507"/>
        <item x="391"/>
        <item x="671"/>
        <item x="167"/>
        <item x="547"/>
        <item x="897"/>
        <item x="71"/>
        <item x="241"/>
        <item x="29"/>
        <item x="650"/>
        <item x="950"/>
        <item x="433"/>
        <item x="126"/>
        <item x="926"/>
        <item x="303"/>
        <item x="488"/>
        <item x="287"/>
        <item x="310"/>
        <item x="582"/>
        <item x="4"/>
        <item x="798"/>
        <item x="841"/>
        <item x="846"/>
        <item x="363"/>
        <item x="868"/>
        <item x="430"/>
        <item x="563"/>
        <item x="771"/>
        <item x="55"/>
        <item x="117"/>
        <item x="330"/>
        <item x="701"/>
        <item x="967"/>
        <item x="290"/>
        <item x="972"/>
        <item x="417"/>
        <item x="41"/>
        <item x="855"/>
        <item x="343"/>
        <item x="567"/>
        <item x="174"/>
        <item x="275"/>
        <item x="659"/>
        <item x="566"/>
        <item x="193"/>
        <item x="160"/>
        <item x="2"/>
        <item x="219"/>
        <item x="976"/>
        <item x="864"/>
        <item x="180"/>
        <item x="353"/>
        <item x="418"/>
        <item x="809"/>
        <item x="585"/>
        <item x="456"/>
        <item x="329"/>
        <item x="543"/>
        <item x="524"/>
        <item x="84"/>
        <item x="927"/>
        <item x="166"/>
        <item x="108"/>
        <item x="617"/>
        <item x="82"/>
        <item x="890"/>
        <item x="815"/>
        <item x="514"/>
        <item x="168"/>
        <item x="664"/>
        <item x="745"/>
        <item x="197"/>
        <item x="190"/>
        <item x="244"/>
        <item x="210"/>
        <item x="459"/>
        <item x="327"/>
        <item x="123"/>
        <item x="248"/>
        <item x="757"/>
        <item x="727"/>
        <item x="588"/>
        <item x="689"/>
        <item x="184"/>
        <item x="970"/>
        <item x="990"/>
        <item x="741"/>
        <item x="608"/>
        <item x="489"/>
        <item x="114"/>
        <item x="834"/>
        <item x="406"/>
        <item x="680"/>
        <item x="463"/>
        <item x="937"/>
        <item x="189"/>
        <item x="443"/>
        <item x="657"/>
        <item x="729"/>
        <item x="749"/>
        <item x="790"/>
        <item x="435"/>
        <item x="467"/>
        <item x="140"/>
        <item x="762"/>
        <item x="603"/>
        <item x="633"/>
        <item x="721"/>
        <item x="201"/>
        <item x="764"/>
        <item x="20"/>
        <item x="971"/>
        <item x="960"/>
        <item x="66"/>
        <item x="271"/>
        <item x="318"/>
        <item x="115"/>
        <item x="70"/>
        <item x="307"/>
        <item x="352"/>
        <item x="982"/>
        <item x="203"/>
        <item x="794"/>
        <item x="232"/>
        <item x="336"/>
        <item x="411"/>
        <item x="209"/>
        <item x="30"/>
        <item x="538"/>
        <item x="421"/>
        <item x="63"/>
        <item x="726"/>
        <item x="17"/>
        <item x="977"/>
        <item x="546"/>
        <item x="132"/>
        <item x="882"/>
        <item x="667"/>
        <item x="555"/>
        <item x="867"/>
        <item x="13"/>
        <item x="788"/>
        <item x="963"/>
        <item x="145"/>
        <item x="714"/>
        <item x="399"/>
        <item x="852"/>
        <item x="154"/>
        <item x="181"/>
        <item x="525"/>
        <item x="75"/>
        <item x="259"/>
        <item x="993"/>
        <item x="823"/>
        <item x="833"/>
        <item x="439"/>
        <item x="72"/>
        <item x="96"/>
        <item x="706"/>
        <item x="436"/>
        <item x="676"/>
        <item x="821"/>
        <item x="490"/>
        <item x="947"/>
        <item x="628"/>
        <item x="818"/>
        <item x="805"/>
        <item x="681"/>
        <item x="415"/>
        <item x="410"/>
        <item x="337"/>
        <item x="8"/>
        <item x="756"/>
        <item x="559"/>
        <item x="807"/>
        <item x="185"/>
        <item x="261"/>
        <item x="498"/>
        <item x="225"/>
        <item x="315"/>
        <item x="424"/>
        <item x="775"/>
        <item x="589"/>
        <item x="412"/>
        <item x="51"/>
        <item x="583"/>
        <item x="590"/>
        <item x="877"/>
        <item x="127"/>
        <item x="902"/>
        <item x="579"/>
        <item x="328"/>
        <item x="638"/>
        <item x="965"/>
        <item x="358"/>
        <item x="568"/>
        <item x="43"/>
        <item x="674"/>
        <item x="832"/>
        <item x="367"/>
        <item x="873"/>
        <item x="642"/>
        <item x="97"/>
        <item x="44"/>
        <item x="504"/>
        <item x="866"/>
        <item x="647"/>
        <item x="759"/>
        <item x="462"/>
        <item x="602"/>
        <item x="786"/>
        <item x="414"/>
        <item x="205"/>
        <item x="450"/>
        <item x="111"/>
        <item x="266"/>
        <item x="3"/>
        <item x="68"/>
        <item x="649"/>
        <item x="59"/>
        <item x="178"/>
        <item x="827"/>
        <item x="544"/>
        <item x="52"/>
        <item x="314"/>
        <item x="594"/>
        <item x="530"/>
        <item x="86"/>
        <item x="836"/>
        <item x="553"/>
        <item x="694"/>
        <item x="428"/>
        <item x="309"/>
        <item x="685"/>
        <item x="668"/>
        <item x="457"/>
        <item x="943"/>
        <item x="31"/>
        <item x="157"/>
        <item x="94"/>
        <item x="332"/>
        <item x="216"/>
        <item x="263"/>
        <item x="715"/>
        <item x="997"/>
        <item x="928"/>
        <item x="162"/>
        <item x="878"/>
        <item x="551"/>
        <item x="690"/>
        <item x="295"/>
        <item x="687"/>
        <item x="535"/>
        <item x="670"/>
        <item x="236"/>
        <item x="136"/>
        <item x="10"/>
        <item x="137"/>
        <item x="325"/>
        <item x="610"/>
        <item x="924"/>
        <item x="767"/>
        <item x="586"/>
        <item x="948"/>
        <item x="830"/>
        <item x="269"/>
        <item x="53"/>
        <item x="978"/>
        <item x="957"/>
        <item x="95"/>
        <item x="24"/>
        <item x="146"/>
        <item x="697"/>
        <item x="276"/>
        <item x="196"/>
        <item x="253"/>
        <item x="879"/>
        <item x="735"/>
        <item x="279"/>
        <item x="709"/>
        <item x="938"/>
        <item x="455"/>
        <item x="239"/>
        <item x="453"/>
        <item x="186"/>
        <item x="884"/>
        <item x="472"/>
        <item x="811"/>
        <item x="837"/>
        <item x="722"/>
        <item x="228"/>
        <item x="573"/>
        <item x="142"/>
        <item x="101"/>
        <item x="785"/>
        <item x="408"/>
        <item x="854"/>
        <item x="26"/>
        <item x="402"/>
        <item x="128"/>
        <item x="215"/>
        <item x="593"/>
        <item x="835"/>
        <item x="961"/>
        <item x="613"/>
        <item x="720"/>
        <item x="376"/>
        <item x="910"/>
        <item x="860"/>
        <item x="622"/>
        <item x="942"/>
        <item x="779"/>
        <item x="204"/>
        <item x="164"/>
        <item x="861"/>
        <item x="255"/>
        <item x="604"/>
        <item x="644"/>
        <item x="810"/>
        <item x="783"/>
        <item x="753"/>
        <item x="194"/>
        <item x="732"/>
        <item x="839"/>
        <item x="609"/>
        <item x="614"/>
        <item x="843"/>
        <item x="359"/>
        <item x="856"/>
        <item x="139"/>
        <item x="106"/>
        <item x="474"/>
        <item x="258"/>
        <item x="397"/>
        <item x="675"/>
        <item x="491"/>
        <item x="528"/>
        <item x="770"/>
        <item x="67"/>
        <item x="278"/>
        <item x="449"/>
        <item x="564"/>
        <item x="581"/>
        <item x="688"/>
        <item x="894"/>
        <item x="542"/>
        <item x="782"/>
        <item x="946"/>
        <item x="220"/>
        <item x="121"/>
        <item x="975"/>
        <item x="390"/>
        <item x="549"/>
        <item x="872"/>
        <item x="379"/>
        <item x="503"/>
        <item x="723"/>
        <item x="300"/>
        <item x="904"/>
        <item x="438"/>
        <item x="173"/>
        <item x="171"/>
        <item x="624"/>
        <item x="886"/>
        <item x="195"/>
        <item x="922"/>
        <item x="152"/>
        <item x="752"/>
        <item x="9"/>
        <item x="631"/>
        <item x="653"/>
        <item x="214"/>
        <item x="247"/>
        <item x="389"/>
        <item x="238"/>
        <item x="699"/>
        <item x="518"/>
        <item x="230"/>
        <item x="995"/>
        <item x="320"/>
        <item x="177"/>
        <item x="531"/>
        <item x="607"/>
        <item x="900"/>
        <item x="710"/>
        <item x="601"/>
        <item x="523"/>
        <item x="802"/>
        <item x="934"/>
        <item x="482"/>
        <item x="496"/>
        <item x="578"/>
        <item x="477"/>
        <item x="799"/>
        <item x="740"/>
        <item x="940"/>
        <item x="242"/>
        <item x="211"/>
        <item x="763"/>
        <item x="773"/>
        <item x="107"/>
        <item x="291"/>
        <item x="289"/>
        <item x="724"/>
        <item x="548"/>
        <item x="103"/>
        <item x="545"/>
        <item x="419"/>
        <item x="611"/>
        <item x="170"/>
        <item x="738"/>
        <item x="268"/>
        <item x="962"/>
        <item x="660"/>
        <item x="540"/>
        <item x="208"/>
        <item x="673"/>
        <item x="80"/>
        <item x="218"/>
        <item x="265"/>
        <item x="252"/>
        <item x="712"/>
        <item x="159"/>
        <item x="81"/>
        <item x="666"/>
        <item x="795"/>
        <item x="334"/>
        <item x="840"/>
        <item x="369"/>
        <item x="172"/>
        <item x="5"/>
        <item x="317"/>
        <item x="746"/>
        <item x="816"/>
        <item x="711"/>
        <item x="636"/>
        <item x="150"/>
        <item x="824"/>
        <item x="665"/>
        <item x="349"/>
        <item x="789"/>
        <item x="368"/>
        <item x="554"/>
        <item x="469"/>
        <item x="481"/>
        <item x="324"/>
        <item x="493"/>
        <item x="28"/>
        <item x="183"/>
        <item x="981"/>
        <item x="744"/>
        <item x="87"/>
        <item x="871"/>
        <item x="580"/>
        <item x="56"/>
        <item x="370"/>
        <item x="591"/>
        <item x="515"/>
        <item x="119"/>
        <item x="485"/>
        <item x="558"/>
        <item x="198"/>
        <item x="262"/>
        <item x="596"/>
        <item x="511"/>
        <item x="473"/>
        <item x="339"/>
        <item x="696"/>
        <item x="19"/>
        <item x="772"/>
        <item x="979"/>
        <item x="104"/>
        <item x="237"/>
        <item x="447"/>
        <item x="707"/>
        <item x="323"/>
        <item x="999"/>
        <item x="966"/>
        <item x="850"/>
        <item x="206"/>
        <item x="905"/>
        <item x="212"/>
        <item x="169"/>
        <item x="133"/>
        <item x="176"/>
        <item x="751"/>
        <item x="851"/>
        <item x="306"/>
        <item x="881"/>
        <item x="998"/>
        <item x="606"/>
        <item x="448"/>
        <item x="89"/>
        <item x="683"/>
        <item x="925"/>
        <item x="716"/>
        <item x="386"/>
        <item x="440"/>
        <item x="468"/>
        <item x="713"/>
        <item x="637"/>
        <item x="760"/>
        <item x="341"/>
        <item x="98"/>
        <item x="536"/>
        <item x="917"/>
        <item x="297"/>
        <item x="595"/>
        <item x="175"/>
        <item x="765"/>
        <item x="703"/>
        <item x="951"/>
        <item x="130"/>
        <item x="708"/>
        <item x="0"/>
        <item x="395"/>
        <item x="755"/>
        <item x="932"/>
        <item x="340"/>
        <item x="294"/>
        <item x="460"/>
        <item x="48"/>
        <item x="983"/>
        <item x="226"/>
        <item x="537"/>
        <item x="662"/>
        <item x="12"/>
        <item x="980"/>
        <item x="249"/>
        <item x="629"/>
        <item x="730"/>
        <item x="401"/>
        <item x="27"/>
        <item x="224"/>
        <item x="508"/>
        <item x="822"/>
        <item x="442"/>
        <item x="781"/>
        <item x="407"/>
        <item x="828"/>
        <item x="366"/>
        <item x="570"/>
        <item x="895"/>
        <item x="734"/>
        <item x="698"/>
        <item x="695"/>
        <item x="630"/>
        <item x="245"/>
        <item x="748"/>
        <item x="286"/>
        <item x="7"/>
        <item x="437"/>
        <item x="777"/>
        <item x="808"/>
        <item x="416"/>
        <item x="429"/>
        <item x="793"/>
        <item x="45"/>
        <item x="464"/>
        <item x="930"/>
        <item x="859"/>
        <item x="600"/>
        <item x="661"/>
        <item x="769"/>
        <item x="619"/>
        <item x="76"/>
        <item x="842"/>
        <item x="520"/>
        <item x="22"/>
        <item x="39"/>
        <item x="61"/>
        <item x="475"/>
        <item x="914"/>
        <item x="90"/>
        <item t="default"/>
      </items>
    </pivotField>
    <pivotField numFmtId="164" showAll="0"/>
    <pivotField numFmtId="4" showAll="0"/>
    <pivotField showAll="0"/>
  </pivotFields>
  <rowFields count="1">
    <field x="4"/>
  </rowFields>
  <rowItems count="11">
    <i>
      <x v="1"/>
    </i>
    <i>
      <x v="8"/>
    </i>
    <i>
      <x v="15"/>
    </i>
    <i>
      <x v="19"/>
    </i>
    <i>
      <x v="31"/>
    </i>
    <i>
      <x v="32"/>
    </i>
    <i>
      <x v="33"/>
    </i>
    <i>
      <x v="37"/>
    </i>
    <i>
      <x v="38"/>
    </i>
    <i>
      <x v="40"/>
    </i>
    <i t="grand">
      <x/>
    </i>
  </rowItems>
  <colItems count="1">
    <i/>
  </colItems>
  <dataFields count="1">
    <dataField name="Sum of Net Revenue (INR)" fld="15"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C2B846-AF88-4E87-B213-6D8617E7D6FD}" name="PivotTable1"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4" firstHeaderRow="1" firstDataRow="1" firstDataCol="1"/>
  <pivotFields count="19">
    <pivotField showAll="0"/>
    <pivotField showAll="0"/>
    <pivotField showAll="0" defaultSubtotal="0">
      <items count="12">
        <item x="7"/>
        <item x="6"/>
        <item x="9"/>
        <item x="4"/>
        <item x="11"/>
        <item x="10"/>
        <item x="5"/>
        <item x="8"/>
        <item x="3"/>
        <item x="2"/>
        <item x="0"/>
        <item x="1"/>
      </items>
    </pivotField>
    <pivotField showAll="0"/>
    <pivotField showAll="0"/>
    <pivotField showAll="0">
      <items count="7">
        <item x="5"/>
        <item x="4"/>
        <item x="0"/>
        <item x="2"/>
        <item x="1"/>
        <item x="3"/>
        <item t="default"/>
      </items>
    </pivotField>
    <pivotField showAll="0">
      <items count="6">
        <item x="2"/>
        <item x="0"/>
        <item x="4"/>
        <item x="1"/>
        <item x="3"/>
        <item t="default"/>
      </items>
    </pivotField>
    <pivotField showAll="0"/>
    <pivotField showAll="0"/>
    <pivotField showAll="0"/>
    <pivotField axis="axisRow" showAll="0">
      <items count="11">
        <item x="4"/>
        <item x="7"/>
        <item x="8"/>
        <item x="3"/>
        <item x="1"/>
        <item x="2"/>
        <item x="6"/>
        <item x="0"/>
        <item x="5"/>
        <item x="9"/>
        <item t="default"/>
      </items>
    </pivotField>
    <pivotField numFmtId="4" showAll="0"/>
    <pivotField showAll="0"/>
    <pivotField numFmtId="4" showAll="0"/>
    <pivotField numFmtId="164" showAll="0"/>
    <pivotField dataField="1" numFmtId="4" showAll="0"/>
    <pivotField numFmtId="164" showAll="0"/>
    <pivotField numFmtId="4" showAll="0"/>
    <pivotField showAll="0" defaultSubtotal="0">
      <items count="4">
        <item x="0"/>
        <item x="1"/>
        <item x="2"/>
        <item x="3"/>
      </items>
    </pivotField>
  </pivotFields>
  <rowFields count="1">
    <field x="10"/>
  </rowFields>
  <rowItems count="11">
    <i>
      <x/>
    </i>
    <i>
      <x v="1"/>
    </i>
    <i>
      <x v="2"/>
    </i>
    <i>
      <x v="3"/>
    </i>
    <i>
      <x v="4"/>
    </i>
    <i>
      <x v="5"/>
    </i>
    <i>
      <x v="6"/>
    </i>
    <i>
      <x v="7"/>
    </i>
    <i>
      <x v="8"/>
    </i>
    <i>
      <x v="9"/>
    </i>
    <i t="grand">
      <x/>
    </i>
  </rowItems>
  <colItems count="1">
    <i/>
  </colItems>
  <dataFields count="1">
    <dataField name="Sum of Net Revenue (INR)"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21A05F-ECEB-4D6F-A8CB-14DE9D6FE4C1}" name="PivotTable2"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C2" firstHeaderRow="0" firstDataRow="1" firstDataCol="0"/>
  <pivotFields count="19">
    <pivotField showAll="0"/>
    <pivotField showAll="0"/>
    <pivotField showAll="0"/>
    <pivotField showAll="0"/>
    <pivotField showAll="0"/>
    <pivotField showAll="0"/>
    <pivotField showAll="0"/>
    <pivotField showAll="0"/>
    <pivotField showAll="0"/>
    <pivotField showAll="0"/>
    <pivotField showAll="0"/>
    <pivotField numFmtId="4" showAll="0"/>
    <pivotField showAll="0"/>
    <pivotField dataField="1" numFmtId="4" showAll="0"/>
    <pivotField numFmtId="164" showAll="0"/>
    <pivotField dataField="1" numFmtId="4" showAll="0"/>
    <pivotField numFmtId="164" showAll="0"/>
    <pivotField numFmtId="4" showAll="0"/>
    <pivotField showAll="0"/>
  </pivotFields>
  <rowItems count="1">
    <i/>
  </rowItems>
  <colFields count="1">
    <field x="-2"/>
  </colFields>
  <colItems count="2">
    <i>
      <x/>
    </i>
    <i i="1">
      <x v="1"/>
    </i>
  </colItems>
  <dataFields count="2">
    <dataField name="Net Revenue " fld="15" baseField="0" baseItem="1" numFmtId="165"/>
    <dataField name="Gross Revenue" fld="13" baseField="0" baseItem="1" numFmtId="165"/>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0ED3B8-2EAC-43A2-B97F-0A2E07090AF7}" name="PivotTable1"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A2" firstHeaderRow="1" firstDataRow="1" firstDataCol="0"/>
  <pivotFields count="19">
    <pivotField showAll="0"/>
    <pivotField showAll="0"/>
    <pivotField showAll="0"/>
    <pivotField showAll="0"/>
    <pivotField showAll="0"/>
    <pivotField showAll="0"/>
    <pivotField showAll="0"/>
    <pivotField showAll="0"/>
    <pivotField showAll="0"/>
    <pivotField showAll="0">
      <items count="5">
        <item x="0"/>
        <item x="3"/>
        <item x="2"/>
        <item x="1"/>
        <item t="default"/>
      </items>
    </pivotField>
    <pivotField showAll="0"/>
    <pivotField numFmtId="4" showAll="0"/>
    <pivotField showAll="0"/>
    <pivotField numFmtId="4" showAll="0"/>
    <pivotField numFmtId="164" showAll="0"/>
    <pivotField numFmtId="4" showAll="0"/>
    <pivotField numFmtId="164" showAll="0"/>
    <pivotField dataField="1" numFmtId="4" showAll="0"/>
    <pivotField showAll="0"/>
  </pivotFields>
  <rowItems count="1">
    <i/>
  </rowItems>
  <colItems count="1">
    <i/>
  </colItems>
  <dataFields count="1">
    <dataField name="Total_Profit" fld="17"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894DFE1-C4F1-40C5-88CB-733963247BAF}" sourceName="Product">
  <pivotTables>
    <pivotTable tabId="8" name="PivotTable3"/>
  </pivotTables>
  <data>
    <tabular pivotCacheId="1071869600">
      <items count="42">
        <i x="22" s="1"/>
        <i x="10" s="1"/>
        <i x="13" s="1"/>
        <i x="37" s="1"/>
        <i x="9" s="1"/>
        <i x="32" s="1"/>
        <i x="33" s="1"/>
        <i x="24" s="1"/>
        <i x="28" s="1"/>
        <i x="8" s="1"/>
        <i x="4" s="1"/>
        <i x="12" s="1"/>
        <i x="3" s="1"/>
        <i x="41" s="1"/>
        <i x="30" s="1"/>
        <i x="19" s="1"/>
        <i x="15" s="1"/>
        <i x="36" s="1"/>
        <i x="34" s="1"/>
        <i x="16" s="1"/>
        <i x="17" s="1"/>
        <i x="6" s="1"/>
        <i x="23" s="1"/>
        <i x="40" s="1"/>
        <i x="2" s="1"/>
        <i x="26" s="1"/>
        <i x="11" s="1"/>
        <i x="14" s="1"/>
        <i x="29" s="1"/>
        <i x="35" s="1"/>
        <i x="27" s="1"/>
        <i x="38" s="1"/>
        <i x="5" s="1"/>
        <i x="1" s="1"/>
        <i x="21" s="1"/>
        <i x="39" s="1"/>
        <i x="31" s="1"/>
        <i x="0" s="1"/>
        <i x="20" s="1"/>
        <i x="25" s="1"/>
        <i x="7" s="1"/>
        <i x="1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2AC2E82-2E93-47C7-9C72-F3EE13ABB6E2}" sourceName="Category">
  <pivotTables>
    <pivotTable tabId="8" name="PivotTable3"/>
    <pivotTable tabId="9" name="PivotTable4"/>
    <pivotTable tabId="10" name="PivotTable5"/>
    <pivotTable tabId="11" name="PivotTable6"/>
    <pivotTable tabId="12" name="PivotTable1"/>
  </pivotTables>
  <data>
    <tabular pivotCacheId="1071869600">
      <items count="6">
        <i x="5" s="1"/>
        <i x="4" s="1"/>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7C0562C-4C9E-44FC-ADBB-067D19E3C990}" cache="Slicer_Product" caption="Product" startItem="1" rowHeight="234950"/>
  <slicer name="Category" xr10:uid="{060DA603-DCD2-475B-9E79-9DF38F92EDBE}"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1A8EC-FF63-41E9-86EF-D5A7F8DE2270}">
  <dimension ref="A1:X1001"/>
  <sheetViews>
    <sheetView zoomScale="86" workbookViewId="0"/>
  </sheetViews>
  <sheetFormatPr defaultRowHeight="14.4" x14ac:dyDescent="0.3"/>
  <cols>
    <col min="1" max="1" width="16" customWidth="1"/>
    <col min="2" max="2" width="12" customWidth="1"/>
    <col min="3" max="4" width="8" customWidth="1"/>
    <col min="5" max="5" width="22" customWidth="1"/>
    <col min="6" max="6" width="13" customWidth="1"/>
    <col min="7" max="7" width="10" customWidth="1"/>
    <col min="8" max="8" width="14" customWidth="1"/>
    <col min="9" max="9" width="18" customWidth="1"/>
    <col min="10" max="10" width="15" customWidth="1"/>
    <col min="11" max="12" width="16" customWidth="1"/>
    <col min="13" max="13" width="10" customWidth="1"/>
    <col min="14" max="14" width="18" customWidth="1"/>
    <col min="15" max="15" width="14" customWidth="1"/>
    <col min="16" max="16" width="16" customWidth="1"/>
    <col min="17" max="17" width="12" customWidth="1"/>
    <col min="18" max="19" width="14" customWidth="1"/>
    <col min="21" max="21" width="16.21875" customWidth="1"/>
    <col min="23" max="23" width="11.77734375" customWidth="1"/>
    <col min="24" max="24" width="17.77734375" bestFit="1" customWidth="1"/>
  </cols>
  <sheetData>
    <row r="1" spans="1:24" s="10" customFormat="1" ht="30" customHeight="1" x14ac:dyDescent="0.3">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row>
    <row r="2" spans="1:24" x14ac:dyDescent="0.3">
      <c r="A2" s="1" t="s">
        <v>19</v>
      </c>
      <c r="B2" s="1" t="s">
        <v>20</v>
      </c>
      <c r="C2" s="1" t="s">
        <v>21</v>
      </c>
      <c r="D2" s="1" t="s">
        <v>22</v>
      </c>
      <c r="E2" s="2" t="s">
        <v>23</v>
      </c>
      <c r="F2" s="1" t="s">
        <v>24</v>
      </c>
      <c r="G2" s="1" t="s">
        <v>25</v>
      </c>
      <c r="H2" s="1" t="s">
        <v>26</v>
      </c>
      <c r="I2" s="1" t="s">
        <v>27</v>
      </c>
      <c r="J2" s="1" t="s">
        <v>28</v>
      </c>
      <c r="K2" s="1" t="s">
        <v>29</v>
      </c>
      <c r="L2" s="3">
        <v>49480.19</v>
      </c>
      <c r="M2" s="1">
        <v>17</v>
      </c>
      <c r="N2" s="3">
        <v>841163.23</v>
      </c>
      <c r="O2" s="4">
        <v>23.8</v>
      </c>
      <c r="P2" s="3">
        <v>640966.38</v>
      </c>
      <c r="Q2" s="4">
        <v>24.9</v>
      </c>
      <c r="R2" s="3">
        <v>159600.63</v>
      </c>
      <c r="S2" s="1" t="s">
        <v>30</v>
      </c>
    </row>
    <row r="3" spans="1:24" x14ac:dyDescent="0.3">
      <c r="A3" s="5" t="s">
        <v>31</v>
      </c>
      <c r="B3" s="5" t="s">
        <v>32</v>
      </c>
      <c r="C3" s="5" t="s">
        <v>33</v>
      </c>
      <c r="D3" s="5" t="s">
        <v>22</v>
      </c>
      <c r="E3" s="6" t="s">
        <v>34</v>
      </c>
      <c r="F3" s="5" t="s">
        <v>35</v>
      </c>
      <c r="G3" s="5" t="s">
        <v>36</v>
      </c>
      <c r="H3" s="5" t="s">
        <v>37</v>
      </c>
      <c r="I3" s="5" t="s">
        <v>38</v>
      </c>
      <c r="J3" s="5" t="s">
        <v>28</v>
      </c>
      <c r="K3" s="5" t="s">
        <v>39</v>
      </c>
      <c r="L3" s="7">
        <v>2607.73</v>
      </c>
      <c r="M3" s="5">
        <v>3</v>
      </c>
      <c r="N3" s="7">
        <v>7823.19</v>
      </c>
      <c r="O3" s="8">
        <v>20.399999999999999</v>
      </c>
      <c r="P3" s="7">
        <v>6227.26</v>
      </c>
      <c r="Q3" s="8">
        <v>30.7</v>
      </c>
      <c r="R3" s="7">
        <v>1911.77</v>
      </c>
      <c r="S3" s="5" t="s">
        <v>40</v>
      </c>
    </row>
    <row r="4" spans="1:24" x14ac:dyDescent="0.3">
      <c r="A4" s="1" t="s">
        <v>41</v>
      </c>
      <c r="B4" s="1" t="s">
        <v>42</v>
      </c>
      <c r="C4" s="1" t="s">
        <v>43</v>
      </c>
      <c r="D4" s="1" t="s">
        <v>22</v>
      </c>
      <c r="E4" s="2" t="s">
        <v>44</v>
      </c>
      <c r="F4" s="1" t="s">
        <v>45</v>
      </c>
      <c r="G4" s="1" t="s">
        <v>25</v>
      </c>
      <c r="H4" s="1" t="s">
        <v>46</v>
      </c>
      <c r="I4" s="1" t="s">
        <v>47</v>
      </c>
      <c r="J4" s="1" t="s">
        <v>28</v>
      </c>
      <c r="K4" s="1" t="s">
        <v>48</v>
      </c>
      <c r="L4" s="3">
        <v>1226.19</v>
      </c>
      <c r="M4" s="1">
        <v>24</v>
      </c>
      <c r="N4" s="3">
        <v>29428.560000000001</v>
      </c>
      <c r="O4" s="4">
        <v>1.9</v>
      </c>
      <c r="P4" s="3">
        <v>28869.42</v>
      </c>
      <c r="Q4" s="4">
        <v>30.3</v>
      </c>
      <c r="R4" s="3">
        <v>8747.43</v>
      </c>
      <c r="S4" s="1" t="s">
        <v>40</v>
      </c>
      <c r="U4" s="14"/>
    </row>
    <row r="5" spans="1:24" x14ac:dyDescent="0.3">
      <c r="A5" s="5" t="s">
        <v>49</v>
      </c>
      <c r="B5" s="5" t="s">
        <v>50</v>
      </c>
      <c r="C5" s="5" t="s">
        <v>43</v>
      </c>
      <c r="D5" s="5" t="s">
        <v>22</v>
      </c>
      <c r="E5" s="6" t="s">
        <v>51</v>
      </c>
      <c r="F5" s="5" t="s">
        <v>52</v>
      </c>
      <c r="G5" s="5" t="s">
        <v>53</v>
      </c>
      <c r="H5" s="5" t="s">
        <v>54</v>
      </c>
      <c r="I5" s="5" t="s">
        <v>55</v>
      </c>
      <c r="J5" s="5" t="s">
        <v>28</v>
      </c>
      <c r="K5" s="5" t="s">
        <v>56</v>
      </c>
      <c r="L5" s="7">
        <v>2987.29</v>
      </c>
      <c r="M5" s="5">
        <v>23</v>
      </c>
      <c r="N5" s="7">
        <v>68707.67</v>
      </c>
      <c r="O5" s="8">
        <v>11.5</v>
      </c>
      <c r="P5" s="7">
        <v>60806.29</v>
      </c>
      <c r="Q5" s="8">
        <v>31.6</v>
      </c>
      <c r="R5" s="7">
        <v>19214.79</v>
      </c>
      <c r="S5" s="5" t="s">
        <v>40</v>
      </c>
    </row>
    <row r="6" spans="1:24" x14ac:dyDescent="0.3">
      <c r="A6" s="1" t="s">
        <v>57</v>
      </c>
      <c r="B6" s="1" t="s">
        <v>58</v>
      </c>
      <c r="C6" s="1" t="s">
        <v>59</v>
      </c>
      <c r="D6" s="1" t="s">
        <v>60</v>
      </c>
      <c r="E6" s="2" t="s">
        <v>61</v>
      </c>
      <c r="F6" s="1" t="s">
        <v>62</v>
      </c>
      <c r="G6" s="1" t="s">
        <v>63</v>
      </c>
      <c r="H6" s="1" t="s">
        <v>64</v>
      </c>
      <c r="I6" s="1" t="s">
        <v>27</v>
      </c>
      <c r="J6" s="1" t="s">
        <v>65</v>
      </c>
      <c r="K6" s="1" t="s">
        <v>48</v>
      </c>
      <c r="L6" s="3">
        <v>1711.96</v>
      </c>
      <c r="M6" s="1">
        <v>17</v>
      </c>
      <c r="N6" s="3">
        <v>29103.32</v>
      </c>
      <c r="O6" s="4">
        <v>10.5</v>
      </c>
      <c r="P6" s="3">
        <v>26047.47</v>
      </c>
      <c r="Q6" s="4">
        <v>54.2</v>
      </c>
      <c r="R6" s="3">
        <v>14117.73</v>
      </c>
      <c r="S6" s="1" t="s">
        <v>30</v>
      </c>
    </row>
    <row r="7" spans="1:24" x14ac:dyDescent="0.3">
      <c r="A7" s="5" t="s">
        <v>66</v>
      </c>
      <c r="B7" s="5" t="s">
        <v>67</v>
      </c>
      <c r="C7" s="5" t="s">
        <v>68</v>
      </c>
      <c r="D7" s="5" t="s">
        <v>69</v>
      </c>
      <c r="E7" s="6" t="s">
        <v>70</v>
      </c>
      <c r="F7" s="5" t="s">
        <v>24</v>
      </c>
      <c r="G7" s="5" t="s">
        <v>53</v>
      </c>
      <c r="H7" s="5" t="s">
        <v>71</v>
      </c>
      <c r="I7" s="5" t="s">
        <v>72</v>
      </c>
      <c r="J7" s="5" t="s">
        <v>28</v>
      </c>
      <c r="K7" s="5" t="s">
        <v>56</v>
      </c>
      <c r="L7" s="7">
        <v>84644.46</v>
      </c>
      <c r="M7" s="5">
        <v>4</v>
      </c>
      <c r="N7" s="7">
        <v>338577.84</v>
      </c>
      <c r="O7" s="8">
        <v>10.7</v>
      </c>
      <c r="P7" s="7">
        <v>302350.01</v>
      </c>
      <c r="Q7" s="8">
        <v>26.3</v>
      </c>
      <c r="R7" s="7">
        <v>79518.05</v>
      </c>
      <c r="S7" s="5" t="s">
        <v>40</v>
      </c>
    </row>
    <row r="8" spans="1:24" x14ac:dyDescent="0.3">
      <c r="A8" s="1" t="s">
        <v>73</v>
      </c>
      <c r="B8" s="1" t="s">
        <v>74</v>
      </c>
      <c r="C8" s="1" t="s">
        <v>75</v>
      </c>
      <c r="D8" s="1" t="s">
        <v>60</v>
      </c>
      <c r="E8" s="2" t="s">
        <v>76</v>
      </c>
      <c r="F8" s="1" t="s">
        <v>45</v>
      </c>
      <c r="G8" s="1" t="s">
        <v>53</v>
      </c>
      <c r="H8" s="1" t="s">
        <v>77</v>
      </c>
      <c r="I8" s="1" t="s">
        <v>47</v>
      </c>
      <c r="J8" s="1" t="s">
        <v>47</v>
      </c>
      <c r="K8" s="1" t="s">
        <v>78</v>
      </c>
      <c r="L8" s="3">
        <v>661.91</v>
      </c>
      <c r="M8" s="1">
        <v>10</v>
      </c>
      <c r="N8" s="3">
        <v>6619.1</v>
      </c>
      <c r="O8" s="4">
        <v>16.2</v>
      </c>
      <c r="P8" s="3">
        <v>5546.81</v>
      </c>
      <c r="Q8" s="4">
        <v>31.2</v>
      </c>
      <c r="R8" s="3">
        <v>1730.6</v>
      </c>
      <c r="S8" s="1" t="s">
        <v>79</v>
      </c>
      <c r="W8" t="s">
        <v>1488</v>
      </c>
      <c r="X8" s="14">
        <f>SUM(P:P)</f>
        <v>138060684.22999987</v>
      </c>
    </row>
    <row r="9" spans="1:24" x14ac:dyDescent="0.3">
      <c r="A9" s="5" t="s">
        <v>80</v>
      </c>
      <c r="B9" s="5" t="s">
        <v>81</v>
      </c>
      <c r="C9" s="5" t="s">
        <v>75</v>
      </c>
      <c r="D9" s="5" t="s">
        <v>60</v>
      </c>
      <c r="E9" s="6" t="s">
        <v>82</v>
      </c>
      <c r="F9" s="5" t="s">
        <v>24</v>
      </c>
      <c r="G9" s="5" t="s">
        <v>36</v>
      </c>
      <c r="H9" s="5" t="s">
        <v>37</v>
      </c>
      <c r="I9" s="5" t="s">
        <v>72</v>
      </c>
      <c r="J9" s="5" t="s">
        <v>28</v>
      </c>
      <c r="K9" s="5" t="s">
        <v>56</v>
      </c>
      <c r="L9" s="7">
        <v>63491.31</v>
      </c>
      <c r="M9" s="5">
        <v>20</v>
      </c>
      <c r="N9" s="7">
        <v>1269826.2</v>
      </c>
      <c r="O9" s="8">
        <v>20.100000000000001</v>
      </c>
      <c r="P9" s="7">
        <v>1014591.13</v>
      </c>
      <c r="Q9" s="8">
        <v>31.2</v>
      </c>
      <c r="R9" s="7">
        <v>316552.43</v>
      </c>
      <c r="S9" s="5" t="s">
        <v>30</v>
      </c>
    </row>
    <row r="10" spans="1:24" x14ac:dyDescent="0.3">
      <c r="A10" s="1" t="s">
        <v>83</v>
      </c>
      <c r="B10" s="1" t="s">
        <v>84</v>
      </c>
      <c r="C10" s="1" t="s">
        <v>85</v>
      </c>
      <c r="D10" s="1" t="s">
        <v>86</v>
      </c>
      <c r="E10" s="2" t="s">
        <v>34</v>
      </c>
      <c r="F10" s="1" t="s">
        <v>35</v>
      </c>
      <c r="G10" s="1" t="s">
        <v>63</v>
      </c>
      <c r="H10" s="1" t="s">
        <v>87</v>
      </c>
      <c r="I10" s="1" t="s">
        <v>72</v>
      </c>
      <c r="J10" s="1" t="s">
        <v>65</v>
      </c>
      <c r="K10" s="1" t="s">
        <v>88</v>
      </c>
      <c r="L10" s="3">
        <v>26208.12</v>
      </c>
      <c r="M10" s="1">
        <v>2</v>
      </c>
      <c r="N10" s="3">
        <v>52416.24</v>
      </c>
      <c r="O10" s="4">
        <v>7.9</v>
      </c>
      <c r="P10" s="3">
        <v>48275.360000000001</v>
      </c>
      <c r="Q10" s="4">
        <v>48</v>
      </c>
      <c r="R10" s="3">
        <v>23172.17</v>
      </c>
      <c r="S10" s="1" t="s">
        <v>30</v>
      </c>
      <c r="W10" t="s">
        <v>1489</v>
      </c>
      <c r="X10" s="15">
        <f>SUM(R:R)</f>
        <v>41532136.320000008</v>
      </c>
    </row>
    <row r="11" spans="1:24" x14ac:dyDescent="0.3">
      <c r="A11" s="5" t="s">
        <v>89</v>
      </c>
      <c r="B11" s="5" t="s">
        <v>90</v>
      </c>
      <c r="C11" s="5" t="s">
        <v>75</v>
      </c>
      <c r="D11" s="5" t="s">
        <v>60</v>
      </c>
      <c r="E11" s="6" t="s">
        <v>91</v>
      </c>
      <c r="F11" s="5" t="s">
        <v>52</v>
      </c>
      <c r="G11" s="5" t="s">
        <v>63</v>
      </c>
      <c r="H11" s="5" t="s">
        <v>92</v>
      </c>
      <c r="I11" s="5" t="s">
        <v>55</v>
      </c>
      <c r="J11" s="5" t="s">
        <v>93</v>
      </c>
      <c r="K11" s="5" t="s">
        <v>78</v>
      </c>
      <c r="L11" s="7">
        <v>8478.2000000000007</v>
      </c>
      <c r="M11" s="5">
        <v>21</v>
      </c>
      <c r="N11" s="7">
        <v>178042.2</v>
      </c>
      <c r="O11" s="8">
        <v>12.5</v>
      </c>
      <c r="P11" s="7">
        <v>155786.93</v>
      </c>
      <c r="Q11" s="8">
        <v>28.9</v>
      </c>
      <c r="R11" s="7">
        <v>45022.42</v>
      </c>
      <c r="S11" s="5" t="s">
        <v>40</v>
      </c>
    </row>
    <row r="12" spans="1:24" x14ac:dyDescent="0.3">
      <c r="A12" s="1" t="s">
        <v>94</v>
      </c>
      <c r="B12" s="1" t="s">
        <v>95</v>
      </c>
      <c r="C12" s="1" t="s">
        <v>96</v>
      </c>
      <c r="D12" s="1" t="s">
        <v>86</v>
      </c>
      <c r="E12" s="2" t="s">
        <v>97</v>
      </c>
      <c r="F12" s="1" t="s">
        <v>35</v>
      </c>
      <c r="G12" s="1" t="s">
        <v>53</v>
      </c>
      <c r="H12" s="1" t="s">
        <v>98</v>
      </c>
      <c r="I12" s="1" t="s">
        <v>47</v>
      </c>
      <c r="J12" s="1" t="s">
        <v>65</v>
      </c>
      <c r="K12" s="1" t="s">
        <v>78</v>
      </c>
      <c r="L12" s="3">
        <v>25730.1</v>
      </c>
      <c r="M12" s="1">
        <v>3</v>
      </c>
      <c r="N12" s="3">
        <v>77190.3</v>
      </c>
      <c r="O12" s="4">
        <v>5</v>
      </c>
      <c r="P12" s="3">
        <v>73330.789999999994</v>
      </c>
      <c r="Q12" s="4">
        <v>42.6</v>
      </c>
      <c r="R12" s="3">
        <v>31238.92</v>
      </c>
      <c r="S12" s="1" t="s">
        <v>40</v>
      </c>
      <c r="W12" t="s">
        <v>1490</v>
      </c>
      <c r="X12" s="14">
        <f>AVERAGE(Q:Q)</f>
        <v>39.285300000000035</v>
      </c>
    </row>
    <row r="13" spans="1:24" x14ac:dyDescent="0.3">
      <c r="A13" s="5" t="s">
        <v>99</v>
      </c>
      <c r="B13" s="5" t="s">
        <v>100</v>
      </c>
      <c r="C13" s="5" t="s">
        <v>101</v>
      </c>
      <c r="D13" s="5" t="s">
        <v>60</v>
      </c>
      <c r="E13" s="6" t="s">
        <v>44</v>
      </c>
      <c r="F13" s="5" t="s">
        <v>45</v>
      </c>
      <c r="G13" s="5" t="s">
        <v>53</v>
      </c>
      <c r="H13" s="5" t="s">
        <v>77</v>
      </c>
      <c r="I13" s="5" t="s">
        <v>27</v>
      </c>
      <c r="J13" s="5" t="s">
        <v>47</v>
      </c>
      <c r="K13" s="5" t="s">
        <v>102</v>
      </c>
      <c r="L13" s="7">
        <v>903</v>
      </c>
      <c r="M13" s="5">
        <v>16</v>
      </c>
      <c r="N13" s="7">
        <v>14448</v>
      </c>
      <c r="O13" s="8">
        <v>23.4</v>
      </c>
      <c r="P13" s="7">
        <v>11067.17</v>
      </c>
      <c r="Q13" s="8">
        <v>34.6</v>
      </c>
      <c r="R13" s="7">
        <v>3829.24</v>
      </c>
      <c r="S13" s="5" t="s">
        <v>40</v>
      </c>
    </row>
    <row r="14" spans="1:24" x14ac:dyDescent="0.3">
      <c r="A14" s="1" t="s">
        <v>103</v>
      </c>
      <c r="B14" s="1" t="s">
        <v>104</v>
      </c>
      <c r="C14" s="1" t="s">
        <v>59</v>
      </c>
      <c r="D14" s="1" t="s">
        <v>60</v>
      </c>
      <c r="E14" s="2" t="s">
        <v>97</v>
      </c>
      <c r="F14" s="1" t="s">
        <v>35</v>
      </c>
      <c r="G14" s="1" t="s">
        <v>36</v>
      </c>
      <c r="H14" s="1" t="s">
        <v>105</v>
      </c>
      <c r="I14" s="1" t="s">
        <v>72</v>
      </c>
      <c r="J14" s="1" t="s">
        <v>93</v>
      </c>
      <c r="K14" s="1" t="s">
        <v>102</v>
      </c>
      <c r="L14" s="3">
        <v>42239.88</v>
      </c>
      <c r="M14" s="1">
        <v>19</v>
      </c>
      <c r="N14" s="3">
        <v>802557.72</v>
      </c>
      <c r="O14" s="4">
        <v>10.3</v>
      </c>
      <c r="P14" s="3">
        <v>719894.27</v>
      </c>
      <c r="Q14" s="4">
        <v>35.299999999999997</v>
      </c>
      <c r="R14" s="3">
        <v>254122.68</v>
      </c>
      <c r="S14" s="1" t="s">
        <v>79</v>
      </c>
    </row>
    <row r="15" spans="1:24" x14ac:dyDescent="0.3">
      <c r="A15" s="5" t="s">
        <v>106</v>
      </c>
      <c r="B15" s="5" t="s">
        <v>107</v>
      </c>
      <c r="C15" s="5" t="s">
        <v>96</v>
      </c>
      <c r="D15" s="5" t="s">
        <v>86</v>
      </c>
      <c r="E15" s="6" t="s">
        <v>108</v>
      </c>
      <c r="F15" s="5" t="s">
        <v>35</v>
      </c>
      <c r="G15" s="5" t="s">
        <v>109</v>
      </c>
      <c r="H15" s="5" t="s">
        <v>110</v>
      </c>
      <c r="I15" s="5" t="s">
        <v>47</v>
      </c>
      <c r="J15" s="5" t="s">
        <v>47</v>
      </c>
      <c r="K15" s="5" t="s">
        <v>111</v>
      </c>
      <c r="L15" s="7">
        <v>4683.45</v>
      </c>
      <c r="M15" s="5">
        <v>12</v>
      </c>
      <c r="N15" s="7">
        <v>56201.4</v>
      </c>
      <c r="O15" s="8">
        <v>23.4</v>
      </c>
      <c r="P15" s="7">
        <v>43050.27</v>
      </c>
      <c r="Q15" s="8">
        <v>43.5</v>
      </c>
      <c r="R15" s="7">
        <v>18726.87</v>
      </c>
      <c r="S15" s="5" t="s">
        <v>112</v>
      </c>
    </row>
    <row r="16" spans="1:24" x14ac:dyDescent="0.3">
      <c r="A16" s="1" t="s">
        <v>113</v>
      </c>
      <c r="B16" s="1" t="s">
        <v>104</v>
      </c>
      <c r="C16" s="1" t="s">
        <v>59</v>
      </c>
      <c r="D16" s="1" t="s">
        <v>60</v>
      </c>
      <c r="E16" s="2" t="s">
        <v>114</v>
      </c>
      <c r="F16" s="1" t="s">
        <v>45</v>
      </c>
      <c r="G16" s="1" t="s">
        <v>109</v>
      </c>
      <c r="H16" s="1" t="s">
        <v>110</v>
      </c>
      <c r="I16" s="1" t="s">
        <v>27</v>
      </c>
      <c r="J16" s="1" t="s">
        <v>47</v>
      </c>
      <c r="K16" s="1" t="s">
        <v>111</v>
      </c>
      <c r="L16" s="3">
        <v>795.6</v>
      </c>
      <c r="M16" s="1">
        <v>15</v>
      </c>
      <c r="N16" s="3">
        <v>11934</v>
      </c>
      <c r="O16" s="4">
        <v>20.100000000000001</v>
      </c>
      <c r="P16" s="3">
        <v>9535.27</v>
      </c>
      <c r="Q16" s="4">
        <v>31.7</v>
      </c>
      <c r="R16" s="3">
        <v>3022.68</v>
      </c>
      <c r="S16" s="1" t="s">
        <v>40</v>
      </c>
    </row>
    <row r="17" spans="1:19" x14ac:dyDescent="0.3">
      <c r="A17" s="5" t="s">
        <v>115</v>
      </c>
      <c r="B17" s="5" t="s">
        <v>116</v>
      </c>
      <c r="C17" s="5" t="s">
        <v>117</v>
      </c>
      <c r="D17" s="5" t="s">
        <v>86</v>
      </c>
      <c r="E17" s="6" t="s">
        <v>118</v>
      </c>
      <c r="F17" s="5" t="s">
        <v>62</v>
      </c>
      <c r="G17" s="5" t="s">
        <v>36</v>
      </c>
      <c r="H17" s="5" t="s">
        <v>119</v>
      </c>
      <c r="I17" s="5" t="s">
        <v>72</v>
      </c>
      <c r="J17" s="5" t="s">
        <v>65</v>
      </c>
      <c r="K17" s="5" t="s">
        <v>111</v>
      </c>
      <c r="L17" s="7">
        <v>2777.29</v>
      </c>
      <c r="M17" s="5">
        <v>3</v>
      </c>
      <c r="N17" s="7">
        <v>8331.8700000000008</v>
      </c>
      <c r="O17" s="8">
        <v>0.9</v>
      </c>
      <c r="P17" s="7">
        <v>8256.8799999999992</v>
      </c>
      <c r="Q17" s="8">
        <v>61.1</v>
      </c>
      <c r="R17" s="7">
        <v>5044.95</v>
      </c>
      <c r="S17" s="5" t="s">
        <v>40</v>
      </c>
    </row>
    <row r="18" spans="1:19" x14ac:dyDescent="0.3">
      <c r="A18" s="1" t="s">
        <v>120</v>
      </c>
      <c r="B18" s="1" t="s">
        <v>121</v>
      </c>
      <c r="C18" s="1" t="s">
        <v>117</v>
      </c>
      <c r="D18" s="1" t="s">
        <v>86</v>
      </c>
      <c r="E18" s="2" t="s">
        <v>91</v>
      </c>
      <c r="F18" s="1" t="s">
        <v>52</v>
      </c>
      <c r="G18" s="1" t="s">
        <v>109</v>
      </c>
      <c r="H18" s="1" t="s">
        <v>122</v>
      </c>
      <c r="I18" s="1" t="s">
        <v>72</v>
      </c>
      <c r="J18" s="1" t="s">
        <v>47</v>
      </c>
      <c r="K18" s="1" t="s">
        <v>88</v>
      </c>
      <c r="L18" s="3">
        <v>1422.52</v>
      </c>
      <c r="M18" s="1">
        <v>17</v>
      </c>
      <c r="N18" s="3">
        <v>24182.84</v>
      </c>
      <c r="O18" s="4">
        <v>22.1</v>
      </c>
      <c r="P18" s="3">
        <v>18838.43</v>
      </c>
      <c r="Q18" s="4">
        <v>27.7</v>
      </c>
      <c r="R18" s="3">
        <v>5218.25</v>
      </c>
      <c r="S18" s="1" t="s">
        <v>30</v>
      </c>
    </row>
    <row r="19" spans="1:19" x14ac:dyDescent="0.3">
      <c r="A19" s="5" t="s">
        <v>123</v>
      </c>
      <c r="B19" s="5" t="s">
        <v>124</v>
      </c>
      <c r="C19" s="5" t="s">
        <v>59</v>
      </c>
      <c r="D19" s="5" t="s">
        <v>60</v>
      </c>
      <c r="E19" s="6" t="s">
        <v>125</v>
      </c>
      <c r="F19" s="5" t="s">
        <v>62</v>
      </c>
      <c r="G19" s="5" t="s">
        <v>63</v>
      </c>
      <c r="H19" s="5" t="s">
        <v>92</v>
      </c>
      <c r="I19" s="5" t="s">
        <v>47</v>
      </c>
      <c r="J19" s="5" t="s">
        <v>28</v>
      </c>
      <c r="K19" s="5" t="s">
        <v>48</v>
      </c>
      <c r="L19" s="7">
        <v>3497.57</v>
      </c>
      <c r="M19" s="5">
        <v>13</v>
      </c>
      <c r="N19" s="7">
        <v>45468.41</v>
      </c>
      <c r="O19" s="8">
        <v>8.6</v>
      </c>
      <c r="P19" s="7">
        <v>41558.129999999997</v>
      </c>
      <c r="Q19" s="8">
        <v>55.3</v>
      </c>
      <c r="R19" s="7">
        <v>22981.65</v>
      </c>
      <c r="S19" s="5" t="s">
        <v>40</v>
      </c>
    </row>
    <row r="20" spans="1:19" x14ac:dyDescent="0.3">
      <c r="A20" s="1" t="s">
        <v>126</v>
      </c>
      <c r="B20" s="1" t="s">
        <v>127</v>
      </c>
      <c r="C20" s="1" t="s">
        <v>85</v>
      </c>
      <c r="D20" s="1" t="s">
        <v>86</v>
      </c>
      <c r="E20" s="2" t="s">
        <v>128</v>
      </c>
      <c r="F20" s="1" t="s">
        <v>45</v>
      </c>
      <c r="G20" s="1" t="s">
        <v>53</v>
      </c>
      <c r="H20" s="1" t="s">
        <v>77</v>
      </c>
      <c r="I20" s="1" t="s">
        <v>38</v>
      </c>
      <c r="J20" s="1" t="s">
        <v>93</v>
      </c>
      <c r="K20" s="1" t="s">
        <v>102</v>
      </c>
      <c r="L20" s="3">
        <v>773.87</v>
      </c>
      <c r="M20" s="1">
        <v>4</v>
      </c>
      <c r="N20" s="3">
        <v>3095.48</v>
      </c>
      <c r="O20" s="4">
        <v>13.1</v>
      </c>
      <c r="P20" s="3">
        <v>2689.97</v>
      </c>
      <c r="Q20" s="4">
        <v>30.7</v>
      </c>
      <c r="R20" s="3">
        <v>825.82</v>
      </c>
      <c r="S20" s="1" t="s">
        <v>40</v>
      </c>
    </row>
    <row r="21" spans="1:19" x14ac:dyDescent="0.3">
      <c r="A21" s="5" t="s">
        <v>129</v>
      </c>
      <c r="B21" s="5" t="s">
        <v>130</v>
      </c>
      <c r="C21" s="5" t="s">
        <v>131</v>
      </c>
      <c r="D21" s="5" t="s">
        <v>69</v>
      </c>
      <c r="E21" s="6" t="s">
        <v>108</v>
      </c>
      <c r="F21" s="5" t="s">
        <v>35</v>
      </c>
      <c r="G21" s="5" t="s">
        <v>25</v>
      </c>
      <c r="H21" s="5" t="s">
        <v>132</v>
      </c>
      <c r="I21" s="5" t="s">
        <v>55</v>
      </c>
      <c r="J21" s="5" t="s">
        <v>47</v>
      </c>
      <c r="K21" s="5" t="s">
        <v>56</v>
      </c>
      <c r="L21" s="7">
        <v>19840.099999999999</v>
      </c>
      <c r="M21" s="5">
        <v>22</v>
      </c>
      <c r="N21" s="7">
        <v>436482.2</v>
      </c>
      <c r="O21" s="8">
        <v>0.7</v>
      </c>
      <c r="P21" s="7">
        <v>433426.82</v>
      </c>
      <c r="Q21" s="8">
        <v>32.4</v>
      </c>
      <c r="R21" s="7">
        <v>140430.29</v>
      </c>
      <c r="S21" s="5" t="s">
        <v>30</v>
      </c>
    </row>
    <row r="22" spans="1:19" x14ac:dyDescent="0.3">
      <c r="A22" s="1" t="s">
        <v>133</v>
      </c>
      <c r="B22" s="1" t="s">
        <v>134</v>
      </c>
      <c r="C22" s="1" t="s">
        <v>135</v>
      </c>
      <c r="D22" s="1" t="s">
        <v>69</v>
      </c>
      <c r="E22" s="2" t="s">
        <v>118</v>
      </c>
      <c r="F22" s="1" t="s">
        <v>62</v>
      </c>
      <c r="G22" s="1" t="s">
        <v>36</v>
      </c>
      <c r="H22" s="1" t="s">
        <v>136</v>
      </c>
      <c r="I22" s="1" t="s">
        <v>38</v>
      </c>
      <c r="J22" s="1" t="s">
        <v>93</v>
      </c>
      <c r="K22" s="1" t="s">
        <v>78</v>
      </c>
      <c r="L22" s="3">
        <v>2364.37</v>
      </c>
      <c r="M22" s="1">
        <v>19</v>
      </c>
      <c r="N22" s="3">
        <v>44923.03</v>
      </c>
      <c r="O22" s="4">
        <v>13.9</v>
      </c>
      <c r="P22" s="3">
        <v>38678.730000000003</v>
      </c>
      <c r="Q22" s="4">
        <v>54.4</v>
      </c>
      <c r="R22" s="3">
        <v>21041.23</v>
      </c>
      <c r="S22" s="1" t="s">
        <v>40</v>
      </c>
    </row>
    <row r="23" spans="1:19" x14ac:dyDescent="0.3">
      <c r="A23" s="5" t="s">
        <v>137</v>
      </c>
      <c r="B23" s="5" t="s">
        <v>138</v>
      </c>
      <c r="C23" s="5" t="s">
        <v>135</v>
      </c>
      <c r="D23" s="5" t="s">
        <v>69</v>
      </c>
      <c r="E23" s="6" t="s">
        <v>139</v>
      </c>
      <c r="F23" s="5" t="s">
        <v>45</v>
      </c>
      <c r="G23" s="5" t="s">
        <v>36</v>
      </c>
      <c r="H23" s="5" t="s">
        <v>105</v>
      </c>
      <c r="I23" s="5" t="s">
        <v>47</v>
      </c>
      <c r="J23" s="5" t="s">
        <v>47</v>
      </c>
      <c r="K23" s="5" t="s">
        <v>102</v>
      </c>
      <c r="L23" s="7">
        <v>1003.32</v>
      </c>
      <c r="M23" s="5">
        <v>4</v>
      </c>
      <c r="N23" s="7">
        <v>4013.28</v>
      </c>
      <c r="O23" s="8">
        <v>6.9</v>
      </c>
      <c r="P23" s="7">
        <v>3736.36</v>
      </c>
      <c r="Q23" s="8">
        <v>30.2</v>
      </c>
      <c r="R23" s="7">
        <v>1128.3800000000001</v>
      </c>
      <c r="S23" s="5" t="s">
        <v>30</v>
      </c>
    </row>
    <row r="24" spans="1:19" x14ac:dyDescent="0.3">
      <c r="A24" s="1" t="s">
        <v>140</v>
      </c>
      <c r="B24" s="1" t="s">
        <v>141</v>
      </c>
      <c r="C24" s="1" t="s">
        <v>135</v>
      </c>
      <c r="D24" s="1" t="s">
        <v>69</v>
      </c>
      <c r="E24" s="2" t="s">
        <v>142</v>
      </c>
      <c r="F24" s="1" t="s">
        <v>24</v>
      </c>
      <c r="G24" s="1" t="s">
        <v>63</v>
      </c>
      <c r="H24" s="1" t="s">
        <v>87</v>
      </c>
      <c r="I24" s="1" t="s">
        <v>55</v>
      </c>
      <c r="J24" s="1" t="s">
        <v>93</v>
      </c>
      <c r="K24" s="1" t="s">
        <v>56</v>
      </c>
      <c r="L24" s="3">
        <v>82784.160000000003</v>
      </c>
      <c r="M24" s="1">
        <v>25</v>
      </c>
      <c r="N24" s="3">
        <v>2069604</v>
      </c>
      <c r="O24" s="4">
        <v>24.1</v>
      </c>
      <c r="P24" s="3">
        <v>1570829.44</v>
      </c>
      <c r="Q24" s="4">
        <v>17.100000000000001</v>
      </c>
      <c r="R24" s="3">
        <v>268611.83</v>
      </c>
      <c r="S24" s="1" t="s">
        <v>40</v>
      </c>
    </row>
    <row r="25" spans="1:19" x14ac:dyDescent="0.3">
      <c r="A25" s="5" t="s">
        <v>143</v>
      </c>
      <c r="B25" s="5" t="s">
        <v>144</v>
      </c>
      <c r="C25" s="5" t="s">
        <v>75</v>
      </c>
      <c r="D25" s="5" t="s">
        <v>60</v>
      </c>
      <c r="E25" s="6" t="s">
        <v>145</v>
      </c>
      <c r="F25" s="5" t="s">
        <v>62</v>
      </c>
      <c r="G25" s="5" t="s">
        <v>25</v>
      </c>
      <c r="H25" s="5" t="s">
        <v>132</v>
      </c>
      <c r="I25" s="5" t="s">
        <v>27</v>
      </c>
      <c r="J25" s="5" t="s">
        <v>28</v>
      </c>
      <c r="K25" s="5" t="s">
        <v>88</v>
      </c>
      <c r="L25" s="7">
        <v>1395.9</v>
      </c>
      <c r="M25" s="5">
        <v>15</v>
      </c>
      <c r="N25" s="7">
        <v>20938.5</v>
      </c>
      <c r="O25" s="8">
        <v>16.399999999999999</v>
      </c>
      <c r="P25" s="7">
        <v>17504.59</v>
      </c>
      <c r="Q25" s="8">
        <v>62.6</v>
      </c>
      <c r="R25" s="7">
        <v>10957.87</v>
      </c>
      <c r="S25" s="5" t="s">
        <v>40</v>
      </c>
    </row>
    <row r="26" spans="1:19" x14ac:dyDescent="0.3">
      <c r="A26" s="1" t="s">
        <v>146</v>
      </c>
      <c r="B26" s="1" t="s">
        <v>147</v>
      </c>
      <c r="C26" s="1" t="s">
        <v>75</v>
      </c>
      <c r="D26" s="1" t="s">
        <v>60</v>
      </c>
      <c r="E26" s="2" t="s">
        <v>148</v>
      </c>
      <c r="F26" s="1" t="s">
        <v>52</v>
      </c>
      <c r="G26" s="1" t="s">
        <v>109</v>
      </c>
      <c r="H26" s="1" t="s">
        <v>110</v>
      </c>
      <c r="I26" s="1" t="s">
        <v>55</v>
      </c>
      <c r="J26" s="1" t="s">
        <v>47</v>
      </c>
      <c r="K26" s="1" t="s">
        <v>149</v>
      </c>
      <c r="L26" s="3">
        <v>6271.23</v>
      </c>
      <c r="M26" s="1">
        <v>17</v>
      </c>
      <c r="N26" s="3">
        <v>106610.91</v>
      </c>
      <c r="O26" s="4">
        <v>23.1</v>
      </c>
      <c r="P26" s="3">
        <v>81983.789999999994</v>
      </c>
      <c r="Q26" s="4">
        <v>39.700000000000003</v>
      </c>
      <c r="R26" s="3">
        <v>32547.56</v>
      </c>
      <c r="S26" s="1" t="s">
        <v>40</v>
      </c>
    </row>
    <row r="27" spans="1:19" x14ac:dyDescent="0.3">
      <c r="A27" s="5" t="s">
        <v>150</v>
      </c>
      <c r="B27" s="5" t="s">
        <v>151</v>
      </c>
      <c r="C27" s="5" t="s">
        <v>131</v>
      </c>
      <c r="D27" s="5" t="s">
        <v>69</v>
      </c>
      <c r="E27" s="6" t="s">
        <v>114</v>
      </c>
      <c r="F27" s="5" t="s">
        <v>45</v>
      </c>
      <c r="G27" s="5" t="s">
        <v>109</v>
      </c>
      <c r="H27" s="5" t="s">
        <v>152</v>
      </c>
      <c r="I27" s="5" t="s">
        <v>55</v>
      </c>
      <c r="J27" s="5" t="s">
        <v>65</v>
      </c>
      <c r="K27" s="5" t="s">
        <v>29</v>
      </c>
      <c r="L27" s="7">
        <v>514.72</v>
      </c>
      <c r="M27" s="5">
        <v>14</v>
      </c>
      <c r="N27" s="7">
        <v>7206.08</v>
      </c>
      <c r="O27" s="8">
        <v>22.6</v>
      </c>
      <c r="P27" s="7">
        <v>5577.51</v>
      </c>
      <c r="Q27" s="8">
        <v>25.7</v>
      </c>
      <c r="R27" s="7">
        <v>1433.42</v>
      </c>
      <c r="S27" s="5" t="s">
        <v>40</v>
      </c>
    </row>
    <row r="28" spans="1:19" x14ac:dyDescent="0.3">
      <c r="A28" s="1" t="s">
        <v>153</v>
      </c>
      <c r="B28" s="1" t="s">
        <v>154</v>
      </c>
      <c r="C28" s="1" t="s">
        <v>96</v>
      </c>
      <c r="D28" s="1" t="s">
        <v>86</v>
      </c>
      <c r="E28" s="2" t="s">
        <v>155</v>
      </c>
      <c r="F28" s="1" t="s">
        <v>24</v>
      </c>
      <c r="G28" s="1" t="s">
        <v>109</v>
      </c>
      <c r="H28" s="1" t="s">
        <v>122</v>
      </c>
      <c r="I28" s="1" t="s">
        <v>47</v>
      </c>
      <c r="J28" s="1" t="s">
        <v>28</v>
      </c>
      <c r="K28" s="1" t="s">
        <v>88</v>
      </c>
      <c r="L28" s="3">
        <v>6914.66</v>
      </c>
      <c r="M28" s="1">
        <v>17</v>
      </c>
      <c r="N28" s="3">
        <v>117549.22</v>
      </c>
      <c r="O28" s="4">
        <v>16.2</v>
      </c>
      <c r="P28" s="3">
        <v>98506.25</v>
      </c>
      <c r="Q28" s="4">
        <v>19.100000000000001</v>
      </c>
      <c r="R28" s="3">
        <v>18814.689999999999</v>
      </c>
      <c r="S28" s="1" t="s">
        <v>79</v>
      </c>
    </row>
    <row r="29" spans="1:19" x14ac:dyDescent="0.3">
      <c r="A29" s="5" t="s">
        <v>156</v>
      </c>
      <c r="B29" s="5" t="s">
        <v>157</v>
      </c>
      <c r="C29" s="5" t="s">
        <v>33</v>
      </c>
      <c r="D29" s="5" t="s">
        <v>22</v>
      </c>
      <c r="E29" s="6" t="s">
        <v>158</v>
      </c>
      <c r="F29" s="5" t="s">
        <v>35</v>
      </c>
      <c r="G29" s="5" t="s">
        <v>36</v>
      </c>
      <c r="H29" s="5" t="s">
        <v>136</v>
      </c>
      <c r="I29" s="5" t="s">
        <v>47</v>
      </c>
      <c r="J29" s="5" t="s">
        <v>65</v>
      </c>
      <c r="K29" s="5" t="s">
        <v>159</v>
      </c>
      <c r="L29" s="7">
        <v>35505.47</v>
      </c>
      <c r="M29" s="5">
        <v>22</v>
      </c>
      <c r="N29" s="7">
        <v>781120.34</v>
      </c>
      <c r="O29" s="8">
        <v>3.1</v>
      </c>
      <c r="P29" s="7">
        <v>756905.61</v>
      </c>
      <c r="Q29" s="8">
        <v>33.299999999999997</v>
      </c>
      <c r="R29" s="7">
        <v>252049.57</v>
      </c>
      <c r="S29" s="5" t="s">
        <v>40</v>
      </c>
    </row>
    <row r="30" spans="1:19" x14ac:dyDescent="0.3">
      <c r="A30" s="1" t="s">
        <v>160</v>
      </c>
      <c r="B30" s="1" t="s">
        <v>161</v>
      </c>
      <c r="C30" s="1" t="s">
        <v>21</v>
      </c>
      <c r="D30" s="1" t="s">
        <v>22</v>
      </c>
      <c r="E30" s="2" t="s">
        <v>23</v>
      </c>
      <c r="F30" s="1" t="s">
        <v>24</v>
      </c>
      <c r="G30" s="1" t="s">
        <v>109</v>
      </c>
      <c r="H30" s="1" t="s">
        <v>152</v>
      </c>
      <c r="I30" s="1" t="s">
        <v>38</v>
      </c>
      <c r="J30" s="1" t="s">
        <v>93</v>
      </c>
      <c r="K30" s="1" t="s">
        <v>56</v>
      </c>
      <c r="L30" s="3">
        <v>28830.09</v>
      </c>
      <c r="M30" s="1">
        <v>16</v>
      </c>
      <c r="N30" s="3">
        <v>461281.44</v>
      </c>
      <c r="O30" s="4">
        <v>24</v>
      </c>
      <c r="P30" s="3">
        <v>350573.89</v>
      </c>
      <c r="Q30" s="4">
        <v>20.399999999999999</v>
      </c>
      <c r="R30" s="3">
        <v>71517.070000000007</v>
      </c>
      <c r="S30" s="1" t="s">
        <v>40</v>
      </c>
    </row>
    <row r="31" spans="1:19" x14ac:dyDescent="0.3">
      <c r="A31" s="5" t="s">
        <v>162</v>
      </c>
      <c r="B31" s="5" t="s">
        <v>163</v>
      </c>
      <c r="C31" s="5" t="s">
        <v>21</v>
      </c>
      <c r="D31" s="5" t="s">
        <v>22</v>
      </c>
      <c r="E31" s="6" t="s">
        <v>114</v>
      </c>
      <c r="F31" s="5" t="s">
        <v>45</v>
      </c>
      <c r="G31" s="5" t="s">
        <v>25</v>
      </c>
      <c r="H31" s="5" t="s">
        <v>26</v>
      </c>
      <c r="I31" s="5" t="s">
        <v>55</v>
      </c>
      <c r="J31" s="5" t="s">
        <v>65</v>
      </c>
      <c r="K31" s="5" t="s">
        <v>56</v>
      </c>
      <c r="L31" s="7">
        <v>985.21</v>
      </c>
      <c r="M31" s="5">
        <v>25</v>
      </c>
      <c r="N31" s="7">
        <v>24630.25</v>
      </c>
      <c r="O31" s="8">
        <v>1.4</v>
      </c>
      <c r="P31" s="7">
        <v>24285.43</v>
      </c>
      <c r="Q31" s="8">
        <v>35.799999999999997</v>
      </c>
      <c r="R31" s="7">
        <v>8694.18</v>
      </c>
      <c r="S31" s="5" t="s">
        <v>30</v>
      </c>
    </row>
    <row r="32" spans="1:19" x14ac:dyDescent="0.3">
      <c r="A32" s="1" t="s">
        <v>164</v>
      </c>
      <c r="B32" s="1" t="s">
        <v>151</v>
      </c>
      <c r="C32" s="1" t="s">
        <v>131</v>
      </c>
      <c r="D32" s="1" t="s">
        <v>69</v>
      </c>
      <c r="E32" s="2" t="s">
        <v>165</v>
      </c>
      <c r="F32" s="1" t="s">
        <v>166</v>
      </c>
      <c r="G32" s="1" t="s">
        <v>63</v>
      </c>
      <c r="H32" s="1" t="s">
        <v>167</v>
      </c>
      <c r="I32" s="1" t="s">
        <v>47</v>
      </c>
      <c r="J32" s="1" t="s">
        <v>47</v>
      </c>
      <c r="K32" s="1" t="s">
        <v>111</v>
      </c>
      <c r="L32" s="3">
        <v>3623.17</v>
      </c>
      <c r="M32" s="1">
        <v>12</v>
      </c>
      <c r="N32" s="3">
        <v>43478.04</v>
      </c>
      <c r="O32" s="4">
        <v>5.8</v>
      </c>
      <c r="P32" s="3">
        <v>40956.31</v>
      </c>
      <c r="Q32" s="4">
        <v>60.8</v>
      </c>
      <c r="R32" s="3">
        <v>24901.439999999999</v>
      </c>
      <c r="S32" s="1" t="s">
        <v>79</v>
      </c>
    </row>
    <row r="33" spans="1:19" x14ac:dyDescent="0.3">
      <c r="A33" s="5" t="s">
        <v>168</v>
      </c>
      <c r="B33" s="5" t="s">
        <v>169</v>
      </c>
      <c r="C33" s="5" t="s">
        <v>117</v>
      </c>
      <c r="D33" s="5" t="s">
        <v>86</v>
      </c>
      <c r="E33" s="6" t="s">
        <v>170</v>
      </c>
      <c r="F33" s="5" t="s">
        <v>52</v>
      </c>
      <c r="G33" s="5" t="s">
        <v>63</v>
      </c>
      <c r="H33" s="5" t="s">
        <v>92</v>
      </c>
      <c r="I33" s="5" t="s">
        <v>38</v>
      </c>
      <c r="J33" s="5" t="s">
        <v>28</v>
      </c>
      <c r="K33" s="5" t="s">
        <v>78</v>
      </c>
      <c r="L33" s="7">
        <v>5073.5200000000004</v>
      </c>
      <c r="M33" s="5">
        <v>16</v>
      </c>
      <c r="N33" s="7">
        <v>81176.320000000007</v>
      </c>
      <c r="O33" s="8">
        <v>16.8</v>
      </c>
      <c r="P33" s="7">
        <v>67538.7</v>
      </c>
      <c r="Q33" s="8">
        <v>45.3</v>
      </c>
      <c r="R33" s="7">
        <v>30595.03</v>
      </c>
      <c r="S33" s="5" t="s">
        <v>40</v>
      </c>
    </row>
    <row r="34" spans="1:19" x14ac:dyDescent="0.3">
      <c r="A34" s="1" t="s">
        <v>171</v>
      </c>
      <c r="B34" s="1" t="s">
        <v>134</v>
      </c>
      <c r="C34" s="1" t="s">
        <v>135</v>
      </c>
      <c r="D34" s="1" t="s">
        <v>69</v>
      </c>
      <c r="E34" s="2" t="s">
        <v>114</v>
      </c>
      <c r="F34" s="1" t="s">
        <v>45</v>
      </c>
      <c r="G34" s="1" t="s">
        <v>53</v>
      </c>
      <c r="H34" s="1" t="s">
        <v>71</v>
      </c>
      <c r="I34" s="1" t="s">
        <v>55</v>
      </c>
      <c r="J34" s="1" t="s">
        <v>65</v>
      </c>
      <c r="K34" s="1" t="s">
        <v>29</v>
      </c>
      <c r="L34" s="3">
        <v>1082.29</v>
      </c>
      <c r="M34" s="1">
        <v>2</v>
      </c>
      <c r="N34" s="3">
        <v>2164.58</v>
      </c>
      <c r="O34" s="4">
        <v>2.1</v>
      </c>
      <c r="P34" s="3">
        <v>2119.12</v>
      </c>
      <c r="Q34" s="4">
        <v>33.299999999999997</v>
      </c>
      <c r="R34" s="3">
        <v>705.67</v>
      </c>
      <c r="S34" s="1" t="s">
        <v>40</v>
      </c>
    </row>
    <row r="35" spans="1:19" x14ac:dyDescent="0.3">
      <c r="A35" s="5" t="s">
        <v>172</v>
      </c>
      <c r="B35" s="5" t="s">
        <v>173</v>
      </c>
      <c r="C35" s="5" t="s">
        <v>21</v>
      </c>
      <c r="D35" s="5" t="s">
        <v>22</v>
      </c>
      <c r="E35" s="6" t="s">
        <v>174</v>
      </c>
      <c r="F35" s="5" t="s">
        <v>45</v>
      </c>
      <c r="G35" s="5" t="s">
        <v>53</v>
      </c>
      <c r="H35" s="5" t="s">
        <v>77</v>
      </c>
      <c r="I35" s="5" t="s">
        <v>27</v>
      </c>
      <c r="J35" s="5" t="s">
        <v>93</v>
      </c>
      <c r="K35" s="5" t="s">
        <v>102</v>
      </c>
      <c r="L35" s="7">
        <v>161.5</v>
      </c>
      <c r="M35" s="5">
        <v>13</v>
      </c>
      <c r="N35" s="7">
        <v>2099.5</v>
      </c>
      <c r="O35" s="8">
        <v>24.1</v>
      </c>
      <c r="P35" s="7">
        <v>1593.52</v>
      </c>
      <c r="Q35" s="8">
        <v>27.1</v>
      </c>
      <c r="R35" s="7">
        <v>431.84</v>
      </c>
      <c r="S35" s="5" t="s">
        <v>40</v>
      </c>
    </row>
    <row r="36" spans="1:19" x14ac:dyDescent="0.3">
      <c r="A36" s="1" t="s">
        <v>175</v>
      </c>
      <c r="B36" s="1" t="s">
        <v>176</v>
      </c>
      <c r="C36" s="1" t="s">
        <v>68</v>
      </c>
      <c r="D36" s="1" t="s">
        <v>69</v>
      </c>
      <c r="E36" s="2" t="s">
        <v>177</v>
      </c>
      <c r="F36" s="1" t="s">
        <v>166</v>
      </c>
      <c r="G36" s="1" t="s">
        <v>63</v>
      </c>
      <c r="H36" s="1" t="s">
        <v>87</v>
      </c>
      <c r="I36" s="1" t="s">
        <v>47</v>
      </c>
      <c r="J36" s="1" t="s">
        <v>47</v>
      </c>
      <c r="K36" s="1" t="s">
        <v>149</v>
      </c>
      <c r="L36" s="3">
        <v>1866.97</v>
      </c>
      <c r="M36" s="1">
        <v>9</v>
      </c>
      <c r="N36" s="3">
        <v>16802.73</v>
      </c>
      <c r="O36" s="4">
        <v>18.399999999999999</v>
      </c>
      <c r="P36" s="3">
        <v>13711.03</v>
      </c>
      <c r="Q36" s="4">
        <v>45.5</v>
      </c>
      <c r="R36" s="3">
        <v>6238.52</v>
      </c>
      <c r="S36" s="1" t="s">
        <v>79</v>
      </c>
    </row>
    <row r="37" spans="1:19" x14ac:dyDescent="0.3">
      <c r="A37" s="5" t="s">
        <v>178</v>
      </c>
      <c r="B37" s="5" t="s">
        <v>179</v>
      </c>
      <c r="C37" s="5" t="s">
        <v>101</v>
      </c>
      <c r="D37" s="5" t="s">
        <v>60</v>
      </c>
      <c r="E37" s="6" t="s">
        <v>180</v>
      </c>
      <c r="F37" s="5" t="s">
        <v>166</v>
      </c>
      <c r="G37" s="5" t="s">
        <v>63</v>
      </c>
      <c r="H37" s="5" t="s">
        <v>167</v>
      </c>
      <c r="I37" s="5" t="s">
        <v>27</v>
      </c>
      <c r="J37" s="5" t="s">
        <v>93</v>
      </c>
      <c r="K37" s="5" t="s">
        <v>48</v>
      </c>
      <c r="L37" s="7">
        <v>1185.8800000000001</v>
      </c>
      <c r="M37" s="5">
        <v>24</v>
      </c>
      <c r="N37" s="7">
        <v>28461.119999999999</v>
      </c>
      <c r="O37" s="8">
        <v>21.2</v>
      </c>
      <c r="P37" s="7">
        <v>22427.360000000001</v>
      </c>
      <c r="Q37" s="8">
        <v>53.1</v>
      </c>
      <c r="R37" s="7">
        <v>11908.93</v>
      </c>
      <c r="S37" s="5" t="s">
        <v>40</v>
      </c>
    </row>
    <row r="38" spans="1:19" x14ac:dyDescent="0.3">
      <c r="A38" s="1" t="s">
        <v>181</v>
      </c>
      <c r="B38" s="1" t="s">
        <v>173</v>
      </c>
      <c r="C38" s="1" t="s">
        <v>21</v>
      </c>
      <c r="D38" s="1" t="s">
        <v>22</v>
      </c>
      <c r="E38" s="2" t="s">
        <v>128</v>
      </c>
      <c r="F38" s="1" t="s">
        <v>45</v>
      </c>
      <c r="G38" s="1" t="s">
        <v>53</v>
      </c>
      <c r="H38" s="1" t="s">
        <v>71</v>
      </c>
      <c r="I38" s="1" t="s">
        <v>47</v>
      </c>
      <c r="J38" s="1" t="s">
        <v>93</v>
      </c>
      <c r="K38" s="1" t="s">
        <v>149</v>
      </c>
      <c r="L38" s="3">
        <v>301.64</v>
      </c>
      <c r="M38" s="1">
        <v>1</v>
      </c>
      <c r="N38" s="3">
        <v>301.64</v>
      </c>
      <c r="O38" s="4">
        <v>12.9</v>
      </c>
      <c r="P38" s="3">
        <v>262.73</v>
      </c>
      <c r="Q38" s="4">
        <v>39.299999999999997</v>
      </c>
      <c r="R38" s="3">
        <v>103.25</v>
      </c>
      <c r="S38" s="1" t="s">
        <v>30</v>
      </c>
    </row>
    <row r="39" spans="1:19" x14ac:dyDescent="0.3">
      <c r="A39" s="5" t="s">
        <v>182</v>
      </c>
      <c r="B39" s="5" t="s">
        <v>183</v>
      </c>
      <c r="C39" s="5" t="s">
        <v>59</v>
      </c>
      <c r="D39" s="5" t="s">
        <v>60</v>
      </c>
      <c r="E39" s="6" t="s">
        <v>184</v>
      </c>
      <c r="F39" s="5" t="s">
        <v>45</v>
      </c>
      <c r="G39" s="5" t="s">
        <v>36</v>
      </c>
      <c r="H39" s="5" t="s">
        <v>119</v>
      </c>
      <c r="I39" s="5" t="s">
        <v>72</v>
      </c>
      <c r="J39" s="5" t="s">
        <v>47</v>
      </c>
      <c r="K39" s="5" t="s">
        <v>29</v>
      </c>
      <c r="L39" s="7">
        <v>843.98</v>
      </c>
      <c r="M39" s="5">
        <v>20</v>
      </c>
      <c r="N39" s="7">
        <v>16879.599999999999</v>
      </c>
      <c r="O39" s="8">
        <v>3.2</v>
      </c>
      <c r="P39" s="7">
        <v>16339.45</v>
      </c>
      <c r="Q39" s="8">
        <v>32.6</v>
      </c>
      <c r="R39" s="7">
        <v>5326.66</v>
      </c>
      <c r="S39" s="5" t="s">
        <v>112</v>
      </c>
    </row>
    <row r="40" spans="1:19" x14ac:dyDescent="0.3">
      <c r="A40" s="1" t="s">
        <v>185</v>
      </c>
      <c r="B40" s="1" t="s">
        <v>186</v>
      </c>
      <c r="C40" s="1" t="s">
        <v>33</v>
      </c>
      <c r="D40" s="1" t="s">
        <v>22</v>
      </c>
      <c r="E40" s="2" t="s">
        <v>128</v>
      </c>
      <c r="F40" s="1" t="s">
        <v>45</v>
      </c>
      <c r="G40" s="1" t="s">
        <v>109</v>
      </c>
      <c r="H40" s="1" t="s">
        <v>110</v>
      </c>
      <c r="I40" s="1" t="s">
        <v>27</v>
      </c>
      <c r="J40" s="1" t="s">
        <v>47</v>
      </c>
      <c r="K40" s="1" t="s">
        <v>102</v>
      </c>
      <c r="L40" s="3">
        <v>585.91999999999996</v>
      </c>
      <c r="M40" s="1">
        <v>16</v>
      </c>
      <c r="N40" s="3">
        <v>9374.7199999999993</v>
      </c>
      <c r="O40" s="4">
        <v>13</v>
      </c>
      <c r="P40" s="3">
        <v>8156.01</v>
      </c>
      <c r="Q40" s="4">
        <v>20.9</v>
      </c>
      <c r="R40" s="3">
        <v>1704.61</v>
      </c>
      <c r="S40" s="1" t="s">
        <v>79</v>
      </c>
    </row>
    <row r="41" spans="1:19" x14ac:dyDescent="0.3">
      <c r="A41" s="5" t="s">
        <v>187</v>
      </c>
      <c r="B41" s="5" t="s">
        <v>188</v>
      </c>
      <c r="C41" s="5" t="s">
        <v>131</v>
      </c>
      <c r="D41" s="5" t="s">
        <v>69</v>
      </c>
      <c r="E41" s="6" t="s">
        <v>155</v>
      </c>
      <c r="F41" s="5" t="s">
        <v>24</v>
      </c>
      <c r="G41" s="5" t="s">
        <v>109</v>
      </c>
      <c r="H41" s="5" t="s">
        <v>189</v>
      </c>
      <c r="I41" s="5" t="s">
        <v>47</v>
      </c>
      <c r="J41" s="5" t="s">
        <v>28</v>
      </c>
      <c r="K41" s="5" t="s">
        <v>88</v>
      </c>
      <c r="L41" s="7">
        <v>77470.34</v>
      </c>
      <c r="M41" s="5">
        <v>25</v>
      </c>
      <c r="N41" s="7">
        <v>1936758.5</v>
      </c>
      <c r="O41" s="8">
        <v>18.8</v>
      </c>
      <c r="P41" s="7">
        <v>1572647.9</v>
      </c>
      <c r="Q41" s="8">
        <v>18.2</v>
      </c>
      <c r="R41" s="7">
        <v>286221.92</v>
      </c>
      <c r="S41" s="5" t="s">
        <v>40</v>
      </c>
    </row>
    <row r="42" spans="1:19" x14ac:dyDescent="0.3">
      <c r="A42" s="1" t="s">
        <v>190</v>
      </c>
      <c r="B42" s="1" t="s">
        <v>191</v>
      </c>
      <c r="C42" s="1" t="s">
        <v>131</v>
      </c>
      <c r="D42" s="1" t="s">
        <v>69</v>
      </c>
      <c r="E42" s="2" t="s">
        <v>76</v>
      </c>
      <c r="F42" s="1" t="s">
        <v>45</v>
      </c>
      <c r="G42" s="1" t="s">
        <v>36</v>
      </c>
      <c r="H42" s="1" t="s">
        <v>136</v>
      </c>
      <c r="I42" s="1" t="s">
        <v>38</v>
      </c>
      <c r="J42" s="1" t="s">
        <v>65</v>
      </c>
      <c r="K42" s="1" t="s">
        <v>111</v>
      </c>
      <c r="L42" s="3">
        <v>374.08</v>
      </c>
      <c r="M42" s="1">
        <v>15</v>
      </c>
      <c r="N42" s="3">
        <v>5611.2</v>
      </c>
      <c r="O42" s="4">
        <v>17.2</v>
      </c>
      <c r="P42" s="3">
        <v>4646.07</v>
      </c>
      <c r="Q42" s="4">
        <v>23.3</v>
      </c>
      <c r="R42" s="3">
        <v>1082.53</v>
      </c>
      <c r="S42" s="1" t="s">
        <v>40</v>
      </c>
    </row>
    <row r="43" spans="1:19" x14ac:dyDescent="0.3">
      <c r="A43" s="5" t="s">
        <v>192</v>
      </c>
      <c r="B43" s="5" t="s">
        <v>193</v>
      </c>
      <c r="C43" s="5" t="s">
        <v>135</v>
      </c>
      <c r="D43" s="5" t="s">
        <v>69</v>
      </c>
      <c r="E43" s="6" t="s">
        <v>194</v>
      </c>
      <c r="F43" s="5" t="s">
        <v>52</v>
      </c>
      <c r="G43" s="5" t="s">
        <v>53</v>
      </c>
      <c r="H43" s="5" t="s">
        <v>54</v>
      </c>
      <c r="I43" s="5" t="s">
        <v>47</v>
      </c>
      <c r="J43" s="5" t="s">
        <v>65</v>
      </c>
      <c r="K43" s="5" t="s">
        <v>56</v>
      </c>
      <c r="L43" s="7">
        <v>6013.52</v>
      </c>
      <c r="M43" s="5">
        <v>5</v>
      </c>
      <c r="N43" s="7">
        <v>30067.599999999999</v>
      </c>
      <c r="O43" s="8">
        <v>8.1999999999999993</v>
      </c>
      <c r="P43" s="7">
        <v>27602.06</v>
      </c>
      <c r="Q43" s="8">
        <v>33.200000000000003</v>
      </c>
      <c r="R43" s="7">
        <v>9163.8799999999992</v>
      </c>
      <c r="S43" s="5" t="s">
        <v>40</v>
      </c>
    </row>
    <row r="44" spans="1:19" x14ac:dyDescent="0.3">
      <c r="A44" s="1" t="s">
        <v>195</v>
      </c>
      <c r="B44" s="1" t="s">
        <v>196</v>
      </c>
      <c r="C44" s="1" t="s">
        <v>101</v>
      </c>
      <c r="D44" s="1" t="s">
        <v>60</v>
      </c>
      <c r="E44" s="2" t="s">
        <v>170</v>
      </c>
      <c r="F44" s="1" t="s">
        <v>52</v>
      </c>
      <c r="G44" s="1" t="s">
        <v>25</v>
      </c>
      <c r="H44" s="1" t="s">
        <v>26</v>
      </c>
      <c r="I44" s="1" t="s">
        <v>72</v>
      </c>
      <c r="J44" s="1" t="s">
        <v>93</v>
      </c>
      <c r="K44" s="1" t="s">
        <v>56</v>
      </c>
      <c r="L44" s="3">
        <v>2337.35</v>
      </c>
      <c r="M44" s="1">
        <v>5</v>
      </c>
      <c r="N44" s="3">
        <v>11686.75</v>
      </c>
      <c r="O44" s="4">
        <v>3.1</v>
      </c>
      <c r="P44" s="3">
        <v>11324.46</v>
      </c>
      <c r="Q44" s="4">
        <v>36.6</v>
      </c>
      <c r="R44" s="3">
        <v>4144.75</v>
      </c>
      <c r="S44" s="1" t="s">
        <v>40</v>
      </c>
    </row>
    <row r="45" spans="1:19" x14ac:dyDescent="0.3">
      <c r="A45" s="5" t="s">
        <v>197</v>
      </c>
      <c r="B45" s="5" t="s">
        <v>198</v>
      </c>
      <c r="C45" s="5" t="s">
        <v>33</v>
      </c>
      <c r="D45" s="5" t="s">
        <v>22</v>
      </c>
      <c r="E45" s="6" t="s">
        <v>194</v>
      </c>
      <c r="F45" s="5" t="s">
        <v>52</v>
      </c>
      <c r="G45" s="5" t="s">
        <v>25</v>
      </c>
      <c r="H45" s="5" t="s">
        <v>132</v>
      </c>
      <c r="I45" s="5" t="s">
        <v>72</v>
      </c>
      <c r="J45" s="5" t="s">
        <v>47</v>
      </c>
      <c r="K45" s="5" t="s">
        <v>149</v>
      </c>
      <c r="L45" s="7">
        <v>6163.82</v>
      </c>
      <c r="M45" s="5">
        <v>11</v>
      </c>
      <c r="N45" s="7">
        <v>67802.02</v>
      </c>
      <c r="O45" s="8">
        <v>19.2</v>
      </c>
      <c r="P45" s="7">
        <v>54784.03</v>
      </c>
      <c r="Q45" s="8">
        <v>24.5</v>
      </c>
      <c r="R45" s="7">
        <v>13422.09</v>
      </c>
      <c r="S45" s="5" t="s">
        <v>40</v>
      </c>
    </row>
    <row r="46" spans="1:19" x14ac:dyDescent="0.3">
      <c r="A46" s="1" t="s">
        <v>199</v>
      </c>
      <c r="B46" s="1" t="s">
        <v>200</v>
      </c>
      <c r="C46" s="1" t="s">
        <v>43</v>
      </c>
      <c r="D46" s="1" t="s">
        <v>22</v>
      </c>
      <c r="E46" s="2" t="s">
        <v>201</v>
      </c>
      <c r="F46" s="1" t="s">
        <v>24</v>
      </c>
      <c r="G46" s="1" t="s">
        <v>63</v>
      </c>
      <c r="H46" s="1" t="s">
        <v>92</v>
      </c>
      <c r="I46" s="1" t="s">
        <v>72</v>
      </c>
      <c r="J46" s="1" t="s">
        <v>28</v>
      </c>
      <c r="K46" s="1" t="s">
        <v>149</v>
      </c>
      <c r="L46" s="3">
        <v>69785.899999999994</v>
      </c>
      <c r="M46" s="1">
        <v>1</v>
      </c>
      <c r="N46" s="3">
        <v>69785.899999999994</v>
      </c>
      <c r="O46" s="4">
        <v>17.5</v>
      </c>
      <c r="P46" s="3">
        <v>57573.37</v>
      </c>
      <c r="Q46" s="4">
        <v>17.3</v>
      </c>
      <c r="R46" s="3">
        <v>9960.19</v>
      </c>
      <c r="S46" s="1" t="s">
        <v>40</v>
      </c>
    </row>
    <row r="47" spans="1:19" x14ac:dyDescent="0.3">
      <c r="A47" s="5" t="s">
        <v>202</v>
      </c>
      <c r="B47" s="5" t="s">
        <v>203</v>
      </c>
      <c r="C47" s="5" t="s">
        <v>96</v>
      </c>
      <c r="D47" s="5" t="s">
        <v>86</v>
      </c>
      <c r="E47" s="6" t="s">
        <v>70</v>
      </c>
      <c r="F47" s="5" t="s">
        <v>24</v>
      </c>
      <c r="G47" s="5" t="s">
        <v>109</v>
      </c>
      <c r="H47" s="5" t="s">
        <v>122</v>
      </c>
      <c r="I47" s="5" t="s">
        <v>72</v>
      </c>
      <c r="J47" s="5" t="s">
        <v>47</v>
      </c>
      <c r="K47" s="5" t="s">
        <v>29</v>
      </c>
      <c r="L47" s="7">
        <v>72790.210000000006</v>
      </c>
      <c r="M47" s="5">
        <v>21</v>
      </c>
      <c r="N47" s="7">
        <v>1528594.41</v>
      </c>
      <c r="O47" s="8">
        <v>21.3</v>
      </c>
      <c r="P47" s="7">
        <v>1203003.8</v>
      </c>
      <c r="Q47" s="8">
        <v>14.4</v>
      </c>
      <c r="R47" s="7">
        <v>173232.55</v>
      </c>
      <c r="S47" s="5" t="s">
        <v>40</v>
      </c>
    </row>
    <row r="48" spans="1:19" x14ac:dyDescent="0.3">
      <c r="A48" s="1" t="s">
        <v>204</v>
      </c>
      <c r="B48" s="1" t="s">
        <v>205</v>
      </c>
      <c r="C48" s="1" t="s">
        <v>117</v>
      </c>
      <c r="D48" s="1" t="s">
        <v>86</v>
      </c>
      <c r="E48" s="2" t="s">
        <v>206</v>
      </c>
      <c r="F48" s="1" t="s">
        <v>52</v>
      </c>
      <c r="G48" s="1" t="s">
        <v>25</v>
      </c>
      <c r="H48" s="1" t="s">
        <v>132</v>
      </c>
      <c r="I48" s="1" t="s">
        <v>72</v>
      </c>
      <c r="J48" s="1" t="s">
        <v>65</v>
      </c>
      <c r="K48" s="1" t="s">
        <v>29</v>
      </c>
      <c r="L48" s="3">
        <v>986.2</v>
      </c>
      <c r="M48" s="1">
        <v>23</v>
      </c>
      <c r="N48" s="3">
        <v>22682.6</v>
      </c>
      <c r="O48" s="4">
        <v>19.2</v>
      </c>
      <c r="P48" s="3">
        <v>18327.54</v>
      </c>
      <c r="Q48" s="4">
        <v>26.9</v>
      </c>
      <c r="R48" s="3">
        <v>4930.1099999999997</v>
      </c>
      <c r="S48" s="1" t="s">
        <v>112</v>
      </c>
    </row>
    <row r="49" spans="1:19" x14ac:dyDescent="0.3">
      <c r="A49" s="5" t="s">
        <v>207</v>
      </c>
      <c r="B49" s="5" t="s">
        <v>208</v>
      </c>
      <c r="C49" s="5" t="s">
        <v>43</v>
      </c>
      <c r="D49" s="5" t="s">
        <v>22</v>
      </c>
      <c r="E49" s="6" t="s">
        <v>91</v>
      </c>
      <c r="F49" s="5" t="s">
        <v>52</v>
      </c>
      <c r="G49" s="5" t="s">
        <v>36</v>
      </c>
      <c r="H49" s="5" t="s">
        <v>119</v>
      </c>
      <c r="I49" s="5" t="s">
        <v>55</v>
      </c>
      <c r="J49" s="5" t="s">
        <v>47</v>
      </c>
      <c r="K49" s="5" t="s">
        <v>88</v>
      </c>
      <c r="L49" s="7">
        <v>6436.99</v>
      </c>
      <c r="M49" s="5">
        <v>3</v>
      </c>
      <c r="N49" s="7">
        <v>19310.97</v>
      </c>
      <c r="O49" s="8">
        <v>17.8</v>
      </c>
      <c r="P49" s="7">
        <v>15873.62</v>
      </c>
      <c r="Q49" s="8">
        <v>36.799999999999997</v>
      </c>
      <c r="R49" s="7">
        <v>5841.49</v>
      </c>
      <c r="S49" s="5" t="s">
        <v>79</v>
      </c>
    </row>
    <row r="50" spans="1:19" x14ac:dyDescent="0.3">
      <c r="A50" s="1" t="s">
        <v>209</v>
      </c>
      <c r="B50" s="1" t="s">
        <v>210</v>
      </c>
      <c r="C50" s="1" t="s">
        <v>33</v>
      </c>
      <c r="D50" s="1" t="s">
        <v>22</v>
      </c>
      <c r="E50" s="2" t="s">
        <v>201</v>
      </c>
      <c r="F50" s="1" t="s">
        <v>24</v>
      </c>
      <c r="G50" s="1" t="s">
        <v>36</v>
      </c>
      <c r="H50" s="1" t="s">
        <v>37</v>
      </c>
      <c r="I50" s="1" t="s">
        <v>47</v>
      </c>
      <c r="J50" s="1" t="s">
        <v>47</v>
      </c>
      <c r="K50" s="1" t="s">
        <v>149</v>
      </c>
      <c r="L50" s="3">
        <v>53846.26</v>
      </c>
      <c r="M50" s="1">
        <v>17</v>
      </c>
      <c r="N50" s="3">
        <v>915386.42</v>
      </c>
      <c r="O50" s="4">
        <v>24.7</v>
      </c>
      <c r="P50" s="3">
        <v>689285.97</v>
      </c>
      <c r="Q50" s="4">
        <v>31.8</v>
      </c>
      <c r="R50" s="3">
        <v>219192.94</v>
      </c>
      <c r="S50" s="1" t="s">
        <v>30</v>
      </c>
    </row>
    <row r="51" spans="1:19" x14ac:dyDescent="0.3">
      <c r="A51" s="5" t="s">
        <v>211</v>
      </c>
      <c r="B51" s="5" t="s">
        <v>212</v>
      </c>
      <c r="C51" s="5" t="s">
        <v>96</v>
      </c>
      <c r="D51" s="5" t="s">
        <v>86</v>
      </c>
      <c r="E51" s="6" t="s">
        <v>213</v>
      </c>
      <c r="F51" s="5" t="s">
        <v>62</v>
      </c>
      <c r="G51" s="5" t="s">
        <v>63</v>
      </c>
      <c r="H51" s="5" t="s">
        <v>87</v>
      </c>
      <c r="I51" s="5" t="s">
        <v>47</v>
      </c>
      <c r="J51" s="5" t="s">
        <v>28</v>
      </c>
      <c r="K51" s="5" t="s">
        <v>159</v>
      </c>
      <c r="L51" s="7">
        <v>1169.33</v>
      </c>
      <c r="M51" s="5">
        <v>11</v>
      </c>
      <c r="N51" s="7">
        <v>12862.63</v>
      </c>
      <c r="O51" s="8">
        <v>0.9</v>
      </c>
      <c r="P51" s="7">
        <v>12746.87</v>
      </c>
      <c r="Q51" s="8">
        <v>68.099999999999994</v>
      </c>
      <c r="R51" s="7">
        <v>8680.6200000000008</v>
      </c>
      <c r="S51" s="5" t="s">
        <v>40</v>
      </c>
    </row>
    <row r="52" spans="1:19" x14ac:dyDescent="0.3">
      <c r="A52" s="1" t="s">
        <v>214</v>
      </c>
      <c r="B52" s="1" t="s">
        <v>90</v>
      </c>
      <c r="C52" s="1" t="s">
        <v>75</v>
      </c>
      <c r="D52" s="1" t="s">
        <v>60</v>
      </c>
      <c r="E52" s="2" t="s">
        <v>128</v>
      </c>
      <c r="F52" s="1" t="s">
        <v>45</v>
      </c>
      <c r="G52" s="1" t="s">
        <v>25</v>
      </c>
      <c r="H52" s="1" t="s">
        <v>215</v>
      </c>
      <c r="I52" s="1" t="s">
        <v>27</v>
      </c>
      <c r="J52" s="1" t="s">
        <v>47</v>
      </c>
      <c r="K52" s="1" t="s">
        <v>111</v>
      </c>
      <c r="L52" s="3">
        <v>816.21</v>
      </c>
      <c r="M52" s="1">
        <v>24</v>
      </c>
      <c r="N52" s="3">
        <v>19589.04</v>
      </c>
      <c r="O52" s="4">
        <v>5.5</v>
      </c>
      <c r="P52" s="3">
        <v>18511.64</v>
      </c>
      <c r="Q52" s="4">
        <v>27.6</v>
      </c>
      <c r="R52" s="3">
        <v>5109.21</v>
      </c>
      <c r="S52" s="1" t="s">
        <v>40</v>
      </c>
    </row>
    <row r="53" spans="1:19" x14ac:dyDescent="0.3">
      <c r="A53" s="5" t="s">
        <v>216</v>
      </c>
      <c r="B53" s="5" t="s">
        <v>81</v>
      </c>
      <c r="C53" s="5" t="s">
        <v>75</v>
      </c>
      <c r="D53" s="5" t="s">
        <v>60</v>
      </c>
      <c r="E53" s="6" t="s">
        <v>217</v>
      </c>
      <c r="F53" s="5" t="s">
        <v>62</v>
      </c>
      <c r="G53" s="5" t="s">
        <v>109</v>
      </c>
      <c r="H53" s="5" t="s">
        <v>152</v>
      </c>
      <c r="I53" s="5" t="s">
        <v>27</v>
      </c>
      <c r="J53" s="5" t="s">
        <v>65</v>
      </c>
      <c r="K53" s="5" t="s">
        <v>39</v>
      </c>
      <c r="L53" s="7">
        <v>3440.59</v>
      </c>
      <c r="M53" s="5">
        <v>17</v>
      </c>
      <c r="N53" s="7">
        <v>58490.03</v>
      </c>
      <c r="O53" s="8">
        <v>12.2</v>
      </c>
      <c r="P53" s="7">
        <v>51354.25</v>
      </c>
      <c r="Q53" s="8">
        <v>62.3</v>
      </c>
      <c r="R53" s="7">
        <v>31993.7</v>
      </c>
      <c r="S53" s="5" t="s">
        <v>79</v>
      </c>
    </row>
    <row r="54" spans="1:19" x14ac:dyDescent="0.3">
      <c r="A54" s="1" t="s">
        <v>218</v>
      </c>
      <c r="B54" s="1" t="s">
        <v>219</v>
      </c>
      <c r="C54" s="1" t="s">
        <v>101</v>
      </c>
      <c r="D54" s="1" t="s">
        <v>60</v>
      </c>
      <c r="E54" s="2" t="s">
        <v>217</v>
      </c>
      <c r="F54" s="1" t="s">
        <v>62</v>
      </c>
      <c r="G54" s="1" t="s">
        <v>53</v>
      </c>
      <c r="H54" s="1" t="s">
        <v>77</v>
      </c>
      <c r="I54" s="1" t="s">
        <v>72</v>
      </c>
      <c r="J54" s="1" t="s">
        <v>65</v>
      </c>
      <c r="K54" s="1" t="s">
        <v>56</v>
      </c>
      <c r="L54" s="3">
        <v>3498.55</v>
      </c>
      <c r="M54" s="1">
        <v>21</v>
      </c>
      <c r="N54" s="3">
        <v>73469.55</v>
      </c>
      <c r="O54" s="4">
        <v>15.2</v>
      </c>
      <c r="P54" s="3">
        <v>62302.18</v>
      </c>
      <c r="Q54" s="4">
        <v>50.6</v>
      </c>
      <c r="R54" s="3">
        <v>31524.9</v>
      </c>
      <c r="S54" s="1" t="s">
        <v>40</v>
      </c>
    </row>
    <row r="55" spans="1:19" x14ac:dyDescent="0.3">
      <c r="A55" s="5" t="s">
        <v>220</v>
      </c>
      <c r="B55" s="5" t="s">
        <v>188</v>
      </c>
      <c r="C55" s="5" t="s">
        <v>131</v>
      </c>
      <c r="D55" s="5" t="s">
        <v>69</v>
      </c>
      <c r="E55" s="6" t="s">
        <v>180</v>
      </c>
      <c r="F55" s="5" t="s">
        <v>166</v>
      </c>
      <c r="G55" s="5" t="s">
        <v>25</v>
      </c>
      <c r="H55" s="5" t="s">
        <v>26</v>
      </c>
      <c r="I55" s="5" t="s">
        <v>27</v>
      </c>
      <c r="J55" s="5" t="s">
        <v>65</v>
      </c>
      <c r="K55" s="5" t="s">
        <v>48</v>
      </c>
      <c r="L55" s="7">
        <v>3945.19</v>
      </c>
      <c r="M55" s="5">
        <v>23</v>
      </c>
      <c r="N55" s="7">
        <v>90739.37</v>
      </c>
      <c r="O55" s="8">
        <v>14</v>
      </c>
      <c r="P55" s="7">
        <v>78035.86</v>
      </c>
      <c r="Q55" s="8">
        <v>49.7</v>
      </c>
      <c r="R55" s="7">
        <v>38783.82</v>
      </c>
      <c r="S55" s="5" t="s">
        <v>30</v>
      </c>
    </row>
    <row r="56" spans="1:19" x14ac:dyDescent="0.3">
      <c r="A56" s="1" t="s">
        <v>221</v>
      </c>
      <c r="B56" s="1" t="s">
        <v>210</v>
      </c>
      <c r="C56" s="1" t="s">
        <v>33</v>
      </c>
      <c r="D56" s="1" t="s">
        <v>22</v>
      </c>
      <c r="E56" s="2" t="s">
        <v>61</v>
      </c>
      <c r="F56" s="1" t="s">
        <v>62</v>
      </c>
      <c r="G56" s="1" t="s">
        <v>53</v>
      </c>
      <c r="H56" s="1" t="s">
        <v>71</v>
      </c>
      <c r="I56" s="1" t="s">
        <v>55</v>
      </c>
      <c r="J56" s="1" t="s">
        <v>47</v>
      </c>
      <c r="K56" s="1" t="s">
        <v>39</v>
      </c>
      <c r="L56" s="3">
        <v>2877.31</v>
      </c>
      <c r="M56" s="1">
        <v>5</v>
      </c>
      <c r="N56" s="3">
        <v>14386.55</v>
      </c>
      <c r="O56" s="4">
        <v>3.3</v>
      </c>
      <c r="P56" s="3">
        <v>13911.79</v>
      </c>
      <c r="Q56" s="4">
        <v>65.5</v>
      </c>
      <c r="R56" s="3">
        <v>9112.2199999999993</v>
      </c>
      <c r="S56" s="1" t="s">
        <v>79</v>
      </c>
    </row>
    <row r="57" spans="1:19" x14ac:dyDescent="0.3">
      <c r="A57" s="5" t="s">
        <v>222</v>
      </c>
      <c r="B57" s="5" t="s">
        <v>223</v>
      </c>
      <c r="C57" s="5" t="s">
        <v>33</v>
      </c>
      <c r="D57" s="5" t="s">
        <v>22</v>
      </c>
      <c r="E57" s="6" t="s">
        <v>224</v>
      </c>
      <c r="F57" s="5" t="s">
        <v>166</v>
      </c>
      <c r="G57" s="5" t="s">
        <v>36</v>
      </c>
      <c r="H57" s="5" t="s">
        <v>105</v>
      </c>
      <c r="I57" s="5" t="s">
        <v>38</v>
      </c>
      <c r="J57" s="5" t="s">
        <v>28</v>
      </c>
      <c r="K57" s="5" t="s">
        <v>29</v>
      </c>
      <c r="L57" s="7">
        <v>1556.53</v>
      </c>
      <c r="M57" s="5">
        <v>18</v>
      </c>
      <c r="N57" s="7">
        <v>28017.54</v>
      </c>
      <c r="O57" s="8">
        <v>3.2</v>
      </c>
      <c r="P57" s="7">
        <v>27120.98</v>
      </c>
      <c r="Q57" s="8">
        <v>54.6</v>
      </c>
      <c r="R57" s="7">
        <v>14808.06</v>
      </c>
      <c r="S57" s="5" t="s">
        <v>40</v>
      </c>
    </row>
    <row r="58" spans="1:19" x14ac:dyDescent="0.3">
      <c r="A58" s="1" t="s">
        <v>225</v>
      </c>
      <c r="B58" s="1" t="s">
        <v>226</v>
      </c>
      <c r="C58" s="1" t="s">
        <v>101</v>
      </c>
      <c r="D58" s="1" t="s">
        <v>60</v>
      </c>
      <c r="E58" s="2" t="s">
        <v>158</v>
      </c>
      <c r="F58" s="1" t="s">
        <v>35</v>
      </c>
      <c r="G58" s="1" t="s">
        <v>53</v>
      </c>
      <c r="H58" s="1" t="s">
        <v>54</v>
      </c>
      <c r="I58" s="1" t="s">
        <v>38</v>
      </c>
      <c r="J58" s="1" t="s">
        <v>47</v>
      </c>
      <c r="K58" s="1" t="s">
        <v>48</v>
      </c>
      <c r="L58" s="3">
        <v>43191.33</v>
      </c>
      <c r="M58" s="1">
        <v>10</v>
      </c>
      <c r="N58" s="3">
        <v>431913.3</v>
      </c>
      <c r="O58" s="4">
        <v>9.1</v>
      </c>
      <c r="P58" s="3">
        <v>392609.19</v>
      </c>
      <c r="Q58" s="4">
        <v>33.299999999999997</v>
      </c>
      <c r="R58" s="3">
        <v>130738.86</v>
      </c>
      <c r="S58" s="1" t="s">
        <v>40</v>
      </c>
    </row>
    <row r="59" spans="1:19" x14ac:dyDescent="0.3">
      <c r="A59" s="5" t="s">
        <v>227</v>
      </c>
      <c r="B59" s="5" t="s">
        <v>228</v>
      </c>
      <c r="C59" s="5" t="s">
        <v>33</v>
      </c>
      <c r="D59" s="5" t="s">
        <v>22</v>
      </c>
      <c r="E59" s="6" t="s">
        <v>194</v>
      </c>
      <c r="F59" s="5" t="s">
        <v>52</v>
      </c>
      <c r="G59" s="5" t="s">
        <v>53</v>
      </c>
      <c r="H59" s="5" t="s">
        <v>98</v>
      </c>
      <c r="I59" s="5" t="s">
        <v>47</v>
      </c>
      <c r="J59" s="5" t="s">
        <v>93</v>
      </c>
      <c r="K59" s="5" t="s">
        <v>48</v>
      </c>
      <c r="L59" s="7">
        <v>649.38</v>
      </c>
      <c r="M59" s="5">
        <v>1</v>
      </c>
      <c r="N59" s="7">
        <v>649.38</v>
      </c>
      <c r="O59" s="8">
        <v>8.8000000000000007</v>
      </c>
      <c r="P59" s="7">
        <v>592.23</v>
      </c>
      <c r="Q59" s="8">
        <v>23.5</v>
      </c>
      <c r="R59" s="7">
        <v>139.16999999999999</v>
      </c>
      <c r="S59" s="5" t="s">
        <v>30</v>
      </c>
    </row>
    <row r="60" spans="1:19" x14ac:dyDescent="0.3">
      <c r="A60" s="1" t="s">
        <v>229</v>
      </c>
      <c r="B60" s="1" t="s">
        <v>230</v>
      </c>
      <c r="C60" s="1" t="s">
        <v>117</v>
      </c>
      <c r="D60" s="1" t="s">
        <v>86</v>
      </c>
      <c r="E60" s="2" t="s">
        <v>217</v>
      </c>
      <c r="F60" s="1" t="s">
        <v>62</v>
      </c>
      <c r="G60" s="1" t="s">
        <v>36</v>
      </c>
      <c r="H60" s="1" t="s">
        <v>105</v>
      </c>
      <c r="I60" s="1" t="s">
        <v>72</v>
      </c>
      <c r="J60" s="1" t="s">
        <v>65</v>
      </c>
      <c r="K60" s="1" t="s">
        <v>149</v>
      </c>
      <c r="L60" s="3">
        <v>3501.54</v>
      </c>
      <c r="M60" s="1">
        <v>3</v>
      </c>
      <c r="N60" s="3">
        <v>10504.62</v>
      </c>
      <c r="O60" s="4">
        <v>10.8</v>
      </c>
      <c r="P60" s="3">
        <v>9370.1200000000008</v>
      </c>
      <c r="Q60" s="4">
        <v>58.1</v>
      </c>
      <c r="R60" s="3">
        <v>5444.04</v>
      </c>
      <c r="S60" s="1" t="s">
        <v>30</v>
      </c>
    </row>
    <row r="61" spans="1:19" x14ac:dyDescent="0.3">
      <c r="A61" s="5" t="s">
        <v>231</v>
      </c>
      <c r="B61" s="5" t="s">
        <v>232</v>
      </c>
      <c r="C61" s="5" t="s">
        <v>68</v>
      </c>
      <c r="D61" s="5" t="s">
        <v>69</v>
      </c>
      <c r="E61" s="6" t="s">
        <v>180</v>
      </c>
      <c r="F61" s="5" t="s">
        <v>166</v>
      </c>
      <c r="G61" s="5" t="s">
        <v>53</v>
      </c>
      <c r="H61" s="5" t="s">
        <v>54</v>
      </c>
      <c r="I61" s="5" t="s">
        <v>27</v>
      </c>
      <c r="J61" s="5" t="s">
        <v>28</v>
      </c>
      <c r="K61" s="5" t="s">
        <v>102</v>
      </c>
      <c r="L61" s="7">
        <v>4960.76</v>
      </c>
      <c r="M61" s="5">
        <v>14</v>
      </c>
      <c r="N61" s="7">
        <v>69450.64</v>
      </c>
      <c r="O61" s="8">
        <v>11.5</v>
      </c>
      <c r="P61" s="7">
        <v>61463.82</v>
      </c>
      <c r="Q61" s="8">
        <v>55.3</v>
      </c>
      <c r="R61" s="7">
        <v>33989.49</v>
      </c>
      <c r="S61" s="5" t="s">
        <v>40</v>
      </c>
    </row>
    <row r="62" spans="1:19" x14ac:dyDescent="0.3">
      <c r="A62" s="1" t="s">
        <v>233</v>
      </c>
      <c r="B62" s="1" t="s">
        <v>234</v>
      </c>
      <c r="C62" s="1" t="s">
        <v>85</v>
      </c>
      <c r="D62" s="1" t="s">
        <v>86</v>
      </c>
      <c r="E62" s="2" t="s">
        <v>177</v>
      </c>
      <c r="F62" s="1" t="s">
        <v>166</v>
      </c>
      <c r="G62" s="1" t="s">
        <v>36</v>
      </c>
      <c r="H62" s="1" t="s">
        <v>105</v>
      </c>
      <c r="I62" s="1" t="s">
        <v>72</v>
      </c>
      <c r="J62" s="1" t="s">
        <v>65</v>
      </c>
      <c r="K62" s="1" t="s">
        <v>88</v>
      </c>
      <c r="L62" s="3">
        <v>843.51</v>
      </c>
      <c r="M62" s="1">
        <v>3</v>
      </c>
      <c r="N62" s="3">
        <v>2530.5300000000002</v>
      </c>
      <c r="O62" s="4">
        <v>17</v>
      </c>
      <c r="P62" s="3">
        <v>2100.34</v>
      </c>
      <c r="Q62" s="4">
        <v>46.5</v>
      </c>
      <c r="R62" s="3">
        <v>976.66</v>
      </c>
      <c r="S62" s="1" t="s">
        <v>79</v>
      </c>
    </row>
    <row r="63" spans="1:19" x14ac:dyDescent="0.3">
      <c r="A63" s="5" t="s">
        <v>235</v>
      </c>
      <c r="B63" s="5" t="s">
        <v>236</v>
      </c>
      <c r="C63" s="5" t="s">
        <v>75</v>
      </c>
      <c r="D63" s="5" t="s">
        <v>60</v>
      </c>
      <c r="E63" s="6" t="s">
        <v>155</v>
      </c>
      <c r="F63" s="5" t="s">
        <v>24</v>
      </c>
      <c r="G63" s="5" t="s">
        <v>53</v>
      </c>
      <c r="H63" s="5" t="s">
        <v>71</v>
      </c>
      <c r="I63" s="5" t="s">
        <v>72</v>
      </c>
      <c r="J63" s="5" t="s">
        <v>28</v>
      </c>
      <c r="K63" s="5" t="s">
        <v>39</v>
      </c>
      <c r="L63" s="7">
        <v>92345.93</v>
      </c>
      <c r="M63" s="5">
        <v>21</v>
      </c>
      <c r="N63" s="7">
        <v>1939264.53</v>
      </c>
      <c r="O63" s="8">
        <v>15.9</v>
      </c>
      <c r="P63" s="7">
        <v>1630921.47</v>
      </c>
      <c r="Q63" s="8">
        <v>29.9</v>
      </c>
      <c r="R63" s="7">
        <v>487645.52</v>
      </c>
      <c r="S63" s="5" t="s">
        <v>40</v>
      </c>
    </row>
    <row r="64" spans="1:19" x14ac:dyDescent="0.3">
      <c r="A64" s="1" t="s">
        <v>237</v>
      </c>
      <c r="B64" s="1" t="s">
        <v>238</v>
      </c>
      <c r="C64" s="1" t="s">
        <v>101</v>
      </c>
      <c r="D64" s="1" t="s">
        <v>60</v>
      </c>
      <c r="E64" s="2" t="s">
        <v>76</v>
      </c>
      <c r="F64" s="1" t="s">
        <v>45</v>
      </c>
      <c r="G64" s="1" t="s">
        <v>63</v>
      </c>
      <c r="H64" s="1" t="s">
        <v>64</v>
      </c>
      <c r="I64" s="1" t="s">
        <v>27</v>
      </c>
      <c r="J64" s="1" t="s">
        <v>47</v>
      </c>
      <c r="K64" s="1" t="s">
        <v>39</v>
      </c>
      <c r="L64" s="3">
        <v>1477.59</v>
      </c>
      <c r="M64" s="1">
        <v>4</v>
      </c>
      <c r="N64" s="3">
        <v>5910.36</v>
      </c>
      <c r="O64" s="4">
        <v>14</v>
      </c>
      <c r="P64" s="3">
        <v>5082.91</v>
      </c>
      <c r="Q64" s="4">
        <v>37</v>
      </c>
      <c r="R64" s="3">
        <v>1880.68</v>
      </c>
      <c r="S64" s="1" t="s">
        <v>112</v>
      </c>
    </row>
    <row r="65" spans="1:19" x14ac:dyDescent="0.3">
      <c r="A65" s="5" t="s">
        <v>239</v>
      </c>
      <c r="B65" s="5" t="s">
        <v>84</v>
      </c>
      <c r="C65" s="5" t="s">
        <v>85</v>
      </c>
      <c r="D65" s="5" t="s">
        <v>86</v>
      </c>
      <c r="E65" s="6" t="s">
        <v>194</v>
      </c>
      <c r="F65" s="5" t="s">
        <v>52</v>
      </c>
      <c r="G65" s="5" t="s">
        <v>109</v>
      </c>
      <c r="H65" s="5" t="s">
        <v>189</v>
      </c>
      <c r="I65" s="5" t="s">
        <v>47</v>
      </c>
      <c r="J65" s="5" t="s">
        <v>93</v>
      </c>
      <c r="K65" s="5" t="s">
        <v>102</v>
      </c>
      <c r="L65" s="7">
        <v>4309.6000000000004</v>
      </c>
      <c r="M65" s="5">
        <v>12</v>
      </c>
      <c r="N65" s="7">
        <v>51715.199999999997</v>
      </c>
      <c r="O65" s="8">
        <v>19.899999999999999</v>
      </c>
      <c r="P65" s="7">
        <v>41423.879999999997</v>
      </c>
      <c r="Q65" s="8">
        <v>36.200000000000003</v>
      </c>
      <c r="R65" s="7">
        <v>14995.44</v>
      </c>
      <c r="S65" s="5" t="s">
        <v>79</v>
      </c>
    </row>
    <row r="66" spans="1:19" x14ac:dyDescent="0.3">
      <c r="A66" s="1" t="s">
        <v>240</v>
      </c>
      <c r="B66" s="1" t="s">
        <v>241</v>
      </c>
      <c r="C66" s="1" t="s">
        <v>43</v>
      </c>
      <c r="D66" s="1" t="s">
        <v>22</v>
      </c>
      <c r="E66" s="2" t="s">
        <v>213</v>
      </c>
      <c r="F66" s="1" t="s">
        <v>62</v>
      </c>
      <c r="G66" s="1" t="s">
        <v>109</v>
      </c>
      <c r="H66" s="1" t="s">
        <v>110</v>
      </c>
      <c r="I66" s="1" t="s">
        <v>27</v>
      </c>
      <c r="J66" s="1" t="s">
        <v>93</v>
      </c>
      <c r="K66" s="1" t="s">
        <v>48</v>
      </c>
      <c r="L66" s="3">
        <v>465.95</v>
      </c>
      <c r="M66" s="1">
        <v>15</v>
      </c>
      <c r="N66" s="3">
        <v>6989.25</v>
      </c>
      <c r="O66" s="4">
        <v>9.6999999999999993</v>
      </c>
      <c r="P66" s="3">
        <v>6311.29</v>
      </c>
      <c r="Q66" s="4">
        <v>61.5</v>
      </c>
      <c r="R66" s="3">
        <v>3881.44</v>
      </c>
      <c r="S66" s="1" t="s">
        <v>40</v>
      </c>
    </row>
    <row r="67" spans="1:19" x14ac:dyDescent="0.3">
      <c r="A67" s="5" t="s">
        <v>242</v>
      </c>
      <c r="B67" s="5" t="s">
        <v>243</v>
      </c>
      <c r="C67" s="5" t="s">
        <v>96</v>
      </c>
      <c r="D67" s="5" t="s">
        <v>86</v>
      </c>
      <c r="E67" s="6" t="s">
        <v>174</v>
      </c>
      <c r="F67" s="5" t="s">
        <v>45</v>
      </c>
      <c r="G67" s="5" t="s">
        <v>36</v>
      </c>
      <c r="H67" s="5" t="s">
        <v>119</v>
      </c>
      <c r="I67" s="5" t="s">
        <v>27</v>
      </c>
      <c r="J67" s="5" t="s">
        <v>93</v>
      </c>
      <c r="K67" s="5" t="s">
        <v>149</v>
      </c>
      <c r="L67" s="7">
        <v>136.22</v>
      </c>
      <c r="M67" s="5">
        <v>13</v>
      </c>
      <c r="N67" s="7">
        <v>1770.86</v>
      </c>
      <c r="O67" s="8">
        <v>13.4</v>
      </c>
      <c r="P67" s="7">
        <v>1533.56</v>
      </c>
      <c r="Q67" s="8">
        <v>20.2</v>
      </c>
      <c r="R67" s="7">
        <v>309.77999999999997</v>
      </c>
      <c r="S67" s="5" t="s">
        <v>40</v>
      </c>
    </row>
    <row r="68" spans="1:19" x14ac:dyDescent="0.3">
      <c r="A68" s="1" t="s">
        <v>244</v>
      </c>
      <c r="B68" s="1" t="s">
        <v>245</v>
      </c>
      <c r="C68" s="1" t="s">
        <v>135</v>
      </c>
      <c r="D68" s="1" t="s">
        <v>69</v>
      </c>
      <c r="E68" s="2" t="s">
        <v>246</v>
      </c>
      <c r="F68" s="1" t="s">
        <v>52</v>
      </c>
      <c r="G68" s="1" t="s">
        <v>36</v>
      </c>
      <c r="H68" s="1" t="s">
        <v>105</v>
      </c>
      <c r="I68" s="1" t="s">
        <v>27</v>
      </c>
      <c r="J68" s="1" t="s">
        <v>47</v>
      </c>
      <c r="K68" s="1" t="s">
        <v>88</v>
      </c>
      <c r="L68" s="3">
        <v>2970.18</v>
      </c>
      <c r="M68" s="1">
        <v>16</v>
      </c>
      <c r="N68" s="3">
        <v>47522.879999999997</v>
      </c>
      <c r="O68" s="4">
        <v>17.899999999999999</v>
      </c>
      <c r="P68" s="3">
        <v>39016.28</v>
      </c>
      <c r="Q68" s="4">
        <v>28.3</v>
      </c>
      <c r="R68" s="3">
        <v>11041.61</v>
      </c>
      <c r="S68" s="1" t="s">
        <v>40</v>
      </c>
    </row>
    <row r="69" spans="1:19" x14ac:dyDescent="0.3">
      <c r="A69" s="5" t="s">
        <v>247</v>
      </c>
      <c r="B69" s="5" t="s">
        <v>248</v>
      </c>
      <c r="C69" s="5" t="s">
        <v>43</v>
      </c>
      <c r="D69" s="5" t="s">
        <v>22</v>
      </c>
      <c r="E69" s="6" t="s">
        <v>155</v>
      </c>
      <c r="F69" s="5" t="s">
        <v>24</v>
      </c>
      <c r="G69" s="5" t="s">
        <v>63</v>
      </c>
      <c r="H69" s="5" t="s">
        <v>92</v>
      </c>
      <c r="I69" s="5" t="s">
        <v>27</v>
      </c>
      <c r="J69" s="5" t="s">
        <v>93</v>
      </c>
      <c r="K69" s="5" t="s">
        <v>111</v>
      </c>
      <c r="L69" s="7">
        <v>26303.75</v>
      </c>
      <c r="M69" s="5">
        <v>6</v>
      </c>
      <c r="N69" s="7">
        <v>157822.5</v>
      </c>
      <c r="O69" s="8">
        <v>19.2</v>
      </c>
      <c r="P69" s="7">
        <v>127520.58</v>
      </c>
      <c r="Q69" s="8">
        <v>20.8</v>
      </c>
      <c r="R69" s="7">
        <v>26524.28</v>
      </c>
      <c r="S69" s="5" t="s">
        <v>40</v>
      </c>
    </row>
    <row r="70" spans="1:19" x14ac:dyDescent="0.3">
      <c r="A70" s="1" t="s">
        <v>249</v>
      </c>
      <c r="B70" s="1" t="s">
        <v>104</v>
      </c>
      <c r="C70" s="1" t="s">
        <v>59</v>
      </c>
      <c r="D70" s="1" t="s">
        <v>60</v>
      </c>
      <c r="E70" s="2" t="s">
        <v>180</v>
      </c>
      <c r="F70" s="1" t="s">
        <v>166</v>
      </c>
      <c r="G70" s="1" t="s">
        <v>63</v>
      </c>
      <c r="H70" s="1" t="s">
        <v>87</v>
      </c>
      <c r="I70" s="1" t="s">
        <v>72</v>
      </c>
      <c r="J70" s="1" t="s">
        <v>93</v>
      </c>
      <c r="K70" s="1" t="s">
        <v>149</v>
      </c>
      <c r="L70" s="3">
        <v>3731.12</v>
      </c>
      <c r="M70" s="1">
        <v>17</v>
      </c>
      <c r="N70" s="3">
        <v>63429.04</v>
      </c>
      <c r="O70" s="4">
        <v>3.5</v>
      </c>
      <c r="P70" s="3">
        <v>61209.02</v>
      </c>
      <c r="Q70" s="4">
        <v>49.2</v>
      </c>
      <c r="R70" s="3">
        <v>30114.84</v>
      </c>
      <c r="S70" s="1" t="s">
        <v>40</v>
      </c>
    </row>
    <row r="71" spans="1:19" x14ac:dyDescent="0.3">
      <c r="A71" s="5" t="s">
        <v>250</v>
      </c>
      <c r="B71" s="5" t="s">
        <v>251</v>
      </c>
      <c r="C71" s="5" t="s">
        <v>85</v>
      </c>
      <c r="D71" s="5" t="s">
        <v>86</v>
      </c>
      <c r="E71" s="6" t="s">
        <v>61</v>
      </c>
      <c r="F71" s="5" t="s">
        <v>62</v>
      </c>
      <c r="G71" s="5" t="s">
        <v>53</v>
      </c>
      <c r="H71" s="5" t="s">
        <v>77</v>
      </c>
      <c r="I71" s="5" t="s">
        <v>72</v>
      </c>
      <c r="J71" s="5" t="s">
        <v>28</v>
      </c>
      <c r="K71" s="5" t="s">
        <v>102</v>
      </c>
      <c r="L71" s="7">
        <v>831.17</v>
      </c>
      <c r="M71" s="5">
        <v>17</v>
      </c>
      <c r="N71" s="7">
        <v>14129.89</v>
      </c>
      <c r="O71" s="8">
        <v>9.1999999999999993</v>
      </c>
      <c r="P71" s="7">
        <v>12829.94</v>
      </c>
      <c r="Q71" s="8">
        <v>50.9</v>
      </c>
      <c r="R71" s="7">
        <v>6530.44</v>
      </c>
      <c r="S71" s="5" t="s">
        <v>40</v>
      </c>
    </row>
    <row r="72" spans="1:19" x14ac:dyDescent="0.3">
      <c r="A72" s="1" t="s">
        <v>252</v>
      </c>
      <c r="B72" s="1" t="s">
        <v>253</v>
      </c>
      <c r="C72" s="1" t="s">
        <v>117</v>
      </c>
      <c r="D72" s="1" t="s">
        <v>86</v>
      </c>
      <c r="E72" s="2" t="s">
        <v>23</v>
      </c>
      <c r="F72" s="1" t="s">
        <v>24</v>
      </c>
      <c r="G72" s="1" t="s">
        <v>63</v>
      </c>
      <c r="H72" s="1" t="s">
        <v>87</v>
      </c>
      <c r="I72" s="1" t="s">
        <v>47</v>
      </c>
      <c r="J72" s="1" t="s">
        <v>93</v>
      </c>
      <c r="K72" s="1" t="s">
        <v>39</v>
      </c>
      <c r="L72" s="3">
        <v>40183.89</v>
      </c>
      <c r="M72" s="1">
        <v>1</v>
      </c>
      <c r="N72" s="3">
        <v>40183.89</v>
      </c>
      <c r="O72" s="4">
        <v>1.3</v>
      </c>
      <c r="P72" s="3">
        <v>39661.5</v>
      </c>
      <c r="Q72" s="4">
        <v>16.899999999999999</v>
      </c>
      <c r="R72" s="3">
        <v>6702.79</v>
      </c>
      <c r="S72" s="1" t="s">
        <v>79</v>
      </c>
    </row>
    <row r="73" spans="1:19" x14ac:dyDescent="0.3">
      <c r="A73" s="5" t="s">
        <v>254</v>
      </c>
      <c r="B73" s="5" t="s">
        <v>255</v>
      </c>
      <c r="C73" s="5" t="s">
        <v>43</v>
      </c>
      <c r="D73" s="5" t="s">
        <v>22</v>
      </c>
      <c r="E73" s="6" t="s">
        <v>256</v>
      </c>
      <c r="F73" s="5" t="s">
        <v>166</v>
      </c>
      <c r="G73" s="5" t="s">
        <v>109</v>
      </c>
      <c r="H73" s="5" t="s">
        <v>152</v>
      </c>
      <c r="I73" s="5" t="s">
        <v>47</v>
      </c>
      <c r="J73" s="5" t="s">
        <v>28</v>
      </c>
      <c r="K73" s="5" t="s">
        <v>56</v>
      </c>
      <c r="L73" s="7">
        <v>1326.2</v>
      </c>
      <c r="M73" s="5">
        <v>21</v>
      </c>
      <c r="N73" s="7">
        <v>27850.2</v>
      </c>
      <c r="O73" s="8">
        <v>14.1</v>
      </c>
      <c r="P73" s="7">
        <v>23923.32</v>
      </c>
      <c r="Q73" s="8">
        <v>57.3</v>
      </c>
      <c r="R73" s="7">
        <v>13708.06</v>
      </c>
      <c r="S73" s="5" t="s">
        <v>30</v>
      </c>
    </row>
    <row r="74" spans="1:19" x14ac:dyDescent="0.3">
      <c r="A74" s="1" t="s">
        <v>257</v>
      </c>
      <c r="B74" s="1" t="s">
        <v>258</v>
      </c>
      <c r="C74" s="1" t="s">
        <v>85</v>
      </c>
      <c r="D74" s="1" t="s">
        <v>86</v>
      </c>
      <c r="E74" s="2" t="s">
        <v>91</v>
      </c>
      <c r="F74" s="1" t="s">
        <v>52</v>
      </c>
      <c r="G74" s="1" t="s">
        <v>109</v>
      </c>
      <c r="H74" s="1" t="s">
        <v>152</v>
      </c>
      <c r="I74" s="1" t="s">
        <v>47</v>
      </c>
      <c r="J74" s="1" t="s">
        <v>65</v>
      </c>
      <c r="K74" s="1" t="s">
        <v>78</v>
      </c>
      <c r="L74" s="3">
        <v>8624.65</v>
      </c>
      <c r="M74" s="1">
        <v>7</v>
      </c>
      <c r="N74" s="3">
        <v>60372.55</v>
      </c>
      <c r="O74" s="4">
        <v>24.3</v>
      </c>
      <c r="P74" s="3">
        <v>45702.02</v>
      </c>
      <c r="Q74" s="4">
        <v>38.9</v>
      </c>
      <c r="R74" s="3">
        <v>17778.09</v>
      </c>
      <c r="S74" s="1" t="s">
        <v>40</v>
      </c>
    </row>
    <row r="75" spans="1:19" x14ac:dyDescent="0.3">
      <c r="A75" s="5" t="s">
        <v>259</v>
      </c>
      <c r="B75" s="5" t="s">
        <v>260</v>
      </c>
      <c r="C75" s="5" t="s">
        <v>43</v>
      </c>
      <c r="D75" s="5" t="s">
        <v>22</v>
      </c>
      <c r="E75" s="6" t="s">
        <v>114</v>
      </c>
      <c r="F75" s="5" t="s">
        <v>45</v>
      </c>
      <c r="G75" s="5" t="s">
        <v>53</v>
      </c>
      <c r="H75" s="5" t="s">
        <v>77</v>
      </c>
      <c r="I75" s="5" t="s">
        <v>72</v>
      </c>
      <c r="J75" s="5" t="s">
        <v>93</v>
      </c>
      <c r="K75" s="5" t="s">
        <v>56</v>
      </c>
      <c r="L75" s="7">
        <v>1003.89</v>
      </c>
      <c r="M75" s="5">
        <v>16</v>
      </c>
      <c r="N75" s="7">
        <v>16062.24</v>
      </c>
      <c r="O75" s="8">
        <v>1.8</v>
      </c>
      <c r="P75" s="7">
        <v>15773.12</v>
      </c>
      <c r="Q75" s="8">
        <v>40.200000000000003</v>
      </c>
      <c r="R75" s="7">
        <v>6340.79</v>
      </c>
      <c r="S75" s="5" t="s">
        <v>79</v>
      </c>
    </row>
    <row r="76" spans="1:19" x14ac:dyDescent="0.3">
      <c r="A76" s="1" t="s">
        <v>261</v>
      </c>
      <c r="B76" s="1" t="s">
        <v>262</v>
      </c>
      <c r="C76" s="1" t="s">
        <v>43</v>
      </c>
      <c r="D76" s="1" t="s">
        <v>22</v>
      </c>
      <c r="E76" s="2" t="s">
        <v>184</v>
      </c>
      <c r="F76" s="1" t="s">
        <v>45</v>
      </c>
      <c r="G76" s="1" t="s">
        <v>36</v>
      </c>
      <c r="H76" s="1" t="s">
        <v>136</v>
      </c>
      <c r="I76" s="1" t="s">
        <v>27</v>
      </c>
      <c r="J76" s="1" t="s">
        <v>65</v>
      </c>
      <c r="K76" s="1" t="s">
        <v>48</v>
      </c>
      <c r="L76" s="3">
        <v>850.46</v>
      </c>
      <c r="M76" s="1">
        <v>15</v>
      </c>
      <c r="N76" s="3">
        <v>12756.9</v>
      </c>
      <c r="O76" s="4">
        <v>0.8</v>
      </c>
      <c r="P76" s="3">
        <v>12654.84</v>
      </c>
      <c r="Q76" s="4">
        <v>20.100000000000001</v>
      </c>
      <c r="R76" s="3">
        <v>2543.62</v>
      </c>
      <c r="S76" s="1" t="s">
        <v>40</v>
      </c>
    </row>
    <row r="77" spans="1:19" x14ac:dyDescent="0.3">
      <c r="A77" s="5" t="s">
        <v>263</v>
      </c>
      <c r="B77" s="5" t="s">
        <v>264</v>
      </c>
      <c r="C77" s="5" t="s">
        <v>33</v>
      </c>
      <c r="D77" s="5" t="s">
        <v>22</v>
      </c>
      <c r="E77" s="6" t="s">
        <v>177</v>
      </c>
      <c r="F77" s="5" t="s">
        <v>166</v>
      </c>
      <c r="G77" s="5" t="s">
        <v>36</v>
      </c>
      <c r="H77" s="5" t="s">
        <v>136</v>
      </c>
      <c r="I77" s="5" t="s">
        <v>55</v>
      </c>
      <c r="J77" s="5" t="s">
        <v>93</v>
      </c>
      <c r="K77" s="5" t="s">
        <v>149</v>
      </c>
      <c r="L77" s="7">
        <v>2927.12</v>
      </c>
      <c r="M77" s="5">
        <v>17</v>
      </c>
      <c r="N77" s="7">
        <v>49761.04</v>
      </c>
      <c r="O77" s="8">
        <v>10</v>
      </c>
      <c r="P77" s="7">
        <v>44784.94</v>
      </c>
      <c r="Q77" s="8">
        <v>56.2</v>
      </c>
      <c r="R77" s="7">
        <v>25169.14</v>
      </c>
      <c r="S77" s="5" t="s">
        <v>112</v>
      </c>
    </row>
    <row r="78" spans="1:19" x14ac:dyDescent="0.3">
      <c r="A78" s="1" t="s">
        <v>265</v>
      </c>
      <c r="B78" s="1" t="s">
        <v>100</v>
      </c>
      <c r="C78" s="1" t="s">
        <v>101</v>
      </c>
      <c r="D78" s="1" t="s">
        <v>60</v>
      </c>
      <c r="E78" s="2" t="s">
        <v>70</v>
      </c>
      <c r="F78" s="1" t="s">
        <v>24</v>
      </c>
      <c r="G78" s="1" t="s">
        <v>36</v>
      </c>
      <c r="H78" s="1" t="s">
        <v>105</v>
      </c>
      <c r="I78" s="1" t="s">
        <v>47</v>
      </c>
      <c r="J78" s="1" t="s">
        <v>65</v>
      </c>
      <c r="K78" s="1" t="s">
        <v>111</v>
      </c>
      <c r="L78" s="3">
        <v>93258.64</v>
      </c>
      <c r="M78" s="1">
        <v>19</v>
      </c>
      <c r="N78" s="3">
        <v>1771914.16</v>
      </c>
      <c r="O78" s="4">
        <v>19.5</v>
      </c>
      <c r="P78" s="3">
        <v>1426390.9</v>
      </c>
      <c r="Q78" s="4">
        <v>29.3</v>
      </c>
      <c r="R78" s="3">
        <v>417932.53</v>
      </c>
      <c r="S78" s="1" t="s">
        <v>79</v>
      </c>
    </row>
    <row r="79" spans="1:19" x14ac:dyDescent="0.3">
      <c r="A79" s="5" t="s">
        <v>266</v>
      </c>
      <c r="B79" s="5" t="s">
        <v>267</v>
      </c>
      <c r="C79" s="5" t="s">
        <v>33</v>
      </c>
      <c r="D79" s="5" t="s">
        <v>22</v>
      </c>
      <c r="E79" s="6" t="s">
        <v>61</v>
      </c>
      <c r="F79" s="5" t="s">
        <v>62</v>
      </c>
      <c r="G79" s="5" t="s">
        <v>109</v>
      </c>
      <c r="H79" s="5" t="s">
        <v>189</v>
      </c>
      <c r="I79" s="5" t="s">
        <v>27</v>
      </c>
      <c r="J79" s="5" t="s">
        <v>47</v>
      </c>
      <c r="K79" s="5" t="s">
        <v>102</v>
      </c>
      <c r="L79" s="7">
        <v>726.01</v>
      </c>
      <c r="M79" s="5">
        <v>13</v>
      </c>
      <c r="N79" s="7">
        <v>9438.1299999999992</v>
      </c>
      <c r="O79" s="8">
        <v>17.399999999999999</v>
      </c>
      <c r="P79" s="7">
        <v>7795.9</v>
      </c>
      <c r="Q79" s="8">
        <v>50.2</v>
      </c>
      <c r="R79" s="7">
        <v>3913.54</v>
      </c>
      <c r="S79" s="5" t="s">
        <v>40</v>
      </c>
    </row>
    <row r="80" spans="1:19" x14ac:dyDescent="0.3">
      <c r="A80" s="1" t="s">
        <v>268</v>
      </c>
      <c r="B80" s="1" t="s">
        <v>269</v>
      </c>
      <c r="C80" s="1" t="s">
        <v>131</v>
      </c>
      <c r="D80" s="1" t="s">
        <v>69</v>
      </c>
      <c r="E80" s="2" t="s">
        <v>51</v>
      </c>
      <c r="F80" s="1" t="s">
        <v>52</v>
      </c>
      <c r="G80" s="1" t="s">
        <v>53</v>
      </c>
      <c r="H80" s="1" t="s">
        <v>77</v>
      </c>
      <c r="I80" s="1" t="s">
        <v>47</v>
      </c>
      <c r="J80" s="1" t="s">
        <v>93</v>
      </c>
      <c r="K80" s="1" t="s">
        <v>78</v>
      </c>
      <c r="L80" s="3">
        <v>481.81</v>
      </c>
      <c r="M80" s="1">
        <v>9</v>
      </c>
      <c r="N80" s="3">
        <v>4336.29</v>
      </c>
      <c r="O80" s="4">
        <v>9.4</v>
      </c>
      <c r="P80" s="3">
        <v>3928.68</v>
      </c>
      <c r="Q80" s="4">
        <v>28.2</v>
      </c>
      <c r="R80" s="3">
        <v>1107.8900000000001</v>
      </c>
      <c r="S80" s="1" t="s">
        <v>40</v>
      </c>
    </row>
    <row r="81" spans="1:19" x14ac:dyDescent="0.3">
      <c r="A81" s="5" t="s">
        <v>270</v>
      </c>
      <c r="B81" s="5" t="s">
        <v>169</v>
      </c>
      <c r="C81" s="5" t="s">
        <v>117</v>
      </c>
      <c r="D81" s="5" t="s">
        <v>86</v>
      </c>
      <c r="E81" s="6" t="s">
        <v>44</v>
      </c>
      <c r="F81" s="5" t="s">
        <v>45</v>
      </c>
      <c r="G81" s="5" t="s">
        <v>36</v>
      </c>
      <c r="H81" s="5" t="s">
        <v>136</v>
      </c>
      <c r="I81" s="5" t="s">
        <v>55</v>
      </c>
      <c r="J81" s="5" t="s">
        <v>93</v>
      </c>
      <c r="K81" s="5" t="s">
        <v>48</v>
      </c>
      <c r="L81" s="7">
        <v>1099.21</v>
      </c>
      <c r="M81" s="5">
        <v>19</v>
      </c>
      <c r="N81" s="7">
        <v>20884.990000000002</v>
      </c>
      <c r="O81" s="8">
        <v>16.600000000000001</v>
      </c>
      <c r="P81" s="7">
        <v>17418.080000000002</v>
      </c>
      <c r="Q81" s="8">
        <v>20.3</v>
      </c>
      <c r="R81" s="7">
        <v>3535.87</v>
      </c>
      <c r="S81" s="5" t="s">
        <v>79</v>
      </c>
    </row>
    <row r="82" spans="1:19" x14ac:dyDescent="0.3">
      <c r="A82" s="1" t="s">
        <v>271</v>
      </c>
      <c r="B82" s="1" t="s">
        <v>272</v>
      </c>
      <c r="C82" s="1" t="s">
        <v>131</v>
      </c>
      <c r="D82" s="1" t="s">
        <v>69</v>
      </c>
      <c r="E82" s="2" t="s">
        <v>82</v>
      </c>
      <c r="F82" s="1" t="s">
        <v>24</v>
      </c>
      <c r="G82" s="1" t="s">
        <v>53</v>
      </c>
      <c r="H82" s="1" t="s">
        <v>54</v>
      </c>
      <c r="I82" s="1" t="s">
        <v>55</v>
      </c>
      <c r="J82" s="1" t="s">
        <v>28</v>
      </c>
      <c r="K82" s="1" t="s">
        <v>29</v>
      </c>
      <c r="L82" s="3">
        <v>51762.35</v>
      </c>
      <c r="M82" s="1">
        <v>5</v>
      </c>
      <c r="N82" s="3">
        <v>258811.75</v>
      </c>
      <c r="O82" s="4">
        <v>6.3</v>
      </c>
      <c r="P82" s="3">
        <v>242506.61</v>
      </c>
      <c r="Q82" s="4">
        <v>20.2</v>
      </c>
      <c r="R82" s="3">
        <v>48986.34</v>
      </c>
      <c r="S82" s="1" t="s">
        <v>40</v>
      </c>
    </row>
    <row r="83" spans="1:19" x14ac:dyDescent="0.3">
      <c r="A83" s="5" t="s">
        <v>273</v>
      </c>
      <c r="B83" s="5" t="s">
        <v>274</v>
      </c>
      <c r="C83" s="5" t="s">
        <v>135</v>
      </c>
      <c r="D83" s="5" t="s">
        <v>69</v>
      </c>
      <c r="E83" s="6" t="s">
        <v>155</v>
      </c>
      <c r="F83" s="5" t="s">
        <v>24</v>
      </c>
      <c r="G83" s="5" t="s">
        <v>109</v>
      </c>
      <c r="H83" s="5" t="s">
        <v>110</v>
      </c>
      <c r="I83" s="5" t="s">
        <v>47</v>
      </c>
      <c r="J83" s="5" t="s">
        <v>47</v>
      </c>
      <c r="K83" s="5" t="s">
        <v>111</v>
      </c>
      <c r="L83" s="7">
        <v>24309.279999999999</v>
      </c>
      <c r="M83" s="5">
        <v>11</v>
      </c>
      <c r="N83" s="7">
        <v>267402.08</v>
      </c>
      <c r="O83" s="8">
        <v>1.7</v>
      </c>
      <c r="P83" s="7">
        <v>262856.24</v>
      </c>
      <c r="Q83" s="8">
        <v>20.9</v>
      </c>
      <c r="R83" s="7">
        <v>54936.95</v>
      </c>
      <c r="S83" s="5" t="s">
        <v>40</v>
      </c>
    </row>
    <row r="84" spans="1:19" x14ac:dyDescent="0.3">
      <c r="A84" s="1" t="s">
        <v>275</v>
      </c>
      <c r="B84" s="1" t="s">
        <v>276</v>
      </c>
      <c r="C84" s="1" t="s">
        <v>43</v>
      </c>
      <c r="D84" s="1" t="s">
        <v>22</v>
      </c>
      <c r="E84" s="2" t="s">
        <v>148</v>
      </c>
      <c r="F84" s="1" t="s">
        <v>52</v>
      </c>
      <c r="G84" s="1" t="s">
        <v>53</v>
      </c>
      <c r="H84" s="1" t="s">
        <v>77</v>
      </c>
      <c r="I84" s="1" t="s">
        <v>38</v>
      </c>
      <c r="J84" s="1" t="s">
        <v>47</v>
      </c>
      <c r="K84" s="1" t="s">
        <v>88</v>
      </c>
      <c r="L84" s="3">
        <v>3869.84</v>
      </c>
      <c r="M84" s="1">
        <v>10</v>
      </c>
      <c r="N84" s="3">
        <v>38698.400000000001</v>
      </c>
      <c r="O84" s="4">
        <v>20.5</v>
      </c>
      <c r="P84" s="3">
        <v>30765.23</v>
      </c>
      <c r="Q84" s="4">
        <v>44.4</v>
      </c>
      <c r="R84" s="3">
        <v>13659.76</v>
      </c>
      <c r="S84" s="1" t="s">
        <v>40</v>
      </c>
    </row>
    <row r="85" spans="1:19" x14ac:dyDescent="0.3">
      <c r="A85" s="5" t="s">
        <v>277</v>
      </c>
      <c r="B85" s="5" t="s">
        <v>278</v>
      </c>
      <c r="C85" s="5" t="s">
        <v>43</v>
      </c>
      <c r="D85" s="5" t="s">
        <v>22</v>
      </c>
      <c r="E85" s="6" t="s">
        <v>279</v>
      </c>
      <c r="F85" s="5" t="s">
        <v>166</v>
      </c>
      <c r="G85" s="5" t="s">
        <v>25</v>
      </c>
      <c r="H85" s="5" t="s">
        <v>132</v>
      </c>
      <c r="I85" s="5" t="s">
        <v>27</v>
      </c>
      <c r="J85" s="5" t="s">
        <v>47</v>
      </c>
      <c r="K85" s="5" t="s">
        <v>56</v>
      </c>
      <c r="L85" s="7">
        <v>1078.6199999999999</v>
      </c>
      <c r="M85" s="5">
        <v>4</v>
      </c>
      <c r="N85" s="7">
        <v>4314.4799999999996</v>
      </c>
      <c r="O85" s="8">
        <v>3.2</v>
      </c>
      <c r="P85" s="7">
        <v>4176.42</v>
      </c>
      <c r="Q85" s="8">
        <v>43.5</v>
      </c>
      <c r="R85" s="7">
        <v>1816.74</v>
      </c>
      <c r="S85" s="5" t="s">
        <v>40</v>
      </c>
    </row>
    <row r="86" spans="1:19" x14ac:dyDescent="0.3">
      <c r="A86" s="1" t="s">
        <v>280</v>
      </c>
      <c r="B86" s="1" t="s">
        <v>281</v>
      </c>
      <c r="C86" s="1" t="s">
        <v>131</v>
      </c>
      <c r="D86" s="1" t="s">
        <v>69</v>
      </c>
      <c r="E86" s="2" t="s">
        <v>118</v>
      </c>
      <c r="F86" s="1" t="s">
        <v>62</v>
      </c>
      <c r="G86" s="1" t="s">
        <v>63</v>
      </c>
      <c r="H86" s="1" t="s">
        <v>167</v>
      </c>
      <c r="I86" s="1" t="s">
        <v>47</v>
      </c>
      <c r="J86" s="1" t="s">
        <v>65</v>
      </c>
      <c r="K86" s="1" t="s">
        <v>88</v>
      </c>
      <c r="L86" s="3">
        <v>2834.71</v>
      </c>
      <c r="M86" s="1">
        <v>12</v>
      </c>
      <c r="N86" s="3">
        <v>34016.519999999997</v>
      </c>
      <c r="O86" s="4">
        <v>11.3</v>
      </c>
      <c r="P86" s="3">
        <v>30172.65</v>
      </c>
      <c r="Q86" s="4">
        <v>68.8</v>
      </c>
      <c r="R86" s="3">
        <v>20758.78</v>
      </c>
      <c r="S86" s="1" t="s">
        <v>40</v>
      </c>
    </row>
    <row r="87" spans="1:19" x14ac:dyDescent="0.3">
      <c r="A87" s="5" t="s">
        <v>282</v>
      </c>
      <c r="B87" s="5" t="s">
        <v>283</v>
      </c>
      <c r="C87" s="5" t="s">
        <v>96</v>
      </c>
      <c r="D87" s="5" t="s">
        <v>86</v>
      </c>
      <c r="E87" s="6" t="s">
        <v>194</v>
      </c>
      <c r="F87" s="5" t="s">
        <v>52</v>
      </c>
      <c r="G87" s="5" t="s">
        <v>53</v>
      </c>
      <c r="H87" s="5" t="s">
        <v>98</v>
      </c>
      <c r="I87" s="5" t="s">
        <v>27</v>
      </c>
      <c r="J87" s="5" t="s">
        <v>47</v>
      </c>
      <c r="K87" s="5" t="s">
        <v>88</v>
      </c>
      <c r="L87" s="7">
        <v>1386.81</v>
      </c>
      <c r="M87" s="5">
        <v>13</v>
      </c>
      <c r="N87" s="7">
        <v>18028.53</v>
      </c>
      <c r="O87" s="8">
        <v>17</v>
      </c>
      <c r="P87" s="7">
        <v>14963.68</v>
      </c>
      <c r="Q87" s="8">
        <v>38.5</v>
      </c>
      <c r="R87" s="7">
        <v>5761.02</v>
      </c>
      <c r="S87" s="5" t="s">
        <v>40</v>
      </c>
    </row>
    <row r="88" spans="1:19" x14ac:dyDescent="0.3">
      <c r="A88" s="1" t="s">
        <v>284</v>
      </c>
      <c r="B88" s="1" t="s">
        <v>285</v>
      </c>
      <c r="C88" s="1" t="s">
        <v>59</v>
      </c>
      <c r="D88" s="1" t="s">
        <v>60</v>
      </c>
      <c r="E88" s="2" t="s">
        <v>180</v>
      </c>
      <c r="F88" s="1" t="s">
        <v>166</v>
      </c>
      <c r="G88" s="1" t="s">
        <v>53</v>
      </c>
      <c r="H88" s="1" t="s">
        <v>98</v>
      </c>
      <c r="I88" s="1" t="s">
        <v>72</v>
      </c>
      <c r="J88" s="1" t="s">
        <v>65</v>
      </c>
      <c r="K88" s="1" t="s">
        <v>78</v>
      </c>
      <c r="L88" s="3">
        <v>4443.5600000000004</v>
      </c>
      <c r="M88" s="1">
        <v>17</v>
      </c>
      <c r="N88" s="3">
        <v>75540.52</v>
      </c>
      <c r="O88" s="4">
        <v>16.600000000000001</v>
      </c>
      <c r="P88" s="3">
        <v>63000.79</v>
      </c>
      <c r="Q88" s="4">
        <v>44.9</v>
      </c>
      <c r="R88" s="3">
        <v>28287.35</v>
      </c>
      <c r="S88" s="1" t="s">
        <v>112</v>
      </c>
    </row>
    <row r="89" spans="1:19" x14ac:dyDescent="0.3">
      <c r="A89" s="5" t="s">
        <v>286</v>
      </c>
      <c r="B89" s="5" t="s">
        <v>245</v>
      </c>
      <c r="C89" s="5" t="s">
        <v>135</v>
      </c>
      <c r="D89" s="5" t="s">
        <v>69</v>
      </c>
      <c r="E89" s="6" t="s">
        <v>108</v>
      </c>
      <c r="F89" s="5" t="s">
        <v>35</v>
      </c>
      <c r="G89" s="5" t="s">
        <v>53</v>
      </c>
      <c r="H89" s="5" t="s">
        <v>54</v>
      </c>
      <c r="I89" s="5" t="s">
        <v>47</v>
      </c>
      <c r="J89" s="5" t="s">
        <v>93</v>
      </c>
      <c r="K89" s="5" t="s">
        <v>102</v>
      </c>
      <c r="L89" s="7">
        <v>20743.66</v>
      </c>
      <c r="M89" s="5">
        <v>20</v>
      </c>
      <c r="N89" s="7">
        <v>414873.2</v>
      </c>
      <c r="O89" s="8">
        <v>9.1</v>
      </c>
      <c r="P89" s="7">
        <v>377119.74</v>
      </c>
      <c r="Q89" s="8">
        <v>49.4</v>
      </c>
      <c r="R89" s="7">
        <v>186297.15</v>
      </c>
      <c r="S89" s="5" t="s">
        <v>112</v>
      </c>
    </row>
    <row r="90" spans="1:19" x14ac:dyDescent="0.3">
      <c r="A90" s="1" t="s">
        <v>287</v>
      </c>
      <c r="B90" s="1" t="s">
        <v>288</v>
      </c>
      <c r="C90" s="1" t="s">
        <v>59</v>
      </c>
      <c r="D90" s="1" t="s">
        <v>60</v>
      </c>
      <c r="E90" s="2" t="s">
        <v>177</v>
      </c>
      <c r="F90" s="1" t="s">
        <v>166</v>
      </c>
      <c r="G90" s="1" t="s">
        <v>36</v>
      </c>
      <c r="H90" s="1" t="s">
        <v>37</v>
      </c>
      <c r="I90" s="1" t="s">
        <v>55</v>
      </c>
      <c r="J90" s="1" t="s">
        <v>93</v>
      </c>
      <c r="K90" s="1" t="s">
        <v>102</v>
      </c>
      <c r="L90" s="3">
        <v>1120.6600000000001</v>
      </c>
      <c r="M90" s="1">
        <v>20</v>
      </c>
      <c r="N90" s="3">
        <v>22413.200000000001</v>
      </c>
      <c r="O90" s="4">
        <v>24.9</v>
      </c>
      <c r="P90" s="3">
        <v>16832.310000000001</v>
      </c>
      <c r="Q90" s="4">
        <v>47.4</v>
      </c>
      <c r="R90" s="3">
        <v>7978.51</v>
      </c>
      <c r="S90" s="1" t="s">
        <v>40</v>
      </c>
    </row>
    <row r="91" spans="1:19" x14ac:dyDescent="0.3">
      <c r="A91" s="5" t="s">
        <v>289</v>
      </c>
      <c r="B91" s="5" t="s">
        <v>161</v>
      </c>
      <c r="C91" s="5" t="s">
        <v>21</v>
      </c>
      <c r="D91" s="5" t="s">
        <v>22</v>
      </c>
      <c r="E91" s="6" t="s">
        <v>142</v>
      </c>
      <c r="F91" s="5" t="s">
        <v>24</v>
      </c>
      <c r="G91" s="5" t="s">
        <v>36</v>
      </c>
      <c r="H91" s="5" t="s">
        <v>136</v>
      </c>
      <c r="I91" s="5" t="s">
        <v>38</v>
      </c>
      <c r="J91" s="5" t="s">
        <v>47</v>
      </c>
      <c r="K91" s="5" t="s">
        <v>39</v>
      </c>
      <c r="L91" s="7">
        <v>39875.300000000003</v>
      </c>
      <c r="M91" s="5">
        <v>15</v>
      </c>
      <c r="N91" s="7">
        <v>598129.5</v>
      </c>
      <c r="O91" s="8">
        <v>15.9</v>
      </c>
      <c r="P91" s="7">
        <v>503026.91</v>
      </c>
      <c r="Q91" s="8">
        <v>24</v>
      </c>
      <c r="R91" s="7">
        <v>120726.46</v>
      </c>
      <c r="S91" s="5" t="s">
        <v>112</v>
      </c>
    </row>
    <row r="92" spans="1:19" x14ac:dyDescent="0.3">
      <c r="A92" s="1" t="s">
        <v>290</v>
      </c>
      <c r="B92" s="1" t="s">
        <v>84</v>
      </c>
      <c r="C92" s="1" t="s">
        <v>85</v>
      </c>
      <c r="D92" s="1" t="s">
        <v>86</v>
      </c>
      <c r="E92" s="2" t="s">
        <v>201</v>
      </c>
      <c r="F92" s="1" t="s">
        <v>24</v>
      </c>
      <c r="G92" s="1" t="s">
        <v>109</v>
      </c>
      <c r="H92" s="1" t="s">
        <v>152</v>
      </c>
      <c r="I92" s="1" t="s">
        <v>38</v>
      </c>
      <c r="J92" s="1" t="s">
        <v>28</v>
      </c>
      <c r="K92" s="1" t="s">
        <v>149</v>
      </c>
      <c r="L92" s="3">
        <v>84981.85</v>
      </c>
      <c r="M92" s="1">
        <v>25</v>
      </c>
      <c r="N92" s="3">
        <v>2124546.25</v>
      </c>
      <c r="O92" s="4">
        <v>3.8</v>
      </c>
      <c r="P92" s="3">
        <v>2043813.49</v>
      </c>
      <c r="Q92" s="4">
        <v>18.8</v>
      </c>
      <c r="R92" s="3">
        <v>384236.94</v>
      </c>
      <c r="S92" s="1" t="s">
        <v>40</v>
      </c>
    </row>
    <row r="93" spans="1:19" x14ac:dyDescent="0.3">
      <c r="A93" s="5" t="s">
        <v>291</v>
      </c>
      <c r="B93" s="5" t="s">
        <v>84</v>
      </c>
      <c r="C93" s="5" t="s">
        <v>85</v>
      </c>
      <c r="D93" s="5" t="s">
        <v>86</v>
      </c>
      <c r="E93" s="6" t="s">
        <v>61</v>
      </c>
      <c r="F93" s="5" t="s">
        <v>62</v>
      </c>
      <c r="G93" s="5" t="s">
        <v>36</v>
      </c>
      <c r="H93" s="5" t="s">
        <v>136</v>
      </c>
      <c r="I93" s="5" t="s">
        <v>38</v>
      </c>
      <c r="J93" s="5" t="s">
        <v>93</v>
      </c>
      <c r="K93" s="5" t="s">
        <v>78</v>
      </c>
      <c r="L93" s="7">
        <v>672.53</v>
      </c>
      <c r="M93" s="5">
        <v>12</v>
      </c>
      <c r="N93" s="7">
        <v>8070.36</v>
      </c>
      <c r="O93" s="8">
        <v>11.1</v>
      </c>
      <c r="P93" s="7">
        <v>7174.55</v>
      </c>
      <c r="Q93" s="8">
        <v>53.7</v>
      </c>
      <c r="R93" s="7">
        <v>3852.73</v>
      </c>
      <c r="S93" s="5" t="s">
        <v>112</v>
      </c>
    </row>
    <row r="94" spans="1:19" x14ac:dyDescent="0.3">
      <c r="A94" s="1" t="s">
        <v>292</v>
      </c>
      <c r="B94" s="1" t="s">
        <v>84</v>
      </c>
      <c r="C94" s="1" t="s">
        <v>85</v>
      </c>
      <c r="D94" s="1" t="s">
        <v>86</v>
      </c>
      <c r="E94" s="2" t="s">
        <v>148</v>
      </c>
      <c r="F94" s="1" t="s">
        <v>52</v>
      </c>
      <c r="G94" s="1" t="s">
        <v>63</v>
      </c>
      <c r="H94" s="1" t="s">
        <v>92</v>
      </c>
      <c r="I94" s="1" t="s">
        <v>38</v>
      </c>
      <c r="J94" s="1" t="s">
        <v>28</v>
      </c>
      <c r="K94" s="1" t="s">
        <v>102</v>
      </c>
      <c r="L94" s="3">
        <v>3979.48</v>
      </c>
      <c r="M94" s="1">
        <v>3</v>
      </c>
      <c r="N94" s="3">
        <v>11938.44</v>
      </c>
      <c r="O94" s="4">
        <v>1.5</v>
      </c>
      <c r="P94" s="3">
        <v>11759.36</v>
      </c>
      <c r="Q94" s="4">
        <v>33.5</v>
      </c>
      <c r="R94" s="3">
        <v>3939.39</v>
      </c>
      <c r="S94" s="1" t="s">
        <v>40</v>
      </c>
    </row>
    <row r="95" spans="1:19" x14ac:dyDescent="0.3">
      <c r="A95" s="5" t="s">
        <v>293</v>
      </c>
      <c r="B95" s="5" t="s">
        <v>294</v>
      </c>
      <c r="C95" s="5" t="s">
        <v>117</v>
      </c>
      <c r="D95" s="5" t="s">
        <v>86</v>
      </c>
      <c r="E95" s="6" t="s">
        <v>44</v>
      </c>
      <c r="F95" s="5" t="s">
        <v>45</v>
      </c>
      <c r="G95" s="5" t="s">
        <v>53</v>
      </c>
      <c r="H95" s="5" t="s">
        <v>98</v>
      </c>
      <c r="I95" s="5" t="s">
        <v>47</v>
      </c>
      <c r="J95" s="5" t="s">
        <v>28</v>
      </c>
      <c r="K95" s="5" t="s">
        <v>102</v>
      </c>
      <c r="L95" s="7">
        <v>832.57</v>
      </c>
      <c r="M95" s="5">
        <v>14</v>
      </c>
      <c r="N95" s="7">
        <v>11655.98</v>
      </c>
      <c r="O95" s="8">
        <v>23.8</v>
      </c>
      <c r="P95" s="7">
        <v>8881.86</v>
      </c>
      <c r="Q95" s="8">
        <v>20.6</v>
      </c>
      <c r="R95" s="7">
        <v>1829.66</v>
      </c>
      <c r="S95" s="5" t="s">
        <v>40</v>
      </c>
    </row>
    <row r="96" spans="1:19" x14ac:dyDescent="0.3">
      <c r="A96" s="1" t="s">
        <v>295</v>
      </c>
      <c r="B96" s="1" t="s">
        <v>296</v>
      </c>
      <c r="C96" s="1" t="s">
        <v>21</v>
      </c>
      <c r="D96" s="1" t="s">
        <v>22</v>
      </c>
      <c r="E96" s="2" t="s">
        <v>206</v>
      </c>
      <c r="F96" s="1" t="s">
        <v>52</v>
      </c>
      <c r="G96" s="1" t="s">
        <v>36</v>
      </c>
      <c r="H96" s="1" t="s">
        <v>37</v>
      </c>
      <c r="I96" s="1" t="s">
        <v>72</v>
      </c>
      <c r="J96" s="1" t="s">
        <v>47</v>
      </c>
      <c r="K96" s="1" t="s">
        <v>159</v>
      </c>
      <c r="L96" s="3">
        <v>3473.59</v>
      </c>
      <c r="M96" s="1">
        <v>25</v>
      </c>
      <c r="N96" s="3">
        <v>86839.75</v>
      </c>
      <c r="O96" s="4">
        <v>21.9</v>
      </c>
      <c r="P96" s="3">
        <v>67821.84</v>
      </c>
      <c r="Q96" s="4">
        <v>24</v>
      </c>
      <c r="R96" s="3">
        <v>16277.24</v>
      </c>
      <c r="S96" s="1" t="s">
        <v>40</v>
      </c>
    </row>
    <row r="97" spans="1:19" x14ac:dyDescent="0.3">
      <c r="A97" s="5" t="s">
        <v>297</v>
      </c>
      <c r="B97" s="5" t="s">
        <v>298</v>
      </c>
      <c r="C97" s="5" t="s">
        <v>59</v>
      </c>
      <c r="D97" s="5" t="s">
        <v>60</v>
      </c>
      <c r="E97" s="6" t="s">
        <v>246</v>
      </c>
      <c r="F97" s="5" t="s">
        <v>52</v>
      </c>
      <c r="G97" s="5" t="s">
        <v>53</v>
      </c>
      <c r="H97" s="5" t="s">
        <v>98</v>
      </c>
      <c r="I97" s="5" t="s">
        <v>72</v>
      </c>
      <c r="J97" s="5" t="s">
        <v>47</v>
      </c>
      <c r="K97" s="5" t="s">
        <v>159</v>
      </c>
      <c r="L97" s="7">
        <v>4855.6400000000003</v>
      </c>
      <c r="M97" s="5">
        <v>17</v>
      </c>
      <c r="N97" s="7">
        <v>82545.88</v>
      </c>
      <c r="O97" s="8">
        <v>0.9</v>
      </c>
      <c r="P97" s="7">
        <v>81802.97</v>
      </c>
      <c r="Q97" s="8">
        <v>32.9</v>
      </c>
      <c r="R97" s="7">
        <v>26913.18</v>
      </c>
      <c r="S97" s="5" t="s">
        <v>40</v>
      </c>
    </row>
    <row r="98" spans="1:19" x14ac:dyDescent="0.3">
      <c r="A98" s="1" t="s">
        <v>299</v>
      </c>
      <c r="B98" s="1" t="s">
        <v>300</v>
      </c>
      <c r="C98" s="1" t="s">
        <v>85</v>
      </c>
      <c r="D98" s="1" t="s">
        <v>86</v>
      </c>
      <c r="E98" s="2" t="s">
        <v>194</v>
      </c>
      <c r="F98" s="1" t="s">
        <v>52</v>
      </c>
      <c r="G98" s="1" t="s">
        <v>53</v>
      </c>
      <c r="H98" s="1" t="s">
        <v>77</v>
      </c>
      <c r="I98" s="1" t="s">
        <v>55</v>
      </c>
      <c r="J98" s="1" t="s">
        <v>65</v>
      </c>
      <c r="K98" s="1" t="s">
        <v>29</v>
      </c>
      <c r="L98" s="3">
        <v>4142.3999999999996</v>
      </c>
      <c r="M98" s="1">
        <v>12</v>
      </c>
      <c r="N98" s="3">
        <v>49708.800000000003</v>
      </c>
      <c r="O98" s="4">
        <v>7.7</v>
      </c>
      <c r="P98" s="3">
        <v>45881.22</v>
      </c>
      <c r="Q98" s="4">
        <v>43.2</v>
      </c>
      <c r="R98" s="3">
        <v>19820.689999999999</v>
      </c>
      <c r="S98" s="1" t="s">
        <v>40</v>
      </c>
    </row>
    <row r="99" spans="1:19" x14ac:dyDescent="0.3">
      <c r="A99" s="5" t="s">
        <v>301</v>
      </c>
      <c r="B99" s="5" t="s">
        <v>302</v>
      </c>
      <c r="C99" s="5" t="s">
        <v>75</v>
      </c>
      <c r="D99" s="5" t="s">
        <v>60</v>
      </c>
      <c r="E99" s="6" t="s">
        <v>303</v>
      </c>
      <c r="F99" s="5" t="s">
        <v>62</v>
      </c>
      <c r="G99" s="5" t="s">
        <v>25</v>
      </c>
      <c r="H99" s="5" t="s">
        <v>26</v>
      </c>
      <c r="I99" s="5" t="s">
        <v>27</v>
      </c>
      <c r="J99" s="5" t="s">
        <v>28</v>
      </c>
      <c r="K99" s="5" t="s">
        <v>29</v>
      </c>
      <c r="L99" s="7">
        <v>2848.26</v>
      </c>
      <c r="M99" s="5">
        <v>24</v>
      </c>
      <c r="N99" s="7">
        <v>68358.240000000005</v>
      </c>
      <c r="O99" s="8">
        <v>15.9</v>
      </c>
      <c r="P99" s="7">
        <v>57489.279999999999</v>
      </c>
      <c r="Q99" s="8">
        <v>70.099999999999994</v>
      </c>
      <c r="R99" s="7">
        <v>40299.99</v>
      </c>
      <c r="S99" s="5" t="s">
        <v>79</v>
      </c>
    </row>
    <row r="100" spans="1:19" x14ac:dyDescent="0.3">
      <c r="A100" s="1" t="s">
        <v>304</v>
      </c>
      <c r="B100" s="1" t="s">
        <v>305</v>
      </c>
      <c r="C100" s="1" t="s">
        <v>75</v>
      </c>
      <c r="D100" s="1" t="s">
        <v>60</v>
      </c>
      <c r="E100" s="2" t="s">
        <v>306</v>
      </c>
      <c r="F100" s="1" t="s">
        <v>35</v>
      </c>
      <c r="G100" s="1" t="s">
        <v>109</v>
      </c>
      <c r="H100" s="1" t="s">
        <v>152</v>
      </c>
      <c r="I100" s="1" t="s">
        <v>47</v>
      </c>
      <c r="J100" s="1" t="s">
        <v>28</v>
      </c>
      <c r="K100" s="1" t="s">
        <v>149</v>
      </c>
      <c r="L100" s="3">
        <v>43966.7</v>
      </c>
      <c r="M100" s="1">
        <v>14</v>
      </c>
      <c r="N100" s="3">
        <v>615533.80000000005</v>
      </c>
      <c r="O100" s="4">
        <v>11.3</v>
      </c>
      <c r="P100" s="3">
        <v>545978.48</v>
      </c>
      <c r="Q100" s="4">
        <v>46.1</v>
      </c>
      <c r="R100" s="3">
        <v>251696.08</v>
      </c>
      <c r="S100" s="1" t="s">
        <v>40</v>
      </c>
    </row>
    <row r="101" spans="1:19" x14ac:dyDescent="0.3">
      <c r="A101" s="5" t="s">
        <v>307</v>
      </c>
      <c r="B101" s="5" t="s">
        <v>308</v>
      </c>
      <c r="C101" s="5" t="s">
        <v>135</v>
      </c>
      <c r="D101" s="5" t="s">
        <v>69</v>
      </c>
      <c r="E101" s="6" t="s">
        <v>44</v>
      </c>
      <c r="F101" s="5" t="s">
        <v>45</v>
      </c>
      <c r="G101" s="5" t="s">
        <v>63</v>
      </c>
      <c r="H101" s="5" t="s">
        <v>64</v>
      </c>
      <c r="I101" s="5" t="s">
        <v>55</v>
      </c>
      <c r="J101" s="5" t="s">
        <v>47</v>
      </c>
      <c r="K101" s="5" t="s">
        <v>88</v>
      </c>
      <c r="L101" s="7">
        <v>113.03</v>
      </c>
      <c r="M101" s="5">
        <v>14</v>
      </c>
      <c r="N101" s="7">
        <v>1582.42</v>
      </c>
      <c r="O101" s="8">
        <v>15.1</v>
      </c>
      <c r="P101" s="7">
        <v>1343.47</v>
      </c>
      <c r="Q101" s="8">
        <v>29.2</v>
      </c>
      <c r="R101" s="7">
        <v>392.29</v>
      </c>
      <c r="S101" s="5" t="s">
        <v>30</v>
      </c>
    </row>
    <row r="102" spans="1:19" x14ac:dyDescent="0.3">
      <c r="A102" s="1" t="s">
        <v>309</v>
      </c>
      <c r="B102" s="1" t="s">
        <v>67</v>
      </c>
      <c r="C102" s="1" t="s">
        <v>68</v>
      </c>
      <c r="D102" s="1" t="s">
        <v>69</v>
      </c>
      <c r="E102" s="2" t="s">
        <v>114</v>
      </c>
      <c r="F102" s="1" t="s">
        <v>45</v>
      </c>
      <c r="G102" s="1" t="s">
        <v>63</v>
      </c>
      <c r="H102" s="1" t="s">
        <v>64</v>
      </c>
      <c r="I102" s="1" t="s">
        <v>47</v>
      </c>
      <c r="J102" s="1" t="s">
        <v>28</v>
      </c>
      <c r="K102" s="1" t="s">
        <v>102</v>
      </c>
      <c r="L102" s="3">
        <v>519.04999999999995</v>
      </c>
      <c r="M102" s="1">
        <v>23</v>
      </c>
      <c r="N102" s="3">
        <v>11938.15</v>
      </c>
      <c r="O102" s="4">
        <v>5.2</v>
      </c>
      <c r="P102" s="3">
        <v>11317.37</v>
      </c>
      <c r="Q102" s="4">
        <v>24.2</v>
      </c>
      <c r="R102" s="3">
        <v>2738.8</v>
      </c>
      <c r="S102" s="1" t="s">
        <v>40</v>
      </c>
    </row>
    <row r="103" spans="1:19" x14ac:dyDescent="0.3">
      <c r="A103" s="5" t="s">
        <v>310</v>
      </c>
      <c r="B103" s="5" t="s">
        <v>311</v>
      </c>
      <c r="C103" s="5" t="s">
        <v>101</v>
      </c>
      <c r="D103" s="5" t="s">
        <v>60</v>
      </c>
      <c r="E103" s="6" t="s">
        <v>91</v>
      </c>
      <c r="F103" s="5" t="s">
        <v>52</v>
      </c>
      <c r="G103" s="5" t="s">
        <v>53</v>
      </c>
      <c r="H103" s="5" t="s">
        <v>71</v>
      </c>
      <c r="I103" s="5" t="s">
        <v>55</v>
      </c>
      <c r="J103" s="5" t="s">
        <v>93</v>
      </c>
      <c r="K103" s="5" t="s">
        <v>102</v>
      </c>
      <c r="L103" s="7">
        <v>4967.0600000000004</v>
      </c>
      <c r="M103" s="5">
        <v>21</v>
      </c>
      <c r="N103" s="7">
        <v>104308.26</v>
      </c>
      <c r="O103" s="8">
        <v>7.2</v>
      </c>
      <c r="P103" s="7">
        <v>96798.07</v>
      </c>
      <c r="Q103" s="8">
        <v>38.1</v>
      </c>
      <c r="R103" s="7">
        <v>36880.06</v>
      </c>
      <c r="S103" s="5" t="s">
        <v>40</v>
      </c>
    </row>
    <row r="104" spans="1:19" x14ac:dyDescent="0.3">
      <c r="A104" s="1" t="s">
        <v>312</v>
      </c>
      <c r="B104" s="1" t="s">
        <v>313</v>
      </c>
      <c r="C104" s="1" t="s">
        <v>135</v>
      </c>
      <c r="D104" s="1" t="s">
        <v>69</v>
      </c>
      <c r="E104" s="2" t="s">
        <v>213</v>
      </c>
      <c r="F104" s="1" t="s">
        <v>62</v>
      </c>
      <c r="G104" s="1" t="s">
        <v>63</v>
      </c>
      <c r="H104" s="1" t="s">
        <v>87</v>
      </c>
      <c r="I104" s="1" t="s">
        <v>27</v>
      </c>
      <c r="J104" s="1" t="s">
        <v>28</v>
      </c>
      <c r="K104" s="1" t="s">
        <v>159</v>
      </c>
      <c r="L104" s="3">
        <v>338.82</v>
      </c>
      <c r="M104" s="1">
        <v>15</v>
      </c>
      <c r="N104" s="3">
        <v>5082.3</v>
      </c>
      <c r="O104" s="4">
        <v>14</v>
      </c>
      <c r="P104" s="3">
        <v>4370.78</v>
      </c>
      <c r="Q104" s="4">
        <v>71.3</v>
      </c>
      <c r="R104" s="3">
        <v>3116.37</v>
      </c>
      <c r="S104" s="1" t="s">
        <v>40</v>
      </c>
    </row>
    <row r="105" spans="1:19" x14ac:dyDescent="0.3">
      <c r="A105" s="5" t="s">
        <v>314</v>
      </c>
      <c r="B105" s="5" t="s">
        <v>315</v>
      </c>
      <c r="C105" s="5" t="s">
        <v>75</v>
      </c>
      <c r="D105" s="5" t="s">
        <v>60</v>
      </c>
      <c r="E105" s="6" t="s">
        <v>201</v>
      </c>
      <c r="F105" s="5" t="s">
        <v>24</v>
      </c>
      <c r="G105" s="5" t="s">
        <v>63</v>
      </c>
      <c r="H105" s="5" t="s">
        <v>64</v>
      </c>
      <c r="I105" s="5" t="s">
        <v>55</v>
      </c>
      <c r="J105" s="5" t="s">
        <v>28</v>
      </c>
      <c r="K105" s="5" t="s">
        <v>29</v>
      </c>
      <c r="L105" s="7">
        <v>32014.22</v>
      </c>
      <c r="M105" s="5">
        <v>9</v>
      </c>
      <c r="N105" s="7">
        <v>288127.98</v>
      </c>
      <c r="O105" s="8">
        <v>24.6</v>
      </c>
      <c r="P105" s="7">
        <v>217248.5</v>
      </c>
      <c r="Q105" s="8">
        <v>24.8</v>
      </c>
      <c r="R105" s="7">
        <v>53877.63</v>
      </c>
      <c r="S105" s="5" t="s">
        <v>40</v>
      </c>
    </row>
    <row r="106" spans="1:19" x14ac:dyDescent="0.3">
      <c r="A106" s="1" t="s">
        <v>316</v>
      </c>
      <c r="B106" s="1" t="s">
        <v>127</v>
      </c>
      <c r="C106" s="1" t="s">
        <v>85</v>
      </c>
      <c r="D106" s="1" t="s">
        <v>86</v>
      </c>
      <c r="E106" s="2" t="s">
        <v>97</v>
      </c>
      <c r="F106" s="1" t="s">
        <v>35</v>
      </c>
      <c r="G106" s="1" t="s">
        <v>63</v>
      </c>
      <c r="H106" s="1" t="s">
        <v>167</v>
      </c>
      <c r="I106" s="1" t="s">
        <v>72</v>
      </c>
      <c r="J106" s="1" t="s">
        <v>65</v>
      </c>
      <c r="K106" s="1" t="s">
        <v>39</v>
      </c>
      <c r="L106" s="3">
        <v>21246.36</v>
      </c>
      <c r="M106" s="1">
        <v>21</v>
      </c>
      <c r="N106" s="3">
        <v>446173.56</v>
      </c>
      <c r="O106" s="4">
        <v>0</v>
      </c>
      <c r="P106" s="3">
        <v>446173.56</v>
      </c>
      <c r="Q106" s="4">
        <v>31.5</v>
      </c>
      <c r="R106" s="3">
        <v>140544.67000000001</v>
      </c>
      <c r="S106" s="1" t="s">
        <v>79</v>
      </c>
    </row>
    <row r="107" spans="1:19" x14ac:dyDescent="0.3">
      <c r="A107" s="5" t="s">
        <v>317</v>
      </c>
      <c r="B107" s="5" t="s">
        <v>272</v>
      </c>
      <c r="C107" s="5" t="s">
        <v>131</v>
      </c>
      <c r="D107" s="5" t="s">
        <v>69</v>
      </c>
      <c r="E107" s="6" t="s">
        <v>148</v>
      </c>
      <c r="F107" s="5" t="s">
        <v>52</v>
      </c>
      <c r="G107" s="5" t="s">
        <v>63</v>
      </c>
      <c r="H107" s="5" t="s">
        <v>64</v>
      </c>
      <c r="I107" s="5" t="s">
        <v>38</v>
      </c>
      <c r="J107" s="5" t="s">
        <v>28</v>
      </c>
      <c r="K107" s="5" t="s">
        <v>88</v>
      </c>
      <c r="L107" s="7">
        <v>4856.6099999999997</v>
      </c>
      <c r="M107" s="5">
        <v>5</v>
      </c>
      <c r="N107" s="7">
        <v>24283.05</v>
      </c>
      <c r="O107" s="8">
        <v>4</v>
      </c>
      <c r="P107" s="7">
        <v>23311.73</v>
      </c>
      <c r="Q107" s="8">
        <v>27.3</v>
      </c>
      <c r="R107" s="7">
        <v>6364.1</v>
      </c>
      <c r="S107" s="5" t="s">
        <v>79</v>
      </c>
    </row>
    <row r="108" spans="1:19" x14ac:dyDescent="0.3">
      <c r="A108" s="1" t="s">
        <v>318</v>
      </c>
      <c r="B108" s="1" t="s">
        <v>319</v>
      </c>
      <c r="C108" s="1" t="s">
        <v>85</v>
      </c>
      <c r="D108" s="1" t="s">
        <v>86</v>
      </c>
      <c r="E108" s="2" t="s">
        <v>320</v>
      </c>
      <c r="F108" s="1" t="s">
        <v>24</v>
      </c>
      <c r="G108" s="1" t="s">
        <v>25</v>
      </c>
      <c r="H108" s="1" t="s">
        <v>132</v>
      </c>
      <c r="I108" s="1" t="s">
        <v>38</v>
      </c>
      <c r="J108" s="1" t="s">
        <v>47</v>
      </c>
      <c r="K108" s="1" t="s">
        <v>39</v>
      </c>
      <c r="L108" s="3">
        <v>39268.57</v>
      </c>
      <c r="M108" s="1">
        <v>3</v>
      </c>
      <c r="N108" s="3">
        <v>117805.71</v>
      </c>
      <c r="O108" s="4">
        <v>0.3</v>
      </c>
      <c r="P108" s="3">
        <v>117452.29</v>
      </c>
      <c r="Q108" s="4">
        <v>29.1</v>
      </c>
      <c r="R108" s="3">
        <v>34178.620000000003</v>
      </c>
      <c r="S108" s="1" t="s">
        <v>40</v>
      </c>
    </row>
    <row r="109" spans="1:19" x14ac:dyDescent="0.3">
      <c r="A109" s="5" t="s">
        <v>321</v>
      </c>
      <c r="B109" s="5" t="s">
        <v>42</v>
      </c>
      <c r="C109" s="5" t="s">
        <v>43</v>
      </c>
      <c r="D109" s="5" t="s">
        <v>22</v>
      </c>
      <c r="E109" s="6" t="s">
        <v>320</v>
      </c>
      <c r="F109" s="5" t="s">
        <v>24</v>
      </c>
      <c r="G109" s="5" t="s">
        <v>25</v>
      </c>
      <c r="H109" s="5" t="s">
        <v>132</v>
      </c>
      <c r="I109" s="5" t="s">
        <v>38</v>
      </c>
      <c r="J109" s="5" t="s">
        <v>65</v>
      </c>
      <c r="K109" s="5" t="s">
        <v>159</v>
      </c>
      <c r="L109" s="7">
        <v>52823.87</v>
      </c>
      <c r="M109" s="5">
        <v>4</v>
      </c>
      <c r="N109" s="7">
        <v>211295.48</v>
      </c>
      <c r="O109" s="8">
        <v>1.8</v>
      </c>
      <c r="P109" s="7">
        <v>207492.16</v>
      </c>
      <c r="Q109" s="8">
        <v>28.5</v>
      </c>
      <c r="R109" s="7">
        <v>59135.27</v>
      </c>
      <c r="S109" s="5" t="s">
        <v>40</v>
      </c>
    </row>
    <row r="110" spans="1:19" x14ac:dyDescent="0.3">
      <c r="A110" s="1" t="s">
        <v>322</v>
      </c>
      <c r="B110" s="1" t="s">
        <v>323</v>
      </c>
      <c r="C110" s="1" t="s">
        <v>68</v>
      </c>
      <c r="D110" s="1" t="s">
        <v>69</v>
      </c>
      <c r="E110" s="2" t="s">
        <v>125</v>
      </c>
      <c r="F110" s="1" t="s">
        <v>62</v>
      </c>
      <c r="G110" s="1" t="s">
        <v>25</v>
      </c>
      <c r="H110" s="1" t="s">
        <v>132</v>
      </c>
      <c r="I110" s="1" t="s">
        <v>47</v>
      </c>
      <c r="J110" s="1" t="s">
        <v>28</v>
      </c>
      <c r="K110" s="1" t="s">
        <v>102</v>
      </c>
      <c r="L110" s="3">
        <v>2794.87</v>
      </c>
      <c r="M110" s="1">
        <v>13</v>
      </c>
      <c r="N110" s="3">
        <v>36333.31</v>
      </c>
      <c r="O110" s="4">
        <v>16.2</v>
      </c>
      <c r="P110" s="3">
        <v>30447.31</v>
      </c>
      <c r="Q110" s="4">
        <v>54</v>
      </c>
      <c r="R110" s="3">
        <v>16441.55</v>
      </c>
      <c r="S110" s="1" t="s">
        <v>40</v>
      </c>
    </row>
    <row r="111" spans="1:19" x14ac:dyDescent="0.3">
      <c r="A111" s="5" t="s">
        <v>324</v>
      </c>
      <c r="B111" s="5" t="s">
        <v>262</v>
      </c>
      <c r="C111" s="5" t="s">
        <v>43</v>
      </c>
      <c r="D111" s="5" t="s">
        <v>22</v>
      </c>
      <c r="E111" s="6" t="s">
        <v>206</v>
      </c>
      <c r="F111" s="5" t="s">
        <v>52</v>
      </c>
      <c r="G111" s="5" t="s">
        <v>53</v>
      </c>
      <c r="H111" s="5" t="s">
        <v>77</v>
      </c>
      <c r="I111" s="5" t="s">
        <v>47</v>
      </c>
      <c r="J111" s="5" t="s">
        <v>28</v>
      </c>
      <c r="K111" s="5" t="s">
        <v>78</v>
      </c>
      <c r="L111" s="7">
        <v>1476.1</v>
      </c>
      <c r="M111" s="5">
        <v>10</v>
      </c>
      <c r="N111" s="7">
        <v>14761</v>
      </c>
      <c r="O111" s="8">
        <v>20</v>
      </c>
      <c r="P111" s="7">
        <v>11808.8</v>
      </c>
      <c r="Q111" s="8">
        <v>42.8</v>
      </c>
      <c r="R111" s="7">
        <v>5054.17</v>
      </c>
      <c r="S111" s="5" t="s">
        <v>40</v>
      </c>
    </row>
    <row r="112" spans="1:19" x14ac:dyDescent="0.3">
      <c r="A112" s="1" t="s">
        <v>325</v>
      </c>
      <c r="B112" s="1" t="s">
        <v>326</v>
      </c>
      <c r="C112" s="1" t="s">
        <v>68</v>
      </c>
      <c r="D112" s="1" t="s">
        <v>69</v>
      </c>
      <c r="E112" s="2" t="s">
        <v>139</v>
      </c>
      <c r="F112" s="1" t="s">
        <v>45</v>
      </c>
      <c r="G112" s="1" t="s">
        <v>36</v>
      </c>
      <c r="H112" s="1" t="s">
        <v>119</v>
      </c>
      <c r="I112" s="1" t="s">
        <v>47</v>
      </c>
      <c r="J112" s="1" t="s">
        <v>28</v>
      </c>
      <c r="K112" s="1" t="s">
        <v>102</v>
      </c>
      <c r="L112" s="3">
        <v>474.54</v>
      </c>
      <c r="M112" s="1">
        <v>13</v>
      </c>
      <c r="N112" s="3">
        <v>6169.02</v>
      </c>
      <c r="O112" s="4">
        <v>23.7</v>
      </c>
      <c r="P112" s="3">
        <v>4706.96</v>
      </c>
      <c r="Q112" s="4">
        <v>39.299999999999997</v>
      </c>
      <c r="R112" s="3">
        <v>1849.84</v>
      </c>
      <c r="S112" s="1" t="s">
        <v>79</v>
      </c>
    </row>
    <row r="113" spans="1:19" x14ac:dyDescent="0.3">
      <c r="A113" s="5" t="s">
        <v>327</v>
      </c>
      <c r="B113" s="5" t="s">
        <v>328</v>
      </c>
      <c r="C113" s="5" t="s">
        <v>85</v>
      </c>
      <c r="D113" s="5" t="s">
        <v>86</v>
      </c>
      <c r="E113" s="6" t="s">
        <v>306</v>
      </c>
      <c r="F113" s="5" t="s">
        <v>35</v>
      </c>
      <c r="G113" s="5" t="s">
        <v>25</v>
      </c>
      <c r="H113" s="5" t="s">
        <v>26</v>
      </c>
      <c r="I113" s="5" t="s">
        <v>55</v>
      </c>
      <c r="J113" s="5" t="s">
        <v>65</v>
      </c>
      <c r="K113" s="5" t="s">
        <v>159</v>
      </c>
      <c r="L113" s="7">
        <v>14567.8</v>
      </c>
      <c r="M113" s="5">
        <v>5</v>
      </c>
      <c r="N113" s="7">
        <v>72839</v>
      </c>
      <c r="O113" s="8">
        <v>17.600000000000001</v>
      </c>
      <c r="P113" s="7">
        <v>60019.34</v>
      </c>
      <c r="Q113" s="8">
        <v>51.3</v>
      </c>
      <c r="R113" s="7">
        <v>30789.919999999998</v>
      </c>
      <c r="S113" s="5" t="s">
        <v>30</v>
      </c>
    </row>
    <row r="114" spans="1:19" x14ac:dyDescent="0.3">
      <c r="A114" s="1" t="s">
        <v>329</v>
      </c>
      <c r="B114" s="1" t="s">
        <v>330</v>
      </c>
      <c r="C114" s="1" t="s">
        <v>135</v>
      </c>
      <c r="D114" s="1" t="s">
        <v>69</v>
      </c>
      <c r="E114" s="2" t="s">
        <v>213</v>
      </c>
      <c r="F114" s="1" t="s">
        <v>62</v>
      </c>
      <c r="G114" s="1" t="s">
        <v>109</v>
      </c>
      <c r="H114" s="1" t="s">
        <v>110</v>
      </c>
      <c r="I114" s="1" t="s">
        <v>47</v>
      </c>
      <c r="J114" s="1" t="s">
        <v>65</v>
      </c>
      <c r="K114" s="1" t="s">
        <v>78</v>
      </c>
      <c r="L114" s="3">
        <v>313.2</v>
      </c>
      <c r="M114" s="1">
        <v>11</v>
      </c>
      <c r="N114" s="3">
        <v>3445.2</v>
      </c>
      <c r="O114" s="4">
        <v>15.7</v>
      </c>
      <c r="P114" s="3">
        <v>2904.3</v>
      </c>
      <c r="Q114" s="4">
        <v>52.8</v>
      </c>
      <c r="R114" s="3">
        <v>1533.47</v>
      </c>
      <c r="S114" s="1" t="s">
        <v>40</v>
      </c>
    </row>
    <row r="115" spans="1:19" x14ac:dyDescent="0.3">
      <c r="A115" s="5" t="s">
        <v>331</v>
      </c>
      <c r="B115" s="5" t="s">
        <v>151</v>
      </c>
      <c r="C115" s="5" t="s">
        <v>131</v>
      </c>
      <c r="D115" s="5" t="s">
        <v>69</v>
      </c>
      <c r="E115" s="6" t="s">
        <v>128</v>
      </c>
      <c r="F115" s="5" t="s">
        <v>45</v>
      </c>
      <c r="G115" s="5" t="s">
        <v>53</v>
      </c>
      <c r="H115" s="5" t="s">
        <v>98</v>
      </c>
      <c r="I115" s="5" t="s">
        <v>38</v>
      </c>
      <c r="J115" s="5" t="s">
        <v>47</v>
      </c>
      <c r="K115" s="5" t="s">
        <v>56</v>
      </c>
      <c r="L115" s="7">
        <v>1102.97</v>
      </c>
      <c r="M115" s="5">
        <v>22</v>
      </c>
      <c r="N115" s="7">
        <v>24265.34</v>
      </c>
      <c r="O115" s="8">
        <v>10.7</v>
      </c>
      <c r="P115" s="7">
        <v>21668.95</v>
      </c>
      <c r="Q115" s="8">
        <v>29.7</v>
      </c>
      <c r="R115" s="7">
        <v>6435.68</v>
      </c>
      <c r="S115" s="5" t="s">
        <v>40</v>
      </c>
    </row>
    <row r="116" spans="1:19" x14ac:dyDescent="0.3">
      <c r="A116" s="1" t="s">
        <v>332</v>
      </c>
      <c r="B116" s="1" t="s">
        <v>333</v>
      </c>
      <c r="C116" s="1" t="s">
        <v>96</v>
      </c>
      <c r="D116" s="1" t="s">
        <v>86</v>
      </c>
      <c r="E116" s="2" t="s">
        <v>246</v>
      </c>
      <c r="F116" s="1" t="s">
        <v>52</v>
      </c>
      <c r="G116" s="1" t="s">
        <v>53</v>
      </c>
      <c r="H116" s="1" t="s">
        <v>54</v>
      </c>
      <c r="I116" s="1" t="s">
        <v>55</v>
      </c>
      <c r="J116" s="1" t="s">
        <v>93</v>
      </c>
      <c r="K116" s="1" t="s">
        <v>111</v>
      </c>
      <c r="L116" s="3">
        <v>3295.31</v>
      </c>
      <c r="M116" s="1">
        <v>13</v>
      </c>
      <c r="N116" s="3">
        <v>42839.03</v>
      </c>
      <c r="O116" s="4">
        <v>19.100000000000001</v>
      </c>
      <c r="P116" s="3">
        <v>34656.78</v>
      </c>
      <c r="Q116" s="4">
        <v>36</v>
      </c>
      <c r="R116" s="3">
        <v>12476.44</v>
      </c>
      <c r="S116" s="1" t="s">
        <v>40</v>
      </c>
    </row>
    <row r="117" spans="1:19" x14ac:dyDescent="0.3">
      <c r="A117" s="5" t="s">
        <v>334</v>
      </c>
      <c r="B117" s="5" t="s">
        <v>134</v>
      </c>
      <c r="C117" s="5" t="s">
        <v>135</v>
      </c>
      <c r="D117" s="5" t="s">
        <v>69</v>
      </c>
      <c r="E117" s="6" t="s">
        <v>224</v>
      </c>
      <c r="F117" s="5" t="s">
        <v>166</v>
      </c>
      <c r="G117" s="5" t="s">
        <v>63</v>
      </c>
      <c r="H117" s="5" t="s">
        <v>167</v>
      </c>
      <c r="I117" s="5" t="s">
        <v>72</v>
      </c>
      <c r="J117" s="5" t="s">
        <v>65</v>
      </c>
      <c r="K117" s="5" t="s">
        <v>159</v>
      </c>
      <c r="L117" s="7">
        <v>2195.16</v>
      </c>
      <c r="M117" s="5">
        <v>23</v>
      </c>
      <c r="N117" s="7">
        <v>50488.68</v>
      </c>
      <c r="O117" s="8">
        <v>21.6</v>
      </c>
      <c r="P117" s="7">
        <v>39583.129999999997</v>
      </c>
      <c r="Q117" s="8">
        <v>60</v>
      </c>
      <c r="R117" s="7">
        <v>23749.88</v>
      </c>
      <c r="S117" s="5" t="s">
        <v>112</v>
      </c>
    </row>
    <row r="118" spans="1:19" x14ac:dyDescent="0.3">
      <c r="A118" s="1" t="s">
        <v>335</v>
      </c>
      <c r="B118" s="1" t="s">
        <v>336</v>
      </c>
      <c r="C118" s="1" t="s">
        <v>59</v>
      </c>
      <c r="D118" s="1" t="s">
        <v>60</v>
      </c>
      <c r="E118" s="2" t="s">
        <v>139</v>
      </c>
      <c r="F118" s="1" t="s">
        <v>45</v>
      </c>
      <c r="G118" s="1" t="s">
        <v>36</v>
      </c>
      <c r="H118" s="1" t="s">
        <v>105</v>
      </c>
      <c r="I118" s="1" t="s">
        <v>72</v>
      </c>
      <c r="J118" s="1" t="s">
        <v>65</v>
      </c>
      <c r="K118" s="1" t="s">
        <v>159</v>
      </c>
      <c r="L118" s="3">
        <v>743.22</v>
      </c>
      <c r="M118" s="1">
        <v>22</v>
      </c>
      <c r="N118" s="3">
        <v>16350.84</v>
      </c>
      <c r="O118" s="4">
        <v>1</v>
      </c>
      <c r="P118" s="3">
        <v>16187.33</v>
      </c>
      <c r="Q118" s="4">
        <v>18.2</v>
      </c>
      <c r="R118" s="3">
        <v>2946.09</v>
      </c>
      <c r="S118" s="1" t="s">
        <v>112</v>
      </c>
    </row>
    <row r="119" spans="1:19" x14ac:dyDescent="0.3">
      <c r="A119" s="5" t="s">
        <v>337</v>
      </c>
      <c r="B119" s="5" t="s">
        <v>262</v>
      </c>
      <c r="C119" s="5" t="s">
        <v>43</v>
      </c>
      <c r="D119" s="5" t="s">
        <v>22</v>
      </c>
      <c r="E119" s="6" t="s">
        <v>246</v>
      </c>
      <c r="F119" s="5" t="s">
        <v>52</v>
      </c>
      <c r="G119" s="5" t="s">
        <v>53</v>
      </c>
      <c r="H119" s="5" t="s">
        <v>77</v>
      </c>
      <c r="I119" s="5" t="s">
        <v>55</v>
      </c>
      <c r="J119" s="5" t="s">
        <v>28</v>
      </c>
      <c r="K119" s="5" t="s">
        <v>88</v>
      </c>
      <c r="L119" s="7">
        <v>2922.52</v>
      </c>
      <c r="M119" s="5">
        <v>10</v>
      </c>
      <c r="N119" s="7">
        <v>29225.200000000001</v>
      </c>
      <c r="O119" s="8">
        <v>7.2</v>
      </c>
      <c r="P119" s="7">
        <v>27120.99</v>
      </c>
      <c r="Q119" s="8">
        <v>41.5</v>
      </c>
      <c r="R119" s="7">
        <v>11255.21</v>
      </c>
      <c r="S119" s="5" t="s">
        <v>79</v>
      </c>
    </row>
    <row r="120" spans="1:19" x14ac:dyDescent="0.3">
      <c r="A120" s="1" t="s">
        <v>338</v>
      </c>
      <c r="B120" s="1" t="s">
        <v>339</v>
      </c>
      <c r="C120" s="1" t="s">
        <v>135</v>
      </c>
      <c r="D120" s="1" t="s">
        <v>69</v>
      </c>
      <c r="E120" s="2" t="s">
        <v>128</v>
      </c>
      <c r="F120" s="1" t="s">
        <v>45</v>
      </c>
      <c r="G120" s="1" t="s">
        <v>36</v>
      </c>
      <c r="H120" s="1" t="s">
        <v>37</v>
      </c>
      <c r="I120" s="1" t="s">
        <v>38</v>
      </c>
      <c r="J120" s="1" t="s">
        <v>47</v>
      </c>
      <c r="K120" s="1" t="s">
        <v>56</v>
      </c>
      <c r="L120" s="3">
        <v>950.1</v>
      </c>
      <c r="M120" s="1">
        <v>24</v>
      </c>
      <c r="N120" s="3">
        <v>22802.400000000001</v>
      </c>
      <c r="O120" s="4">
        <v>19.2</v>
      </c>
      <c r="P120" s="3">
        <v>18424.34</v>
      </c>
      <c r="Q120" s="4">
        <v>32.299999999999997</v>
      </c>
      <c r="R120" s="3">
        <v>5951.06</v>
      </c>
      <c r="S120" s="1" t="s">
        <v>112</v>
      </c>
    </row>
    <row r="121" spans="1:19" x14ac:dyDescent="0.3">
      <c r="A121" s="5" t="s">
        <v>340</v>
      </c>
      <c r="B121" s="5" t="s">
        <v>341</v>
      </c>
      <c r="C121" s="5" t="s">
        <v>68</v>
      </c>
      <c r="D121" s="5" t="s">
        <v>69</v>
      </c>
      <c r="E121" s="6" t="s">
        <v>320</v>
      </c>
      <c r="F121" s="5" t="s">
        <v>24</v>
      </c>
      <c r="G121" s="5" t="s">
        <v>36</v>
      </c>
      <c r="H121" s="5" t="s">
        <v>136</v>
      </c>
      <c r="I121" s="5" t="s">
        <v>72</v>
      </c>
      <c r="J121" s="5" t="s">
        <v>28</v>
      </c>
      <c r="K121" s="5" t="s">
        <v>78</v>
      </c>
      <c r="L121" s="7">
        <v>71181.100000000006</v>
      </c>
      <c r="M121" s="5">
        <v>6</v>
      </c>
      <c r="N121" s="7">
        <v>427086.6</v>
      </c>
      <c r="O121" s="8">
        <v>4.4000000000000004</v>
      </c>
      <c r="P121" s="7">
        <v>408294.79</v>
      </c>
      <c r="Q121" s="8">
        <v>13.6</v>
      </c>
      <c r="R121" s="7">
        <v>55528.09</v>
      </c>
      <c r="S121" s="5" t="s">
        <v>79</v>
      </c>
    </row>
    <row r="122" spans="1:19" x14ac:dyDescent="0.3">
      <c r="A122" s="1" t="s">
        <v>342</v>
      </c>
      <c r="B122" s="1" t="s">
        <v>343</v>
      </c>
      <c r="C122" s="1" t="s">
        <v>131</v>
      </c>
      <c r="D122" s="1" t="s">
        <v>69</v>
      </c>
      <c r="E122" s="2" t="s">
        <v>174</v>
      </c>
      <c r="F122" s="1" t="s">
        <v>45</v>
      </c>
      <c r="G122" s="1" t="s">
        <v>25</v>
      </c>
      <c r="H122" s="1" t="s">
        <v>215</v>
      </c>
      <c r="I122" s="1" t="s">
        <v>72</v>
      </c>
      <c r="J122" s="1" t="s">
        <v>28</v>
      </c>
      <c r="K122" s="1" t="s">
        <v>149</v>
      </c>
      <c r="L122" s="3">
        <v>1070.69</v>
      </c>
      <c r="M122" s="1">
        <v>21</v>
      </c>
      <c r="N122" s="3">
        <v>22484.49</v>
      </c>
      <c r="O122" s="4">
        <v>20.8</v>
      </c>
      <c r="P122" s="3">
        <v>17807.72</v>
      </c>
      <c r="Q122" s="4">
        <v>19.100000000000001</v>
      </c>
      <c r="R122" s="3">
        <v>3401.27</v>
      </c>
      <c r="S122" s="1" t="s">
        <v>79</v>
      </c>
    </row>
    <row r="123" spans="1:19" x14ac:dyDescent="0.3">
      <c r="A123" s="5" t="s">
        <v>344</v>
      </c>
      <c r="B123" s="5" t="s">
        <v>345</v>
      </c>
      <c r="C123" s="5" t="s">
        <v>117</v>
      </c>
      <c r="D123" s="5" t="s">
        <v>86</v>
      </c>
      <c r="E123" s="6" t="s">
        <v>346</v>
      </c>
      <c r="F123" s="5" t="s">
        <v>35</v>
      </c>
      <c r="G123" s="5" t="s">
        <v>109</v>
      </c>
      <c r="H123" s="5" t="s">
        <v>189</v>
      </c>
      <c r="I123" s="5" t="s">
        <v>27</v>
      </c>
      <c r="J123" s="5" t="s">
        <v>47</v>
      </c>
      <c r="K123" s="5" t="s">
        <v>159</v>
      </c>
      <c r="L123" s="7">
        <v>7585.8</v>
      </c>
      <c r="M123" s="5">
        <v>22</v>
      </c>
      <c r="N123" s="7">
        <v>166887.6</v>
      </c>
      <c r="O123" s="8">
        <v>17.600000000000001</v>
      </c>
      <c r="P123" s="7">
        <v>137515.38</v>
      </c>
      <c r="Q123" s="8">
        <v>34.700000000000003</v>
      </c>
      <c r="R123" s="7">
        <v>47717.84</v>
      </c>
      <c r="S123" s="5" t="s">
        <v>40</v>
      </c>
    </row>
    <row r="124" spans="1:19" x14ac:dyDescent="0.3">
      <c r="A124" s="1" t="s">
        <v>347</v>
      </c>
      <c r="B124" s="1" t="s">
        <v>274</v>
      </c>
      <c r="C124" s="1" t="s">
        <v>135</v>
      </c>
      <c r="D124" s="1" t="s">
        <v>69</v>
      </c>
      <c r="E124" s="2" t="s">
        <v>128</v>
      </c>
      <c r="F124" s="1" t="s">
        <v>45</v>
      </c>
      <c r="G124" s="1" t="s">
        <v>53</v>
      </c>
      <c r="H124" s="1" t="s">
        <v>54</v>
      </c>
      <c r="I124" s="1" t="s">
        <v>47</v>
      </c>
      <c r="J124" s="1" t="s">
        <v>28</v>
      </c>
      <c r="K124" s="1" t="s">
        <v>56</v>
      </c>
      <c r="L124" s="3">
        <v>1041.75</v>
      </c>
      <c r="M124" s="1">
        <v>1</v>
      </c>
      <c r="N124" s="3">
        <v>1041.75</v>
      </c>
      <c r="O124" s="4">
        <v>22.8</v>
      </c>
      <c r="P124" s="3">
        <v>804.23</v>
      </c>
      <c r="Q124" s="4">
        <v>34.299999999999997</v>
      </c>
      <c r="R124" s="3">
        <v>275.85000000000002</v>
      </c>
      <c r="S124" s="1" t="s">
        <v>40</v>
      </c>
    </row>
    <row r="125" spans="1:19" x14ac:dyDescent="0.3">
      <c r="A125" s="5" t="s">
        <v>348</v>
      </c>
      <c r="B125" s="5" t="s">
        <v>349</v>
      </c>
      <c r="C125" s="5" t="s">
        <v>75</v>
      </c>
      <c r="D125" s="5" t="s">
        <v>60</v>
      </c>
      <c r="E125" s="6" t="s">
        <v>148</v>
      </c>
      <c r="F125" s="5" t="s">
        <v>52</v>
      </c>
      <c r="G125" s="5" t="s">
        <v>109</v>
      </c>
      <c r="H125" s="5" t="s">
        <v>189</v>
      </c>
      <c r="I125" s="5" t="s">
        <v>72</v>
      </c>
      <c r="J125" s="5" t="s">
        <v>93</v>
      </c>
      <c r="K125" s="5" t="s">
        <v>56</v>
      </c>
      <c r="L125" s="7">
        <v>6970.01</v>
      </c>
      <c r="M125" s="5">
        <v>5</v>
      </c>
      <c r="N125" s="7">
        <v>34850.050000000003</v>
      </c>
      <c r="O125" s="8">
        <v>6.7</v>
      </c>
      <c r="P125" s="7">
        <v>32515.1</v>
      </c>
      <c r="Q125" s="8">
        <v>28.9</v>
      </c>
      <c r="R125" s="7">
        <v>9396.86</v>
      </c>
      <c r="S125" s="5" t="s">
        <v>40</v>
      </c>
    </row>
    <row r="126" spans="1:19" x14ac:dyDescent="0.3">
      <c r="A126" s="1" t="s">
        <v>350</v>
      </c>
      <c r="B126" s="1" t="s">
        <v>351</v>
      </c>
      <c r="C126" s="1" t="s">
        <v>117</v>
      </c>
      <c r="D126" s="1" t="s">
        <v>86</v>
      </c>
      <c r="E126" s="2" t="s">
        <v>142</v>
      </c>
      <c r="F126" s="1" t="s">
        <v>24</v>
      </c>
      <c r="G126" s="1" t="s">
        <v>109</v>
      </c>
      <c r="H126" s="1" t="s">
        <v>152</v>
      </c>
      <c r="I126" s="1" t="s">
        <v>72</v>
      </c>
      <c r="J126" s="1" t="s">
        <v>93</v>
      </c>
      <c r="K126" s="1" t="s">
        <v>78</v>
      </c>
      <c r="L126" s="3">
        <v>8507.09</v>
      </c>
      <c r="M126" s="1">
        <v>1</v>
      </c>
      <c r="N126" s="3">
        <v>8507.09</v>
      </c>
      <c r="O126" s="4">
        <v>1.1000000000000001</v>
      </c>
      <c r="P126" s="3">
        <v>8413.51</v>
      </c>
      <c r="Q126" s="4">
        <v>31.6</v>
      </c>
      <c r="R126" s="3">
        <v>2658.67</v>
      </c>
      <c r="S126" s="1" t="s">
        <v>40</v>
      </c>
    </row>
    <row r="127" spans="1:19" x14ac:dyDescent="0.3">
      <c r="A127" s="5" t="s">
        <v>352</v>
      </c>
      <c r="B127" s="5" t="s">
        <v>353</v>
      </c>
      <c r="C127" s="5" t="s">
        <v>68</v>
      </c>
      <c r="D127" s="5" t="s">
        <v>69</v>
      </c>
      <c r="E127" s="6" t="s">
        <v>217</v>
      </c>
      <c r="F127" s="5" t="s">
        <v>62</v>
      </c>
      <c r="G127" s="5" t="s">
        <v>109</v>
      </c>
      <c r="H127" s="5" t="s">
        <v>152</v>
      </c>
      <c r="I127" s="5" t="s">
        <v>47</v>
      </c>
      <c r="J127" s="5" t="s">
        <v>28</v>
      </c>
      <c r="K127" s="5" t="s">
        <v>78</v>
      </c>
      <c r="L127" s="7">
        <v>1885.01</v>
      </c>
      <c r="M127" s="5">
        <v>2</v>
      </c>
      <c r="N127" s="7">
        <v>3770.02</v>
      </c>
      <c r="O127" s="8">
        <v>20.100000000000001</v>
      </c>
      <c r="P127" s="7">
        <v>3012.25</v>
      </c>
      <c r="Q127" s="8">
        <v>52.8</v>
      </c>
      <c r="R127" s="7">
        <v>1590.47</v>
      </c>
      <c r="S127" s="5" t="s">
        <v>40</v>
      </c>
    </row>
    <row r="128" spans="1:19" x14ac:dyDescent="0.3">
      <c r="A128" s="1" t="s">
        <v>354</v>
      </c>
      <c r="B128" s="1" t="s">
        <v>355</v>
      </c>
      <c r="C128" s="1" t="s">
        <v>85</v>
      </c>
      <c r="D128" s="1" t="s">
        <v>86</v>
      </c>
      <c r="E128" s="2" t="s">
        <v>279</v>
      </c>
      <c r="F128" s="1" t="s">
        <v>166</v>
      </c>
      <c r="G128" s="1" t="s">
        <v>109</v>
      </c>
      <c r="H128" s="1" t="s">
        <v>110</v>
      </c>
      <c r="I128" s="1" t="s">
        <v>55</v>
      </c>
      <c r="J128" s="1" t="s">
        <v>93</v>
      </c>
      <c r="K128" s="1" t="s">
        <v>39</v>
      </c>
      <c r="L128" s="3">
        <v>1764.38</v>
      </c>
      <c r="M128" s="1">
        <v>17</v>
      </c>
      <c r="N128" s="3">
        <v>29994.46</v>
      </c>
      <c r="O128" s="4">
        <v>17.3</v>
      </c>
      <c r="P128" s="3">
        <v>24805.42</v>
      </c>
      <c r="Q128" s="4">
        <v>49.5</v>
      </c>
      <c r="R128" s="3">
        <v>12278.68</v>
      </c>
      <c r="S128" s="1" t="s">
        <v>79</v>
      </c>
    </row>
    <row r="129" spans="1:19" x14ac:dyDescent="0.3">
      <c r="A129" s="5" t="s">
        <v>356</v>
      </c>
      <c r="B129" s="5" t="s">
        <v>357</v>
      </c>
      <c r="C129" s="5" t="s">
        <v>96</v>
      </c>
      <c r="D129" s="5" t="s">
        <v>86</v>
      </c>
      <c r="E129" s="6" t="s">
        <v>358</v>
      </c>
      <c r="F129" s="5" t="s">
        <v>35</v>
      </c>
      <c r="G129" s="5" t="s">
        <v>36</v>
      </c>
      <c r="H129" s="5" t="s">
        <v>37</v>
      </c>
      <c r="I129" s="5" t="s">
        <v>55</v>
      </c>
      <c r="J129" s="5" t="s">
        <v>65</v>
      </c>
      <c r="K129" s="5" t="s">
        <v>78</v>
      </c>
      <c r="L129" s="7">
        <v>17607.669999999998</v>
      </c>
      <c r="M129" s="5">
        <v>3</v>
      </c>
      <c r="N129" s="7">
        <v>52823.01</v>
      </c>
      <c r="O129" s="8">
        <v>0.7</v>
      </c>
      <c r="P129" s="7">
        <v>52453.25</v>
      </c>
      <c r="Q129" s="8">
        <v>28.1</v>
      </c>
      <c r="R129" s="7">
        <v>14739.36</v>
      </c>
      <c r="S129" s="5" t="s">
        <v>40</v>
      </c>
    </row>
    <row r="130" spans="1:19" x14ac:dyDescent="0.3">
      <c r="A130" s="1" t="s">
        <v>359</v>
      </c>
      <c r="B130" s="1" t="s">
        <v>360</v>
      </c>
      <c r="C130" s="1" t="s">
        <v>59</v>
      </c>
      <c r="D130" s="1" t="s">
        <v>60</v>
      </c>
      <c r="E130" s="2" t="s">
        <v>142</v>
      </c>
      <c r="F130" s="1" t="s">
        <v>24</v>
      </c>
      <c r="G130" s="1" t="s">
        <v>25</v>
      </c>
      <c r="H130" s="1" t="s">
        <v>46</v>
      </c>
      <c r="I130" s="1" t="s">
        <v>47</v>
      </c>
      <c r="J130" s="1" t="s">
        <v>65</v>
      </c>
      <c r="K130" s="1" t="s">
        <v>29</v>
      </c>
      <c r="L130" s="3">
        <v>18749.53</v>
      </c>
      <c r="M130" s="1">
        <v>7</v>
      </c>
      <c r="N130" s="3">
        <v>131246.71</v>
      </c>
      <c r="O130" s="4">
        <v>24.1</v>
      </c>
      <c r="P130" s="3">
        <v>99616.25</v>
      </c>
      <c r="Q130" s="4">
        <v>27.1</v>
      </c>
      <c r="R130" s="3">
        <v>26996</v>
      </c>
      <c r="S130" s="1" t="s">
        <v>30</v>
      </c>
    </row>
    <row r="131" spans="1:19" x14ac:dyDescent="0.3">
      <c r="A131" s="5" t="s">
        <v>361</v>
      </c>
      <c r="B131" s="5" t="s">
        <v>362</v>
      </c>
      <c r="C131" s="5" t="s">
        <v>117</v>
      </c>
      <c r="D131" s="5" t="s">
        <v>86</v>
      </c>
      <c r="E131" s="6" t="s">
        <v>165</v>
      </c>
      <c r="F131" s="5" t="s">
        <v>166</v>
      </c>
      <c r="G131" s="5" t="s">
        <v>109</v>
      </c>
      <c r="H131" s="5" t="s">
        <v>110</v>
      </c>
      <c r="I131" s="5" t="s">
        <v>72</v>
      </c>
      <c r="J131" s="5" t="s">
        <v>93</v>
      </c>
      <c r="K131" s="5" t="s">
        <v>149</v>
      </c>
      <c r="L131" s="7">
        <v>683.06</v>
      </c>
      <c r="M131" s="5">
        <v>5</v>
      </c>
      <c r="N131" s="7">
        <v>3415.3</v>
      </c>
      <c r="O131" s="8">
        <v>1.1000000000000001</v>
      </c>
      <c r="P131" s="7">
        <v>3377.73</v>
      </c>
      <c r="Q131" s="8">
        <v>48</v>
      </c>
      <c r="R131" s="7">
        <v>1621.31</v>
      </c>
      <c r="S131" s="5" t="s">
        <v>79</v>
      </c>
    </row>
    <row r="132" spans="1:19" x14ac:dyDescent="0.3">
      <c r="A132" s="1" t="s">
        <v>363</v>
      </c>
      <c r="B132" s="1" t="s">
        <v>364</v>
      </c>
      <c r="C132" s="1" t="s">
        <v>59</v>
      </c>
      <c r="D132" s="1" t="s">
        <v>60</v>
      </c>
      <c r="E132" s="2" t="s">
        <v>358</v>
      </c>
      <c r="F132" s="1" t="s">
        <v>35</v>
      </c>
      <c r="G132" s="1" t="s">
        <v>53</v>
      </c>
      <c r="H132" s="1" t="s">
        <v>77</v>
      </c>
      <c r="I132" s="1" t="s">
        <v>38</v>
      </c>
      <c r="J132" s="1" t="s">
        <v>28</v>
      </c>
      <c r="K132" s="1" t="s">
        <v>78</v>
      </c>
      <c r="L132" s="3">
        <v>33195.449999999997</v>
      </c>
      <c r="M132" s="1">
        <v>19</v>
      </c>
      <c r="N132" s="3">
        <v>630713.55000000005</v>
      </c>
      <c r="O132" s="4">
        <v>4.2</v>
      </c>
      <c r="P132" s="3">
        <v>604223.57999999996</v>
      </c>
      <c r="Q132" s="4">
        <v>45.1</v>
      </c>
      <c r="R132" s="3">
        <v>272504.83</v>
      </c>
      <c r="S132" s="1" t="s">
        <v>40</v>
      </c>
    </row>
    <row r="133" spans="1:19" x14ac:dyDescent="0.3">
      <c r="A133" s="5" t="s">
        <v>365</v>
      </c>
      <c r="B133" s="5" t="s">
        <v>366</v>
      </c>
      <c r="C133" s="5" t="s">
        <v>117</v>
      </c>
      <c r="D133" s="5" t="s">
        <v>86</v>
      </c>
      <c r="E133" s="6" t="s">
        <v>177</v>
      </c>
      <c r="F133" s="5" t="s">
        <v>166</v>
      </c>
      <c r="G133" s="5" t="s">
        <v>63</v>
      </c>
      <c r="H133" s="5" t="s">
        <v>64</v>
      </c>
      <c r="I133" s="5" t="s">
        <v>47</v>
      </c>
      <c r="J133" s="5" t="s">
        <v>28</v>
      </c>
      <c r="K133" s="5" t="s">
        <v>78</v>
      </c>
      <c r="L133" s="7">
        <v>3515.09</v>
      </c>
      <c r="M133" s="5">
        <v>4</v>
      </c>
      <c r="N133" s="7">
        <v>14060.36</v>
      </c>
      <c r="O133" s="8">
        <v>3.1</v>
      </c>
      <c r="P133" s="7">
        <v>13624.49</v>
      </c>
      <c r="Q133" s="8">
        <v>50.3</v>
      </c>
      <c r="R133" s="7">
        <v>6853.12</v>
      </c>
      <c r="S133" s="5" t="s">
        <v>40</v>
      </c>
    </row>
    <row r="134" spans="1:19" x14ac:dyDescent="0.3">
      <c r="A134" s="1" t="s">
        <v>367</v>
      </c>
      <c r="B134" s="1" t="s">
        <v>179</v>
      </c>
      <c r="C134" s="1" t="s">
        <v>101</v>
      </c>
      <c r="D134" s="1" t="s">
        <v>60</v>
      </c>
      <c r="E134" s="2" t="s">
        <v>246</v>
      </c>
      <c r="F134" s="1" t="s">
        <v>52</v>
      </c>
      <c r="G134" s="1" t="s">
        <v>63</v>
      </c>
      <c r="H134" s="1" t="s">
        <v>167</v>
      </c>
      <c r="I134" s="1" t="s">
        <v>47</v>
      </c>
      <c r="J134" s="1" t="s">
        <v>93</v>
      </c>
      <c r="K134" s="1" t="s">
        <v>88</v>
      </c>
      <c r="L134" s="3">
        <v>4394.9799999999996</v>
      </c>
      <c r="M134" s="1">
        <v>11</v>
      </c>
      <c r="N134" s="3">
        <v>48344.78</v>
      </c>
      <c r="O134" s="4">
        <v>13.6</v>
      </c>
      <c r="P134" s="3">
        <v>41769.89</v>
      </c>
      <c r="Q134" s="4">
        <v>30.2</v>
      </c>
      <c r="R134" s="3">
        <v>12614.51</v>
      </c>
      <c r="S134" s="1" t="s">
        <v>40</v>
      </c>
    </row>
    <row r="135" spans="1:19" x14ac:dyDescent="0.3">
      <c r="A135" s="5" t="s">
        <v>368</v>
      </c>
      <c r="B135" s="5" t="s">
        <v>219</v>
      </c>
      <c r="C135" s="5" t="s">
        <v>101</v>
      </c>
      <c r="D135" s="5" t="s">
        <v>60</v>
      </c>
      <c r="E135" s="6" t="s">
        <v>346</v>
      </c>
      <c r="F135" s="5" t="s">
        <v>35</v>
      </c>
      <c r="G135" s="5" t="s">
        <v>63</v>
      </c>
      <c r="H135" s="5" t="s">
        <v>87</v>
      </c>
      <c r="I135" s="5" t="s">
        <v>27</v>
      </c>
      <c r="J135" s="5" t="s">
        <v>93</v>
      </c>
      <c r="K135" s="5" t="s">
        <v>48</v>
      </c>
      <c r="L135" s="7">
        <v>35918.71</v>
      </c>
      <c r="M135" s="5">
        <v>17</v>
      </c>
      <c r="N135" s="7">
        <v>610618.06999999995</v>
      </c>
      <c r="O135" s="8">
        <v>22.6</v>
      </c>
      <c r="P135" s="7">
        <v>472618.39</v>
      </c>
      <c r="Q135" s="8">
        <v>31.5</v>
      </c>
      <c r="R135" s="7">
        <v>148874.79</v>
      </c>
      <c r="S135" s="5" t="s">
        <v>40</v>
      </c>
    </row>
    <row r="136" spans="1:19" x14ac:dyDescent="0.3">
      <c r="A136" s="1" t="s">
        <v>369</v>
      </c>
      <c r="B136" s="1" t="s">
        <v>370</v>
      </c>
      <c r="C136" s="1" t="s">
        <v>68</v>
      </c>
      <c r="D136" s="1" t="s">
        <v>69</v>
      </c>
      <c r="E136" s="2" t="s">
        <v>128</v>
      </c>
      <c r="F136" s="1" t="s">
        <v>45</v>
      </c>
      <c r="G136" s="1" t="s">
        <v>109</v>
      </c>
      <c r="H136" s="1" t="s">
        <v>110</v>
      </c>
      <c r="I136" s="1" t="s">
        <v>72</v>
      </c>
      <c r="J136" s="1" t="s">
        <v>65</v>
      </c>
      <c r="K136" s="1" t="s">
        <v>56</v>
      </c>
      <c r="L136" s="3">
        <v>736.26</v>
      </c>
      <c r="M136" s="1">
        <v>22</v>
      </c>
      <c r="N136" s="3">
        <v>16197.72</v>
      </c>
      <c r="O136" s="4">
        <v>17.7</v>
      </c>
      <c r="P136" s="3">
        <v>13330.72</v>
      </c>
      <c r="Q136" s="4">
        <v>41.8</v>
      </c>
      <c r="R136" s="3">
        <v>5572.24</v>
      </c>
      <c r="S136" s="1" t="s">
        <v>40</v>
      </c>
    </row>
    <row r="137" spans="1:19" x14ac:dyDescent="0.3">
      <c r="A137" s="5" t="s">
        <v>371</v>
      </c>
      <c r="B137" s="5" t="s">
        <v>372</v>
      </c>
      <c r="C137" s="5" t="s">
        <v>59</v>
      </c>
      <c r="D137" s="5" t="s">
        <v>60</v>
      </c>
      <c r="E137" s="6" t="s">
        <v>256</v>
      </c>
      <c r="F137" s="5" t="s">
        <v>166</v>
      </c>
      <c r="G137" s="5" t="s">
        <v>53</v>
      </c>
      <c r="H137" s="5" t="s">
        <v>77</v>
      </c>
      <c r="I137" s="5" t="s">
        <v>47</v>
      </c>
      <c r="J137" s="5" t="s">
        <v>65</v>
      </c>
      <c r="K137" s="5" t="s">
        <v>48</v>
      </c>
      <c r="L137" s="7">
        <v>415.82</v>
      </c>
      <c r="M137" s="5">
        <v>22</v>
      </c>
      <c r="N137" s="7">
        <v>9148.0400000000009</v>
      </c>
      <c r="O137" s="8">
        <v>19.8</v>
      </c>
      <c r="P137" s="7">
        <v>7336.73</v>
      </c>
      <c r="Q137" s="8">
        <v>58.6</v>
      </c>
      <c r="R137" s="7">
        <v>4299.32</v>
      </c>
      <c r="S137" s="5" t="s">
        <v>40</v>
      </c>
    </row>
    <row r="138" spans="1:19" x14ac:dyDescent="0.3">
      <c r="A138" s="1" t="s">
        <v>373</v>
      </c>
      <c r="B138" s="1" t="s">
        <v>374</v>
      </c>
      <c r="C138" s="1" t="s">
        <v>96</v>
      </c>
      <c r="D138" s="1" t="s">
        <v>86</v>
      </c>
      <c r="E138" s="2" t="s">
        <v>70</v>
      </c>
      <c r="F138" s="1" t="s">
        <v>24</v>
      </c>
      <c r="G138" s="1" t="s">
        <v>25</v>
      </c>
      <c r="H138" s="1" t="s">
        <v>46</v>
      </c>
      <c r="I138" s="1" t="s">
        <v>55</v>
      </c>
      <c r="J138" s="1" t="s">
        <v>28</v>
      </c>
      <c r="K138" s="1" t="s">
        <v>78</v>
      </c>
      <c r="L138" s="3">
        <v>15947.25</v>
      </c>
      <c r="M138" s="1">
        <v>6</v>
      </c>
      <c r="N138" s="3">
        <v>95683.5</v>
      </c>
      <c r="O138" s="4">
        <v>23.6</v>
      </c>
      <c r="P138" s="3">
        <v>73102.19</v>
      </c>
      <c r="Q138" s="4">
        <v>22.4</v>
      </c>
      <c r="R138" s="3">
        <v>16374.89</v>
      </c>
      <c r="S138" s="1" t="s">
        <v>79</v>
      </c>
    </row>
    <row r="139" spans="1:19" x14ac:dyDescent="0.3">
      <c r="A139" s="5" t="s">
        <v>375</v>
      </c>
      <c r="B139" s="5" t="s">
        <v>376</v>
      </c>
      <c r="C139" s="5" t="s">
        <v>117</v>
      </c>
      <c r="D139" s="5" t="s">
        <v>86</v>
      </c>
      <c r="E139" s="6" t="s">
        <v>206</v>
      </c>
      <c r="F139" s="5" t="s">
        <v>52</v>
      </c>
      <c r="G139" s="5" t="s">
        <v>109</v>
      </c>
      <c r="H139" s="5" t="s">
        <v>152</v>
      </c>
      <c r="I139" s="5" t="s">
        <v>72</v>
      </c>
      <c r="J139" s="5" t="s">
        <v>93</v>
      </c>
      <c r="K139" s="5" t="s">
        <v>102</v>
      </c>
      <c r="L139" s="7">
        <v>5018.16</v>
      </c>
      <c r="M139" s="5">
        <v>17</v>
      </c>
      <c r="N139" s="7">
        <v>85308.72</v>
      </c>
      <c r="O139" s="8">
        <v>13.9</v>
      </c>
      <c r="P139" s="7">
        <v>73450.81</v>
      </c>
      <c r="Q139" s="8">
        <v>37.299999999999997</v>
      </c>
      <c r="R139" s="7">
        <v>27397.15</v>
      </c>
      <c r="S139" s="5" t="s">
        <v>40</v>
      </c>
    </row>
    <row r="140" spans="1:19" x14ac:dyDescent="0.3">
      <c r="A140" s="1" t="s">
        <v>377</v>
      </c>
      <c r="B140" s="1" t="s">
        <v>378</v>
      </c>
      <c r="C140" s="1" t="s">
        <v>101</v>
      </c>
      <c r="D140" s="1" t="s">
        <v>60</v>
      </c>
      <c r="E140" s="2" t="s">
        <v>256</v>
      </c>
      <c r="F140" s="1" t="s">
        <v>166</v>
      </c>
      <c r="G140" s="1" t="s">
        <v>36</v>
      </c>
      <c r="H140" s="1" t="s">
        <v>105</v>
      </c>
      <c r="I140" s="1" t="s">
        <v>72</v>
      </c>
      <c r="J140" s="1" t="s">
        <v>65</v>
      </c>
      <c r="K140" s="1" t="s">
        <v>111</v>
      </c>
      <c r="L140" s="3">
        <v>3822.61</v>
      </c>
      <c r="M140" s="1">
        <v>5</v>
      </c>
      <c r="N140" s="3">
        <v>19113.05</v>
      </c>
      <c r="O140" s="4">
        <v>4.5</v>
      </c>
      <c r="P140" s="3">
        <v>18252.96</v>
      </c>
      <c r="Q140" s="4">
        <v>46.2</v>
      </c>
      <c r="R140" s="3">
        <v>8432.8700000000008</v>
      </c>
      <c r="S140" s="1" t="s">
        <v>40</v>
      </c>
    </row>
    <row r="141" spans="1:19" x14ac:dyDescent="0.3">
      <c r="A141" s="5" t="s">
        <v>379</v>
      </c>
      <c r="B141" s="5" t="s">
        <v>380</v>
      </c>
      <c r="C141" s="5" t="s">
        <v>85</v>
      </c>
      <c r="D141" s="5" t="s">
        <v>86</v>
      </c>
      <c r="E141" s="6" t="s">
        <v>346</v>
      </c>
      <c r="F141" s="5" t="s">
        <v>35</v>
      </c>
      <c r="G141" s="5" t="s">
        <v>109</v>
      </c>
      <c r="H141" s="5" t="s">
        <v>152</v>
      </c>
      <c r="I141" s="5" t="s">
        <v>38</v>
      </c>
      <c r="J141" s="5" t="s">
        <v>47</v>
      </c>
      <c r="K141" s="5" t="s">
        <v>88</v>
      </c>
      <c r="L141" s="7">
        <v>29825.79</v>
      </c>
      <c r="M141" s="5">
        <v>5</v>
      </c>
      <c r="N141" s="7">
        <v>149128.95000000001</v>
      </c>
      <c r="O141" s="8">
        <v>21.4</v>
      </c>
      <c r="P141" s="7">
        <v>117215.35</v>
      </c>
      <c r="Q141" s="8">
        <v>30.3</v>
      </c>
      <c r="R141" s="7">
        <v>35516.25</v>
      </c>
      <c r="S141" s="5" t="s">
        <v>40</v>
      </c>
    </row>
    <row r="142" spans="1:19" x14ac:dyDescent="0.3">
      <c r="A142" s="1" t="s">
        <v>381</v>
      </c>
      <c r="B142" s="1" t="s">
        <v>382</v>
      </c>
      <c r="C142" s="1" t="s">
        <v>33</v>
      </c>
      <c r="D142" s="1" t="s">
        <v>22</v>
      </c>
      <c r="E142" s="2" t="s">
        <v>23</v>
      </c>
      <c r="F142" s="1" t="s">
        <v>24</v>
      </c>
      <c r="G142" s="1" t="s">
        <v>63</v>
      </c>
      <c r="H142" s="1" t="s">
        <v>92</v>
      </c>
      <c r="I142" s="1" t="s">
        <v>27</v>
      </c>
      <c r="J142" s="1" t="s">
        <v>47</v>
      </c>
      <c r="K142" s="1" t="s">
        <v>159</v>
      </c>
      <c r="L142" s="3">
        <v>7330.16</v>
      </c>
      <c r="M142" s="1">
        <v>6</v>
      </c>
      <c r="N142" s="3">
        <v>43980.959999999999</v>
      </c>
      <c r="O142" s="4">
        <v>13.6</v>
      </c>
      <c r="P142" s="3">
        <v>37999.550000000003</v>
      </c>
      <c r="Q142" s="4">
        <v>14.6</v>
      </c>
      <c r="R142" s="3">
        <v>5547.93</v>
      </c>
      <c r="S142" s="1" t="s">
        <v>112</v>
      </c>
    </row>
    <row r="143" spans="1:19" x14ac:dyDescent="0.3">
      <c r="A143" s="5" t="s">
        <v>383</v>
      </c>
      <c r="B143" s="5" t="s">
        <v>384</v>
      </c>
      <c r="C143" s="5" t="s">
        <v>96</v>
      </c>
      <c r="D143" s="5" t="s">
        <v>86</v>
      </c>
      <c r="E143" s="6" t="s">
        <v>184</v>
      </c>
      <c r="F143" s="5" t="s">
        <v>45</v>
      </c>
      <c r="G143" s="5" t="s">
        <v>36</v>
      </c>
      <c r="H143" s="5" t="s">
        <v>105</v>
      </c>
      <c r="I143" s="5" t="s">
        <v>47</v>
      </c>
      <c r="J143" s="5" t="s">
        <v>93</v>
      </c>
      <c r="K143" s="5" t="s">
        <v>78</v>
      </c>
      <c r="L143" s="7">
        <v>276.05</v>
      </c>
      <c r="M143" s="5">
        <v>10</v>
      </c>
      <c r="N143" s="7">
        <v>2760.5</v>
      </c>
      <c r="O143" s="8">
        <v>21.8</v>
      </c>
      <c r="P143" s="7">
        <v>2158.71</v>
      </c>
      <c r="Q143" s="8">
        <v>36.6</v>
      </c>
      <c r="R143" s="7">
        <v>790.09</v>
      </c>
      <c r="S143" s="5" t="s">
        <v>30</v>
      </c>
    </row>
    <row r="144" spans="1:19" x14ac:dyDescent="0.3">
      <c r="A144" s="1" t="s">
        <v>385</v>
      </c>
      <c r="B144" s="1" t="s">
        <v>100</v>
      </c>
      <c r="C144" s="1" t="s">
        <v>101</v>
      </c>
      <c r="D144" s="1" t="s">
        <v>60</v>
      </c>
      <c r="E144" s="2" t="s">
        <v>148</v>
      </c>
      <c r="F144" s="1" t="s">
        <v>52</v>
      </c>
      <c r="G144" s="1" t="s">
        <v>109</v>
      </c>
      <c r="H144" s="1" t="s">
        <v>152</v>
      </c>
      <c r="I144" s="1" t="s">
        <v>38</v>
      </c>
      <c r="J144" s="1" t="s">
        <v>47</v>
      </c>
      <c r="K144" s="1" t="s">
        <v>159</v>
      </c>
      <c r="L144" s="3">
        <v>4091.01</v>
      </c>
      <c r="M144" s="1">
        <v>24</v>
      </c>
      <c r="N144" s="3">
        <v>98184.24</v>
      </c>
      <c r="O144" s="4">
        <v>1.8</v>
      </c>
      <c r="P144" s="3">
        <v>96416.92</v>
      </c>
      <c r="Q144" s="4">
        <v>34.6</v>
      </c>
      <c r="R144" s="3">
        <v>33360.25</v>
      </c>
      <c r="S144" s="1" t="s">
        <v>79</v>
      </c>
    </row>
    <row r="145" spans="1:19" x14ac:dyDescent="0.3">
      <c r="A145" s="5" t="s">
        <v>386</v>
      </c>
      <c r="B145" s="5" t="s">
        <v>264</v>
      </c>
      <c r="C145" s="5" t="s">
        <v>33</v>
      </c>
      <c r="D145" s="5" t="s">
        <v>22</v>
      </c>
      <c r="E145" s="6" t="s">
        <v>279</v>
      </c>
      <c r="F145" s="5" t="s">
        <v>166</v>
      </c>
      <c r="G145" s="5" t="s">
        <v>25</v>
      </c>
      <c r="H145" s="5" t="s">
        <v>215</v>
      </c>
      <c r="I145" s="5" t="s">
        <v>55</v>
      </c>
      <c r="J145" s="5" t="s">
        <v>47</v>
      </c>
      <c r="K145" s="5" t="s">
        <v>39</v>
      </c>
      <c r="L145" s="7">
        <v>640.72</v>
      </c>
      <c r="M145" s="5">
        <v>11</v>
      </c>
      <c r="N145" s="7">
        <v>7047.92</v>
      </c>
      <c r="O145" s="8">
        <v>0.9</v>
      </c>
      <c r="P145" s="7">
        <v>6984.49</v>
      </c>
      <c r="Q145" s="8">
        <v>51.3</v>
      </c>
      <c r="R145" s="7">
        <v>3583.04</v>
      </c>
      <c r="S145" s="5" t="s">
        <v>30</v>
      </c>
    </row>
    <row r="146" spans="1:19" x14ac:dyDescent="0.3">
      <c r="A146" s="1" t="s">
        <v>387</v>
      </c>
      <c r="B146" s="1" t="s">
        <v>388</v>
      </c>
      <c r="C146" s="1" t="s">
        <v>68</v>
      </c>
      <c r="D146" s="1" t="s">
        <v>69</v>
      </c>
      <c r="E146" s="2" t="s">
        <v>180</v>
      </c>
      <c r="F146" s="1" t="s">
        <v>166</v>
      </c>
      <c r="G146" s="1" t="s">
        <v>109</v>
      </c>
      <c r="H146" s="1" t="s">
        <v>152</v>
      </c>
      <c r="I146" s="1" t="s">
        <v>38</v>
      </c>
      <c r="J146" s="1" t="s">
        <v>93</v>
      </c>
      <c r="K146" s="1" t="s">
        <v>149</v>
      </c>
      <c r="L146" s="3">
        <v>2117.48</v>
      </c>
      <c r="M146" s="1">
        <v>2</v>
      </c>
      <c r="N146" s="3">
        <v>4234.96</v>
      </c>
      <c r="O146" s="4">
        <v>15.7</v>
      </c>
      <c r="P146" s="3">
        <v>3570.07</v>
      </c>
      <c r="Q146" s="4">
        <v>42.7</v>
      </c>
      <c r="R146" s="3">
        <v>1524.42</v>
      </c>
      <c r="S146" s="1" t="s">
        <v>40</v>
      </c>
    </row>
    <row r="147" spans="1:19" x14ac:dyDescent="0.3">
      <c r="A147" s="5" t="s">
        <v>389</v>
      </c>
      <c r="B147" s="5" t="s">
        <v>20</v>
      </c>
      <c r="C147" s="5" t="s">
        <v>21</v>
      </c>
      <c r="D147" s="5" t="s">
        <v>22</v>
      </c>
      <c r="E147" s="6" t="s">
        <v>256</v>
      </c>
      <c r="F147" s="5" t="s">
        <v>166</v>
      </c>
      <c r="G147" s="5" t="s">
        <v>109</v>
      </c>
      <c r="H147" s="5" t="s">
        <v>189</v>
      </c>
      <c r="I147" s="5" t="s">
        <v>55</v>
      </c>
      <c r="J147" s="5" t="s">
        <v>65</v>
      </c>
      <c r="K147" s="5" t="s">
        <v>39</v>
      </c>
      <c r="L147" s="7">
        <v>2028.04</v>
      </c>
      <c r="M147" s="5">
        <v>23</v>
      </c>
      <c r="N147" s="7">
        <v>46644.92</v>
      </c>
      <c r="O147" s="8">
        <v>6.8</v>
      </c>
      <c r="P147" s="7">
        <v>43473.07</v>
      </c>
      <c r="Q147" s="8">
        <v>40.799999999999997</v>
      </c>
      <c r="R147" s="7">
        <v>17737.009999999998</v>
      </c>
      <c r="S147" s="5" t="s">
        <v>30</v>
      </c>
    </row>
    <row r="148" spans="1:19" x14ac:dyDescent="0.3">
      <c r="A148" s="1" t="s">
        <v>390</v>
      </c>
      <c r="B148" s="1" t="s">
        <v>391</v>
      </c>
      <c r="C148" s="1" t="s">
        <v>21</v>
      </c>
      <c r="D148" s="1" t="s">
        <v>22</v>
      </c>
      <c r="E148" s="2" t="s">
        <v>142</v>
      </c>
      <c r="F148" s="1" t="s">
        <v>24</v>
      </c>
      <c r="G148" s="1" t="s">
        <v>53</v>
      </c>
      <c r="H148" s="1" t="s">
        <v>77</v>
      </c>
      <c r="I148" s="1" t="s">
        <v>47</v>
      </c>
      <c r="J148" s="1" t="s">
        <v>65</v>
      </c>
      <c r="K148" s="1" t="s">
        <v>102</v>
      </c>
      <c r="L148" s="3">
        <v>5110.5200000000004</v>
      </c>
      <c r="M148" s="1">
        <v>17</v>
      </c>
      <c r="N148" s="3">
        <v>86878.84</v>
      </c>
      <c r="O148" s="4">
        <v>5.4</v>
      </c>
      <c r="P148" s="3">
        <v>82187.38</v>
      </c>
      <c r="Q148" s="4">
        <v>14.7</v>
      </c>
      <c r="R148" s="3">
        <v>12081.54</v>
      </c>
      <c r="S148" s="1" t="s">
        <v>40</v>
      </c>
    </row>
    <row r="149" spans="1:19" x14ac:dyDescent="0.3">
      <c r="A149" s="5" t="s">
        <v>392</v>
      </c>
      <c r="B149" s="5" t="s">
        <v>223</v>
      </c>
      <c r="C149" s="5" t="s">
        <v>33</v>
      </c>
      <c r="D149" s="5" t="s">
        <v>22</v>
      </c>
      <c r="E149" s="6" t="s">
        <v>246</v>
      </c>
      <c r="F149" s="5" t="s">
        <v>52</v>
      </c>
      <c r="G149" s="5" t="s">
        <v>36</v>
      </c>
      <c r="H149" s="5" t="s">
        <v>105</v>
      </c>
      <c r="I149" s="5" t="s">
        <v>72</v>
      </c>
      <c r="J149" s="5" t="s">
        <v>28</v>
      </c>
      <c r="K149" s="5" t="s">
        <v>111</v>
      </c>
      <c r="L149" s="7">
        <v>1906.56</v>
      </c>
      <c r="M149" s="5">
        <v>7</v>
      </c>
      <c r="N149" s="7">
        <v>13345.92</v>
      </c>
      <c r="O149" s="8">
        <v>20.100000000000001</v>
      </c>
      <c r="P149" s="7">
        <v>10663.39</v>
      </c>
      <c r="Q149" s="8">
        <v>40.200000000000003</v>
      </c>
      <c r="R149" s="7">
        <v>4286.68</v>
      </c>
      <c r="S149" s="5" t="s">
        <v>30</v>
      </c>
    </row>
    <row r="150" spans="1:19" x14ac:dyDescent="0.3">
      <c r="A150" s="1" t="s">
        <v>393</v>
      </c>
      <c r="B150" s="1" t="s">
        <v>394</v>
      </c>
      <c r="C150" s="1" t="s">
        <v>75</v>
      </c>
      <c r="D150" s="1" t="s">
        <v>60</v>
      </c>
      <c r="E150" s="2" t="s">
        <v>108</v>
      </c>
      <c r="F150" s="1" t="s">
        <v>35</v>
      </c>
      <c r="G150" s="1" t="s">
        <v>109</v>
      </c>
      <c r="H150" s="1" t="s">
        <v>189</v>
      </c>
      <c r="I150" s="1" t="s">
        <v>47</v>
      </c>
      <c r="J150" s="1" t="s">
        <v>65</v>
      </c>
      <c r="K150" s="1" t="s">
        <v>39</v>
      </c>
      <c r="L150" s="3">
        <v>14787.36</v>
      </c>
      <c r="M150" s="1">
        <v>1</v>
      </c>
      <c r="N150" s="3">
        <v>14787.36</v>
      </c>
      <c r="O150" s="4">
        <v>22.7</v>
      </c>
      <c r="P150" s="3">
        <v>11430.63</v>
      </c>
      <c r="Q150" s="4">
        <v>36.6</v>
      </c>
      <c r="R150" s="3">
        <v>4183.6099999999997</v>
      </c>
      <c r="S150" s="1" t="s">
        <v>40</v>
      </c>
    </row>
    <row r="151" spans="1:19" x14ac:dyDescent="0.3">
      <c r="A151" s="5" t="s">
        <v>395</v>
      </c>
      <c r="B151" s="5" t="s">
        <v>163</v>
      </c>
      <c r="C151" s="5" t="s">
        <v>21</v>
      </c>
      <c r="D151" s="5" t="s">
        <v>22</v>
      </c>
      <c r="E151" s="6" t="s">
        <v>279</v>
      </c>
      <c r="F151" s="5" t="s">
        <v>166</v>
      </c>
      <c r="G151" s="5" t="s">
        <v>63</v>
      </c>
      <c r="H151" s="5" t="s">
        <v>87</v>
      </c>
      <c r="I151" s="5" t="s">
        <v>47</v>
      </c>
      <c r="J151" s="5" t="s">
        <v>28</v>
      </c>
      <c r="K151" s="5" t="s">
        <v>88</v>
      </c>
      <c r="L151" s="7">
        <v>2322.14</v>
      </c>
      <c r="M151" s="5">
        <v>3</v>
      </c>
      <c r="N151" s="7">
        <v>6966.42</v>
      </c>
      <c r="O151" s="8">
        <v>3.9</v>
      </c>
      <c r="P151" s="7">
        <v>6694.73</v>
      </c>
      <c r="Q151" s="8">
        <v>53.2</v>
      </c>
      <c r="R151" s="7">
        <v>3561.6</v>
      </c>
      <c r="S151" s="5" t="s">
        <v>79</v>
      </c>
    </row>
    <row r="152" spans="1:19" x14ac:dyDescent="0.3">
      <c r="A152" s="1" t="s">
        <v>396</v>
      </c>
      <c r="B152" s="1" t="s">
        <v>397</v>
      </c>
      <c r="C152" s="1" t="s">
        <v>96</v>
      </c>
      <c r="D152" s="1" t="s">
        <v>86</v>
      </c>
      <c r="E152" s="2" t="s">
        <v>158</v>
      </c>
      <c r="F152" s="1" t="s">
        <v>35</v>
      </c>
      <c r="G152" s="1" t="s">
        <v>109</v>
      </c>
      <c r="H152" s="1" t="s">
        <v>189</v>
      </c>
      <c r="I152" s="1" t="s">
        <v>47</v>
      </c>
      <c r="J152" s="1" t="s">
        <v>93</v>
      </c>
      <c r="K152" s="1" t="s">
        <v>39</v>
      </c>
      <c r="L152" s="3">
        <v>14226.29</v>
      </c>
      <c r="M152" s="1">
        <v>24</v>
      </c>
      <c r="N152" s="3">
        <v>341430.96</v>
      </c>
      <c r="O152" s="4">
        <v>5.6</v>
      </c>
      <c r="P152" s="3">
        <v>322310.83</v>
      </c>
      <c r="Q152" s="4">
        <v>39.200000000000003</v>
      </c>
      <c r="R152" s="3">
        <v>126345.85</v>
      </c>
      <c r="S152" s="1" t="s">
        <v>40</v>
      </c>
    </row>
    <row r="153" spans="1:19" x14ac:dyDescent="0.3">
      <c r="A153" s="5" t="s">
        <v>398</v>
      </c>
      <c r="B153" s="5" t="s">
        <v>134</v>
      </c>
      <c r="C153" s="5" t="s">
        <v>135</v>
      </c>
      <c r="D153" s="5" t="s">
        <v>69</v>
      </c>
      <c r="E153" s="6" t="s">
        <v>303</v>
      </c>
      <c r="F153" s="5" t="s">
        <v>62</v>
      </c>
      <c r="G153" s="5" t="s">
        <v>63</v>
      </c>
      <c r="H153" s="5" t="s">
        <v>167</v>
      </c>
      <c r="I153" s="5" t="s">
        <v>38</v>
      </c>
      <c r="J153" s="5" t="s">
        <v>65</v>
      </c>
      <c r="K153" s="5" t="s">
        <v>56</v>
      </c>
      <c r="L153" s="7">
        <v>1584.11</v>
      </c>
      <c r="M153" s="5">
        <v>15</v>
      </c>
      <c r="N153" s="7">
        <v>23761.65</v>
      </c>
      <c r="O153" s="8">
        <v>10.3</v>
      </c>
      <c r="P153" s="7">
        <v>21314.2</v>
      </c>
      <c r="Q153" s="8">
        <v>48.3</v>
      </c>
      <c r="R153" s="7">
        <v>10294.76</v>
      </c>
      <c r="S153" s="5" t="s">
        <v>40</v>
      </c>
    </row>
    <row r="154" spans="1:19" x14ac:dyDescent="0.3">
      <c r="A154" s="1" t="s">
        <v>399</v>
      </c>
      <c r="B154" s="1" t="s">
        <v>20</v>
      </c>
      <c r="C154" s="1" t="s">
        <v>21</v>
      </c>
      <c r="D154" s="1" t="s">
        <v>22</v>
      </c>
      <c r="E154" s="2" t="s">
        <v>34</v>
      </c>
      <c r="F154" s="1" t="s">
        <v>35</v>
      </c>
      <c r="G154" s="1" t="s">
        <v>53</v>
      </c>
      <c r="H154" s="1" t="s">
        <v>98</v>
      </c>
      <c r="I154" s="1" t="s">
        <v>47</v>
      </c>
      <c r="J154" s="1" t="s">
        <v>47</v>
      </c>
      <c r="K154" s="1" t="s">
        <v>88</v>
      </c>
      <c r="L154" s="3">
        <v>9584.2800000000007</v>
      </c>
      <c r="M154" s="1">
        <v>18</v>
      </c>
      <c r="N154" s="3">
        <v>172517.04</v>
      </c>
      <c r="O154" s="4">
        <v>11.6</v>
      </c>
      <c r="P154" s="3">
        <v>152505.06</v>
      </c>
      <c r="Q154" s="4">
        <v>48.3</v>
      </c>
      <c r="R154" s="3">
        <v>73659.94</v>
      </c>
      <c r="S154" s="1" t="s">
        <v>40</v>
      </c>
    </row>
    <row r="155" spans="1:19" x14ac:dyDescent="0.3">
      <c r="A155" s="5" t="s">
        <v>400</v>
      </c>
      <c r="B155" s="5" t="s">
        <v>401</v>
      </c>
      <c r="C155" s="5" t="s">
        <v>101</v>
      </c>
      <c r="D155" s="5" t="s">
        <v>60</v>
      </c>
      <c r="E155" s="6" t="s">
        <v>61</v>
      </c>
      <c r="F155" s="5" t="s">
        <v>62</v>
      </c>
      <c r="G155" s="5" t="s">
        <v>25</v>
      </c>
      <c r="H155" s="5" t="s">
        <v>132</v>
      </c>
      <c r="I155" s="5" t="s">
        <v>38</v>
      </c>
      <c r="J155" s="5" t="s">
        <v>28</v>
      </c>
      <c r="K155" s="5" t="s">
        <v>88</v>
      </c>
      <c r="L155" s="7">
        <v>3264.3</v>
      </c>
      <c r="M155" s="5">
        <v>2</v>
      </c>
      <c r="N155" s="7">
        <v>6528.6</v>
      </c>
      <c r="O155" s="8">
        <v>11.5</v>
      </c>
      <c r="P155" s="7">
        <v>5777.81</v>
      </c>
      <c r="Q155" s="8">
        <v>69.099999999999994</v>
      </c>
      <c r="R155" s="7">
        <v>3992.47</v>
      </c>
      <c r="S155" s="5" t="s">
        <v>40</v>
      </c>
    </row>
    <row r="156" spans="1:19" x14ac:dyDescent="0.3">
      <c r="A156" s="1" t="s">
        <v>402</v>
      </c>
      <c r="B156" s="1" t="s">
        <v>403</v>
      </c>
      <c r="C156" s="1" t="s">
        <v>75</v>
      </c>
      <c r="D156" s="1" t="s">
        <v>60</v>
      </c>
      <c r="E156" s="2" t="s">
        <v>170</v>
      </c>
      <c r="F156" s="1" t="s">
        <v>52</v>
      </c>
      <c r="G156" s="1" t="s">
        <v>109</v>
      </c>
      <c r="H156" s="1" t="s">
        <v>189</v>
      </c>
      <c r="I156" s="1" t="s">
        <v>27</v>
      </c>
      <c r="J156" s="1" t="s">
        <v>93</v>
      </c>
      <c r="K156" s="1" t="s">
        <v>111</v>
      </c>
      <c r="L156" s="3">
        <v>4452.47</v>
      </c>
      <c r="M156" s="1">
        <v>13</v>
      </c>
      <c r="N156" s="3">
        <v>57882.11</v>
      </c>
      <c r="O156" s="4">
        <v>23.6</v>
      </c>
      <c r="P156" s="3">
        <v>44221.93</v>
      </c>
      <c r="Q156" s="4">
        <v>35.1</v>
      </c>
      <c r="R156" s="3">
        <v>15521.9</v>
      </c>
      <c r="S156" s="1" t="s">
        <v>40</v>
      </c>
    </row>
    <row r="157" spans="1:19" x14ac:dyDescent="0.3">
      <c r="A157" s="5" t="s">
        <v>404</v>
      </c>
      <c r="B157" s="5" t="s">
        <v>405</v>
      </c>
      <c r="C157" s="5" t="s">
        <v>68</v>
      </c>
      <c r="D157" s="5" t="s">
        <v>69</v>
      </c>
      <c r="E157" s="6" t="s">
        <v>118</v>
      </c>
      <c r="F157" s="5" t="s">
        <v>62</v>
      </c>
      <c r="G157" s="5" t="s">
        <v>53</v>
      </c>
      <c r="H157" s="5" t="s">
        <v>54</v>
      </c>
      <c r="I157" s="5" t="s">
        <v>72</v>
      </c>
      <c r="J157" s="5" t="s">
        <v>47</v>
      </c>
      <c r="K157" s="5" t="s">
        <v>159</v>
      </c>
      <c r="L157" s="7">
        <v>863.78</v>
      </c>
      <c r="M157" s="5">
        <v>22</v>
      </c>
      <c r="N157" s="7">
        <v>19003.16</v>
      </c>
      <c r="O157" s="8">
        <v>6.2</v>
      </c>
      <c r="P157" s="7">
        <v>17824.96</v>
      </c>
      <c r="Q157" s="8">
        <v>70.7</v>
      </c>
      <c r="R157" s="7">
        <v>12602.25</v>
      </c>
      <c r="S157" s="5" t="s">
        <v>40</v>
      </c>
    </row>
    <row r="158" spans="1:19" x14ac:dyDescent="0.3">
      <c r="A158" s="1" t="s">
        <v>406</v>
      </c>
      <c r="B158" s="1" t="s">
        <v>407</v>
      </c>
      <c r="C158" s="1" t="s">
        <v>59</v>
      </c>
      <c r="D158" s="1" t="s">
        <v>60</v>
      </c>
      <c r="E158" s="2" t="s">
        <v>246</v>
      </c>
      <c r="F158" s="1" t="s">
        <v>52</v>
      </c>
      <c r="G158" s="1" t="s">
        <v>53</v>
      </c>
      <c r="H158" s="1" t="s">
        <v>71</v>
      </c>
      <c r="I158" s="1" t="s">
        <v>55</v>
      </c>
      <c r="J158" s="1" t="s">
        <v>65</v>
      </c>
      <c r="K158" s="1" t="s">
        <v>56</v>
      </c>
      <c r="L158" s="3">
        <v>4629.7700000000004</v>
      </c>
      <c r="M158" s="1">
        <v>4</v>
      </c>
      <c r="N158" s="3">
        <v>18519.080000000002</v>
      </c>
      <c r="O158" s="4">
        <v>19.5</v>
      </c>
      <c r="P158" s="3">
        <v>14907.86</v>
      </c>
      <c r="Q158" s="4">
        <v>22.2</v>
      </c>
      <c r="R158" s="3">
        <v>3309.54</v>
      </c>
      <c r="S158" s="1" t="s">
        <v>40</v>
      </c>
    </row>
    <row r="159" spans="1:19" x14ac:dyDescent="0.3">
      <c r="A159" s="5" t="s">
        <v>408</v>
      </c>
      <c r="B159" s="5" t="s">
        <v>409</v>
      </c>
      <c r="C159" s="5" t="s">
        <v>101</v>
      </c>
      <c r="D159" s="5" t="s">
        <v>60</v>
      </c>
      <c r="E159" s="6" t="s">
        <v>410</v>
      </c>
      <c r="F159" s="5" t="s">
        <v>166</v>
      </c>
      <c r="G159" s="5" t="s">
        <v>36</v>
      </c>
      <c r="H159" s="5" t="s">
        <v>105</v>
      </c>
      <c r="I159" s="5" t="s">
        <v>27</v>
      </c>
      <c r="J159" s="5" t="s">
        <v>47</v>
      </c>
      <c r="K159" s="5" t="s">
        <v>39</v>
      </c>
      <c r="L159" s="7">
        <v>4323.32</v>
      </c>
      <c r="M159" s="5">
        <v>16</v>
      </c>
      <c r="N159" s="7">
        <v>69173.119999999995</v>
      </c>
      <c r="O159" s="8">
        <v>2.2000000000000002</v>
      </c>
      <c r="P159" s="7">
        <v>67651.31</v>
      </c>
      <c r="Q159" s="8">
        <v>38.4</v>
      </c>
      <c r="R159" s="7">
        <v>25978.1</v>
      </c>
      <c r="S159" s="5" t="s">
        <v>30</v>
      </c>
    </row>
    <row r="160" spans="1:19" x14ac:dyDescent="0.3">
      <c r="A160" s="1" t="s">
        <v>411</v>
      </c>
      <c r="B160" s="1" t="s">
        <v>412</v>
      </c>
      <c r="C160" s="1" t="s">
        <v>135</v>
      </c>
      <c r="D160" s="1" t="s">
        <v>69</v>
      </c>
      <c r="E160" s="2" t="s">
        <v>165</v>
      </c>
      <c r="F160" s="1" t="s">
        <v>166</v>
      </c>
      <c r="G160" s="1" t="s">
        <v>63</v>
      </c>
      <c r="H160" s="1" t="s">
        <v>87</v>
      </c>
      <c r="I160" s="1" t="s">
        <v>38</v>
      </c>
      <c r="J160" s="1" t="s">
        <v>93</v>
      </c>
      <c r="K160" s="1" t="s">
        <v>111</v>
      </c>
      <c r="L160" s="3">
        <v>2726.43</v>
      </c>
      <c r="M160" s="1">
        <v>2</v>
      </c>
      <c r="N160" s="3">
        <v>5452.86</v>
      </c>
      <c r="O160" s="4">
        <v>18.399999999999999</v>
      </c>
      <c r="P160" s="3">
        <v>4449.53</v>
      </c>
      <c r="Q160" s="4">
        <v>54.8</v>
      </c>
      <c r="R160" s="3">
        <v>2438.34</v>
      </c>
      <c r="S160" s="1" t="s">
        <v>79</v>
      </c>
    </row>
    <row r="161" spans="1:19" x14ac:dyDescent="0.3">
      <c r="A161" s="5" t="s">
        <v>413</v>
      </c>
      <c r="B161" s="5" t="s">
        <v>414</v>
      </c>
      <c r="C161" s="5" t="s">
        <v>101</v>
      </c>
      <c r="D161" s="5" t="s">
        <v>60</v>
      </c>
      <c r="E161" s="6" t="s">
        <v>158</v>
      </c>
      <c r="F161" s="5" t="s">
        <v>35</v>
      </c>
      <c r="G161" s="5" t="s">
        <v>25</v>
      </c>
      <c r="H161" s="5" t="s">
        <v>26</v>
      </c>
      <c r="I161" s="5" t="s">
        <v>72</v>
      </c>
      <c r="J161" s="5" t="s">
        <v>28</v>
      </c>
      <c r="K161" s="5" t="s">
        <v>29</v>
      </c>
      <c r="L161" s="7">
        <v>20562.95</v>
      </c>
      <c r="M161" s="5">
        <v>13</v>
      </c>
      <c r="N161" s="7">
        <v>267318.34999999998</v>
      </c>
      <c r="O161" s="8">
        <v>4.0999999999999996</v>
      </c>
      <c r="P161" s="7">
        <v>256358.3</v>
      </c>
      <c r="Q161" s="8">
        <v>34.5</v>
      </c>
      <c r="R161" s="7">
        <v>88443.61</v>
      </c>
      <c r="S161" s="5" t="s">
        <v>40</v>
      </c>
    </row>
    <row r="162" spans="1:19" x14ac:dyDescent="0.3">
      <c r="A162" s="1" t="s">
        <v>415</v>
      </c>
      <c r="B162" s="1" t="s">
        <v>416</v>
      </c>
      <c r="C162" s="1" t="s">
        <v>135</v>
      </c>
      <c r="D162" s="1" t="s">
        <v>69</v>
      </c>
      <c r="E162" s="2" t="s">
        <v>180</v>
      </c>
      <c r="F162" s="1" t="s">
        <v>166</v>
      </c>
      <c r="G162" s="1" t="s">
        <v>109</v>
      </c>
      <c r="H162" s="1" t="s">
        <v>110</v>
      </c>
      <c r="I162" s="1" t="s">
        <v>27</v>
      </c>
      <c r="J162" s="1" t="s">
        <v>28</v>
      </c>
      <c r="K162" s="1" t="s">
        <v>111</v>
      </c>
      <c r="L162" s="3">
        <v>1645.67</v>
      </c>
      <c r="M162" s="1">
        <v>23</v>
      </c>
      <c r="N162" s="3">
        <v>37850.410000000003</v>
      </c>
      <c r="O162" s="4">
        <v>23.9</v>
      </c>
      <c r="P162" s="3">
        <v>28804.16</v>
      </c>
      <c r="Q162" s="4">
        <v>46.9</v>
      </c>
      <c r="R162" s="3">
        <v>13509.15</v>
      </c>
      <c r="S162" s="1" t="s">
        <v>30</v>
      </c>
    </row>
    <row r="163" spans="1:19" x14ac:dyDescent="0.3">
      <c r="A163" s="5" t="s">
        <v>417</v>
      </c>
      <c r="B163" s="5" t="s">
        <v>232</v>
      </c>
      <c r="C163" s="5" t="s">
        <v>68</v>
      </c>
      <c r="D163" s="5" t="s">
        <v>69</v>
      </c>
      <c r="E163" s="6" t="s">
        <v>177</v>
      </c>
      <c r="F163" s="5" t="s">
        <v>166</v>
      </c>
      <c r="G163" s="5" t="s">
        <v>25</v>
      </c>
      <c r="H163" s="5" t="s">
        <v>132</v>
      </c>
      <c r="I163" s="5" t="s">
        <v>55</v>
      </c>
      <c r="J163" s="5" t="s">
        <v>65</v>
      </c>
      <c r="K163" s="5" t="s">
        <v>88</v>
      </c>
      <c r="L163" s="7">
        <v>4349.88</v>
      </c>
      <c r="M163" s="5">
        <v>3</v>
      </c>
      <c r="N163" s="7">
        <v>13049.64</v>
      </c>
      <c r="O163" s="8">
        <v>14.8</v>
      </c>
      <c r="P163" s="7">
        <v>11118.29</v>
      </c>
      <c r="Q163" s="8">
        <v>50.8</v>
      </c>
      <c r="R163" s="7">
        <v>5648.09</v>
      </c>
      <c r="S163" s="5" t="s">
        <v>40</v>
      </c>
    </row>
    <row r="164" spans="1:19" x14ac:dyDescent="0.3">
      <c r="A164" s="1" t="s">
        <v>418</v>
      </c>
      <c r="B164" s="1" t="s">
        <v>419</v>
      </c>
      <c r="C164" s="1" t="s">
        <v>85</v>
      </c>
      <c r="D164" s="1" t="s">
        <v>86</v>
      </c>
      <c r="E164" s="2" t="s">
        <v>91</v>
      </c>
      <c r="F164" s="1" t="s">
        <v>52</v>
      </c>
      <c r="G164" s="1" t="s">
        <v>63</v>
      </c>
      <c r="H164" s="1" t="s">
        <v>167</v>
      </c>
      <c r="I164" s="1" t="s">
        <v>55</v>
      </c>
      <c r="J164" s="1" t="s">
        <v>65</v>
      </c>
      <c r="K164" s="1" t="s">
        <v>29</v>
      </c>
      <c r="L164" s="3">
        <v>4736.99</v>
      </c>
      <c r="M164" s="1">
        <v>19</v>
      </c>
      <c r="N164" s="3">
        <v>90002.81</v>
      </c>
      <c r="O164" s="4">
        <v>22</v>
      </c>
      <c r="P164" s="3">
        <v>70202.19</v>
      </c>
      <c r="Q164" s="4">
        <v>26.1</v>
      </c>
      <c r="R164" s="3">
        <v>18322.77</v>
      </c>
      <c r="S164" s="1" t="s">
        <v>40</v>
      </c>
    </row>
    <row r="165" spans="1:19" x14ac:dyDescent="0.3">
      <c r="A165" s="5" t="s">
        <v>420</v>
      </c>
      <c r="B165" s="5" t="s">
        <v>421</v>
      </c>
      <c r="C165" s="5" t="s">
        <v>21</v>
      </c>
      <c r="D165" s="5" t="s">
        <v>22</v>
      </c>
      <c r="E165" s="6" t="s">
        <v>139</v>
      </c>
      <c r="F165" s="5" t="s">
        <v>45</v>
      </c>
      <c r="G165" s="5" t="s">
        <v>63</v>
      </c>
      <c r="H165" s="5" t="s">
        <v>167</v>
      </c>
      <c r="I165" s="5" t="s">
        <v>27</v>
      </c>
      <c r="J165" s="5" t="s">
        <v>65</v>
      </c>
      <c r="K165" s="5" t="s">
        <v>78</v>
      </c>
      <c r="L165" s="7">
        <v>226.12</v>
      </c>
      <c r="M165" s="5">
        <v>22</v>
      </c>
      <c r="N165" s="7">
        <v>4974.6400000000003</v>
      </c>
      <c r="O165" s="8">
        <v>24.1</v>
      </c>
      <c r="P165" s="7">
        <v>3775.75</v>
      </c>
      <c r="Q165" s="8">
        <v>18.7</v>
      </c>
      <c r="R165" s="7">
        <v>706.07</v>
      </c>
      <c r="S165" s="5" t="s">
        <v>40</v>
      </c>
    </row>
    <row r="166" spans="1:19" x14ac:dyDescent="0.3">
      <c r="A166" s="1" t="s">
        <v>422</v>
      </c>
      <c r="B166" s="1" t="s">
        <v>423</v>
      </c>
      <c r="C166" s="1" t="s">
        <v>101</v>
      </c>
      <c r="D166" s="1" t="s">
        <v>60</v>
      </c>
      <c r="E166" s="2" t="s">
        <v>358</v>
      </c>
      <c r="F166" s="1" t="s">
        <v>35</v>
      </c>
      <c r="G166" s="1" t="s">
        <v>25</v>
      </c>
      <c r="H166" s="1" t="s">
        <v>26</v>
      </c>
      <c r="I166" s="1" t="s">
        <v>72</v>
      </c>
      <c r="J166" s="1" t="s">
        <v>65</v>
      </c>
      <c r="K166" s="1" t="s">
        <v>39</v>
      </c>
      <c r="L166" s="3">
        <v>9771.5</v>
      </c>
      <c r="M166" s="1">
        <v>13</v>
      </c>
      <c r="N166" s="3">
        <v>127029.5</v>
      </c>
      <c r="O166" s="4">
        <v>12.4</v>
      </c>
      <c r="P166" s="3">
        <v>111277.84</v>
      </c>
      <c r="Q166" s="4">
        <v>51</v>
      </c>
      <c r="R166" s="3">
        <v>56751.7</v>
      </c>
      <c r="S166" s="1" t="s">
        <v>40</v>
      </c>
    </row>
    <row r="167" spans="1:19" x14ac:dyDescent="0.3">
      <c r="A167" s="5" t="s">
        <v>424</v>
      </c>
      <c r="B167" s="5" t="s">
        <v>425</v>
      </c>
      <c r="C167" s="5" t="s">
        <v>96</v>
      </c>
      <c r="D167" s="5" t="s">
        <v>86</v>
      </c>
      <c r="E167" s="6" t="s">
        <v>128</v>
      </c>
      <c r="F167" s="5" t="s">
        <v>45</v>
      </c>
      <c r="G167" s="5" t="s">
        <v>36</v>
      </c>
      <c r="H167" s="5" t="s">
        <v>119</v>
      </c>
      <c r="I167" s="5" t="s">
        <v>55</v>
      </c>
      <c r="J167" s="5" t="s">
        <v>47</v>
      </c>
      <c r="K167" s="5" t="s">
        <v>149</v>
      </c>
      <c r="L167" s="7">
        <v>700.84</v>
      </c>
      <c r="M167" s="5">
        <v>2</v>
      </c>
      <c r="N167" s="7">
        <v>1401.68</v>
      </c>
      <c r="O167" s="8">
        <v>22.4</v>
      </c>
      <c r="P167" s="7">
        <v>1087.7</v>
      </c>
      <c r="Q167" s="8">
        <v>35</v>
      </c>
      <c r="R167" s="7">
        <v>380.69</v>
      </c>
      <c r="S167" s="5" t="s">
        <v>40</v>
      </c>
    </row>
    <row r="168" spans="1:19" x14ac:dyDescent="0.3">
      <c r="A168" s="1" t="s">
        <v>426</v>
      </c>
      <c r="B168" s="1" t="s">
        <v>427</v>
      </c>
      <c r="C168" s="1" t="s">
        <v>135</v>
      </c>
      <c r="D168" s="1" t="s">
        <v>69</v>
      </c>
      <c r="E168" s="2" t="s">
        <v>145</v>
      </c>
      <c r="F168" s="1" t="s">
        <v>62</v>
      </c>
      <c r="G168" s="1" t="s">
        <v>25</v>
      </c>
      <c r="H168" s="1" t="s">
        <v>215</v>
      </c>
      <c r="I168" s="1" t="s">
        <v>55</v>
      </c>
      <c r="J168" s="1" t="s">
        <v>28</v>
      </c>
      <c r="K168" s="1" t="s">
        <v>39</v>
      </c>
      <c r="L168" s="3">
        <v>1760.05</v>
      </c>
      <c r="M168" s="1">
        <v>19</v>
      </c>
      <c r="N168" s="3">
        <v>33440.949999999997</v>
      </c>
      <c r="O168" s="4">
        <v>9</v>
      </c>
      <c r="P168" s="3">
        <v>30431.26</v>
      </c>
      <c r="Q168" s="4">
        <v>58.3</v>
      </c>
      <c r="R168" s="3">
        <v>17741.419999999998</v>
      </c>
      <c r="S168" s="1" t="s">
        <v>40</v>
      </c>
    </row>
    <row r="169" spans="1:19" x14ac:dyDescent="0.3">
      <c r="A169" s="5" t="s">
        <v>428</v>
      </c>
      <c r="B169" s="5" t="s">
        <v>429</v>
      </c>
      <c r="C169" s="5" t="s">
        <v>135</v>
      </c>
      <c r="D169" s="5" t="s">
        <v>69</v>
      </c>
      <c r="E169" s="6" t="s">
        <v>148</v>
      </c>
      <c r="F169" s="5" t="s">
        <v>52</v>
      </c>
      <c r="G169" s="5" t="s">
        <v>53</v>
      </c>
      <c r="H169" s="5" t="s">
        <v>98</v>
      </c>
      <c r="I169" s="5" t="s">
        <v>72</v>
      </c>
      <c r="J169" s="5" t="s">
        <v>93</v>
      </c>
      <c r="K169" s="5" t="s">
        <v>39</v>
      </c>
      <c r="L169" s="7">
        <v>3113.03</v>
      </c>
      <c r="M169" s="5">
        <v>10</v>
      </c>
      <c r="N169" s="7">
        <v>31130.3</v>
      </c>
      <c r="O169" s="8">
        <v>24.3</v>
      </c>
      <c r="P169" s="7">
        <v>23565.64</v>
      </c>
      <c r="Q169" s="8">
        <v>36.1</v>
      </c>
      <c r="R169" s="7">
        <v>8507.2000000000007</v>
      </c>
      <c r="S169" s="5" t="s">
        <v>40</v>
      </c>
    </row>
    <row r="170" spans="1:19" x14ac:dyDescent="0.3">
      <c r="A170" s="1" t="s">
        <v>430</v>
      </c>
      <c r="B170" s="1" t="s">
        <v>431</v>
      </c>
      <c r="C170" s="1" t="s">
        <v>21</v>
      </c>
      <c r="D170" s="1" t="s">
        <v>22</v>
      </c>
      <c r="E170" s="2" t="s">
        <v>206</v>
      </c>
      <c r="F170" s="1" t="s">
        <v>52</v>
      </c>
      <c r="G170" s="1" t="s">
        <v>109</v>
      </c>
      <c r="H170" s="1" t="s">
        <v>110</v>
      </c>
      <c r="I170" s="1" t="s">
        <v>55</v>
      </c>
      <c r="J170" s="1" t="s">
        <v>93</v>
      </c>
      <c r="K170" s="1" t="s">
        <v>102</v>
      </c>
      <c r="L170" s="3">
        <v>5120.75</v>
      </c>
      <c r="M170" s="1">
        <v>7</v>
      </c>
      <c r="N170" s="3">
        <v>35845.25</v>
      </c>
      <c r="O170" s="4">
        <v>12.8</v>
      </c>
      <c r="P170" s="3">
        <v>31257.06</v>
      </c>
      <c r="Q170" s="4">
        <v>45.3</v>
      </c>
      <c r="R170" s="3">
        <v>14159.45</v>
      </c>
      <c r="S170" s="1" t="s">
        <v>30</v>
      </c>
    </row>
    <row r="171" spans="1:19" x14ac:dyDescent="0.3">
      <c r="A171" s="5" t="s">
        <v>432</v>
      </c>
      <c r="B171" s="5" t="s">
        <v>433</v>
      </c>
      <c r="C171" s="5" t="s">
        <v>131</v>
      </c>
      <c r="D171" s="5" t="s">
        <v>69</v>
      </c>
      <c r="E171" s="6" t="s">
        <v>155</v>
      </c>
      <c r="F171" s="5" t="s">
        <v>24</v>
      </c>
      <c r="G171" s="5" t="s">
        <v>109</v>
      </c>
      <c r="H171" s="5" t="s">
        <v>152</v>
      </c>
      <c r="I171" s="5" t="s">
        <v>47</v>
      </c>
      <c r="J171" s="5" t="s">
        <v>93</v>
      </c>
      <c r="K171" s="5" t="s">
        <v>149</v>
      </c>
      <c r="L171" s="7">
        <v>56161.17</v>
      </c>
      <c r="M171" s="5">
        <v>11</v>
      </c>
      <c r="N171" s="7">
        <v>617772.87</v>
      </c>
      <c r="O171" s="8">
        <v>23.6</v>
      </c>
      <c r="P171" s="7">
        <v>471978.47</v>
      </c>
      <c r="Q171" s="8">
        <v>26.2</v>
      </c>
      <c r="R171" s="7">
        <v>123658.36</v>
      </c>
      <c r="S171" s="5" t="s">
        <v>112</v>
      </c>
    </row>
    <row r="172" spans="1:19" x14ac:dyDescent="0.3">
      <c r="A172" s="1" t="s">
        <v>434</v>
      </c>
      <c r="B172" s="1" t="s">
        <v>435</v>
      </c>
      <c r="C172" s="1" t="s">
        <v>96</v>
      </c>
      <c r="D172" s="1" t="s">
        <v>86</v>
      </c>
      <c r="E172" s="2" t="s">
        <v>158</v>
      </c>
      <c r="F172" s="1" t="s">
        <v>35</v>
      </c>
      <c r="G172" s="1" t="s">
        <v>25</v>
      </c>
      <c r="H172" s="1" t="s">
        <v>132</v>
      </c>
      <c r="I172" s="1" t="s">
        <v>47</v>
      </c>
      <c r="J172" s="1" t="s">
        <v>47</v>
      </c>
      <c r="K172" s="1" t="s">
        <v>29</v>
      </c>
      <c r="L172" s="3">
        <v>34052</v>
      </c>
      <c r="M172" s="1">
        <v>8</v>
      </c>
      <c r="N172" s="3">
        <v>272416</v>
      </c>
      <c r="O172" s="4">
        <v>15.9</v>
      </c>
      <c r="P172" s="3">
        <v>229101.86</v>
      </c>
      <c r="Q172" s="4">
        <v>42.8</v>
      </c>
      <c r="R172" s="3">
        <v>98055.6</v>
      </c>
      <c r="S172" s="1" t="s">
        <v>79</v>
      </c>
    </row>
    <row r="173" spans="1:19" x14ac:dyDescent="0.3">
      <c r="A173" s="5" t="s">
        <v>436</v>
      </c>
      <c r="B173" s="5" t="s">
        <v>437</v>
      </c>
      <c r="C173" s="5" t="s">
        <v>85</v>
      </c>
      <c r="D173" s="5" t="s">
        <v>86</v>
      </c>
      <c r="E173" s="6" t="s">
        <v>51</v>
      </c>
      <c r="F173" s="5" t="s">
        <v>52</v>
      </c>
      <c r="G173" s="5" t="s">
        <v>109</v>
      </c>
      <c r="H173" s="5" t="s">
        <v>152</v>
      </c>
      <c r="I173" s="5" t="s">
        <v>47</v>
      </c>
      <c r="J173" s="5" t="s">
        <v>47</v>
      </c>
      <c r="K173" s="5" t="s">
        <v>159</v>
      </c>
      <c r="L173" s="7">
        <v>7725.55</v>
      </c>
      <c r="M173" s="5">
        <v>20</v>
      </c>
      <c r="N173" s="7">
        <v>154511</v>
      </c>
      <c r="O173" s="8">
        <v>4.0999999999999996</v>
      </c>
      <c r="P173" s="7">
        <v>148176.04999999999</v>
      </c>
      <c r="Q173" s="8">
        <v>42.9</v>
      </c>
      <c r="R173" s="7">
        <v>63567.53</v>
      </c>
      <c r="S173" s="5" t="s">
        <v>79</v>
      </c>
    </row>
    <row r="174" spans="1:19" x14ac:dyDescent="0.3">
      <c r="A174" s="1" t="s">
        <v>438</v>
      </c>
      <c r="B174" s="1" t="s">
        <v>439</v>
      </c>
      <c r="C174" s="1" t="s">
        <v>43</v>
      </c>
      <c r="D174" s="1" t="s">
        <v>22</v>
      </c>
      <c r="E174" s="2" t="s">
        <v>70</v>
      </c>
      <c r="F174" s="1" t="s">
        <v>24</v>
      </c>
      <c r="G174" s="1" t="s">
        <v>25</v>
      </c>
      <c r="H174" s="1" t="s">
        <v>26</v>
      </c>
      <c r="I174" s="1" t="s">
        <v>27</v>
      </c>
      <c r="J174" s="1" t="s">
        <v>47</v>
      </c>
      <c r="K174" s="1" t="s">
        <v>102</v>
      </c>
      <c r="L174" s="3">
        <v>19871.46</v>
      </c>
      <c r="M174" s="1">
        <v>16</v>
      </c>
      <c r="N174" s="3">
        <v>317943.36</v>
      </c>
      <c r="O174" s="4">
        <v>5.4</v>
      </c>
      <c r="P174" s="3">
        <v>300774.42</v>
      </c>
      <c r="Q174" s="4">
        <v>24.5</v>
      </c>
      <c r="R174" s="3">
        <v>73689.73</v>
      </c>
      <c r="S174" s="1" t="s">
        <v>40</v>
      </c>
    </row>
    <row r="175" spans="1:19" x14ac:dyDescent="0.3">
      <c r="A175" s="5" t="s">
        <v>440</v>
      </c>
      <c r="B175" s="5" t="s">
        <v>364</v>
      </c>
      <c r="C175" s="5" t="s">
        <v>59</v>
      </c>
      <c r="D175" s="5" t="s">
        <v>60</v>
      </c>
      <c r="E175" s="6" t="s">
        <v>358</v>
      </c>
      <c r="F175" s="5" t="s">
        <v>35</v>
      </c>
      <c r="G175" s="5" t="s">
        <v>53</v>
      </c>
      <c r="H175" s="5" t="s">
        <v>98</v>
      </c>
      <c r="I175" s="5" t="s">
        <v>27</v>
      </c>
      <c r="J175" s="5" t="s">
        <v>47</v>
      </c>
      <c r="K175" s="5" t="s">
        <v>29</v>
      </c>
      <c r="L175" s="7">
        <v>16374.96</v>
      </c>
      <c r="M175" s="5">
        <v>10</v>
      </c>
      <c r="N175" s="7">
        <v>163749.6</v>
      </c>
      <c r="O175" s="8">
        <v>11.5</v>
      </c>
      <c r="P175" s="7">
        <v>144918.39999999999</v>
      </c>
      <c r="Q175" s="8">
        <v>31.4</v>
      </c>
      <c r="R175" s="7">
        <v>45504.38</v>
      </c>
      <c r="S175" s="5" t="s">
        <v>40</v>
      </c>
    </row>
    <row r="176" spans="1:19" x14ac:dyDescent="0.3">
      <c r="A176" s="1" t="s">
        <v>441</v>
      </c>
      <c r="B176" s="1" t="s">
        <v>121</v>
      </c>
      <c r="C176" s="1" t="s">
        <v>117</v>
      </c>
      <c r="D176" s="1" t="s">
        <v>86</v>
      </c>
      <c r="E176" s="2" t="s">
        <v>125</v>
      </c>
      <c r="F176" s="1" t="s">
        <v>62</v>
      </c>
      <c r="G176" s="1" t="s">
        <v>109</v>
      </c>
      <c r="H176" s="1" t="s">
        <v>189</v>
      </c>
      <c r="I176" s="1" t="s">
        <v>38</v>
      </c>
      <c r="J176" s="1" t="s">
        <v>47</v>
      </c>
      <c r="K176" s="1" t="s">
        <v>149</v>
      </c>
      <c r="L176" s="3">
        <v>2983.25</v>
      </c>
      <c r="M176" s="1">
        <v>12</v>
      </c>
      <c r="N176" s="3">
        <v>35799</v>
      </c>
      <c r="O176" s="4">
        <v>21.3</v>
      </c>
      <c r="P176" s="3">
        <v>28173.81</v>
      </c>
      <c r="Q176" s="4">
        <v>56.8</v>
      </c>
      <c r="R176" s="3">
        <v>16002.72</v>
      </c>
      <c r="S176" s="1" t="s">
        <v>30</v>
      </c>
    </row>
    <row r="177" spans="1:19" x14ac:dyDescent="0.3">
      <c r="A177" s="5" t="s">
        <v>442</v>
      </c>
      <c r="B177" s="5" t="s">
        <v>443</v>
      </c>
      <c r="C177" s="5" t="s">
        <v>75</v>
      </c>
      <c r="D177" s="5" t="s">
        <v>60</v>
      </c>
      <c r="E177" s="6" t="s">
        <v>358</v>
      </c>
      <c r="F177" s="5" t="s">
        <v>35</v>
      </c>
      <c r="G177" s="5" t="s">
        <v>109</v>
      </c>
      <c r="H177" s="5" t="s">
        <v>122</v>
      </c>
      <c r="I177" s="5" t="s">
        <v>47</v>
      </c>
      <c r="J177" s="5" t="s">
        <v>28</v>
      </c>
      <c r="K177" s="5" t="s">
        <v>149</v>
      </c>
      <c r="L177" s="7">
        <v>44753.47</v>
      </c>
      <c r="M177" s="5">
        <v>14</v>
      </c>
      <c r="N177" s="7">
        <v>626548.57999999996</v>
      </c>
      <c r="O177" s="8">
        <v>6.5</v>
      </c>
      <c r="P177" s="7">
        <v>585822.92000000004</v>
      </c>
      <c r="Q177" s="8">
        <v>44.9</v>
      </c>
      <c r="R177" s="7">
        <v>263034.49</v>
      </c>
      <c r="S177" s="5" t="s">
        <v>40</v>
      </c>
    </row>
    <row r="178" spans="1:19" x14ac:dyDescent="0.3">
      <c r="A178" s="1" t="s">
        <v>444</v>
      </c>
      <c r="B178" s="1" t="s">
        <v>445</v>
      </c>
      <c r="C178" s="1" t="s">
        <v>43</v>
      </c>
      <c r="D178" s="1" t="s">
        <v>22</v>
      </c>
      <c r="E178" s="2" t="s">
        <v>201</v>
      </c>
      <c r="F178" s="1" t="s">
        <v>24</v>
      </c>
      <c r="G178" s="1" t="s">
        <v>63</v>
      </c>
      <c r="H178" s="1" t="s">
        <v>64</v>
      </c>
      <c r="I178" s="1" t="s">
        <v>47</v>
      </c>
      <c r="J178" s="1" t="s">
        <v>65</v>
      </c>
      <c r="K178" s="1" t="s">
        <v>159</v>
      </c>
      <c r="L178" s="3">
        <v>57087.85</v>
      </c>
      <c r="M178" s="1">
        <v>10</v>
      </c>
      <c r="N178" s="3">
        <v>570878.5</v>
      </c>
      <c r="O178" s="4">
        <v>16.2</v>
      </c>
      <c r="P178" s="3">
        <v>478396.18</v>
      </c>
      <c r="Q178" s="4">
        <v>15.2</v>
      </c>
      <c r="R178" s="3">
        <v>72716.22</v>
      </c>
      <c r="S178" s="1" t="s">
        <v>40</v>
      </c>
    </row>
    <row r="179" spans="1:19" x14ac:dyDescent="0.3">
      <c r="A179" s="5" t="s">
        <v>446</v>
      </c>
      <c r="B179" s="5" t="s">
        <v>274</v>
      </c>
      <c r="C179" s="5" t="s">
        <v>135</v>
      </c>
      <c r="D179" s="5" t="s">
        <v>69</v>
      </c>
      <c r="E179" s="6" t="s">
        <v>155</v>
      </c>
      <c r="F179" s="5" t="s">
        <v>24</v>
      </c>
      <c r="G179" s="5" t="s">
        <v>63</v>
      </c>
      <c r="H179" s="5" t="s">
        <v>92</v>
      </c>
      <c r="I179" s="5" t="s">
        <v>72</v>
      </c>
      <c r="J179" s="5" t="s">
        <v>28</v>
      </c>
      <c r="K179" s="5" t="s">
        <v>159</v>
      </c>
      <c r="L179" s="7">
        <v>59502.29</v>
      </c>
      <c r="M179" s="5">
        <v>3</v>
      </c>
      <c r="N179" s="7">
        <v>178506.87</v>
      </c>
      <c r="O179" s="8">
        <v>5.5</v>
      </c>
      <c r="P179" s="7">
        <v>168688.99</v>
      </c>
      <c r="Q179" s="8">
        <v>30.5</v>
      </c>
      <c r="R179" s="7">
        <v>51450.14</v>
      </c>
      <c r="S179" s="5" t="s">
        <v>40</v>
      </c>
    </row>
    <row r="180" spans="1:19" x14ac:dyDescent="0.3">
      <c r="A180" s="1" t="s">
        <v>447</v>
      </c>
      <c r="B180" s="1" t="s">
        <v>448</v>
      </c>
      <c r="C180" s="1" t="s">
        <v>33</v>
      </c>
      <c r="D180" s="1" t="s">
        <v>22</v>
      </c>
      <c r="E180" s="2" t="s">
        <v>206</v>
      </c>
      <c r="F180" s="1" t="s">
        <v>52</v>
      </c>
      <c r="G180" s="1" t="s">
        <v>53</v>
      </c>
      <c r="H180" s="1" t="s">
        <v>71</v>
      </c>
      <c r="I180" s="1" t="s">
        <v>27</v>
      </c>
      <c r="J180" s="1" t="s">
        <v>28</v>
      </c>
      <c r="K180" s="1" t="s">
        <v>102</v>
      </c>
      <c r="L180" s="3">
        <v>4816.1099999999997</v>
      </c>
      <c r="M180" s="1">
        <v>13</v>
      </c>
      <c r="N180" s="3">
        <v>62609.43</v>
      </c>
      <c r="O180" s="4">
        <v>1.8</v>
      </c>
      <c r="P180" s="3">
        <v>61482.46</v>
      </c>
      <c r="Q180" s="4">
        <v>39</v>
      </c>
      <c r="R180" s="3">
        <v>23978.16</v>
      </c>
      <c r="S180" s="1" t="s">
        <v>40</v>
      </c>
    </row>
    <row r="181" spans="1:19" x14ac:dyDescent="0.3">
      <c r="A181" s="5" t="s">
        <v>449</v>
      </c>
      <c r="B181" s="5" t="s">
        <v>450</v>
      </c>
      <c r="C181" s="5" t="s">
        <v>85</v>
      </c>
      <c r="D181" s="5" t="s">
        <v>86</v>
      </c>
      <c r="E181" s="6" t="s">
        <v>180</v>
      </c>
      <c r="F181" s="5" t="s">
        <v>166</v>
      </c>
      <c r="G181" s="5" t="s">
        <v>25</v>
      </c>
      <c r="H181" s="5" t="s">
        <v>132</v>
      </c>
      <c r="I181" s="5" t="s">
        <v>27</v>
      </c>
      <c r="J181" s="5" t="s">
        <v>47</v>
      </c>
      <c r="K181" s="5" t="s">
        <v>39</v>
      </c>
      <c r="L181" s="7">
        <v>514.66</v>
      </c>
      <c r="M181" s="5">
        <v>14</v>
      </c>
      <c r="N181" s="7">
        <v>7205.24</v>
      </c>
      <c r="O181" s="8">
        <v>7.9</v>
      </c>
      <c r="P181" s="7">
        <v>6636.03</v>
      </c>
      <c r="Q181" s="8">
        <v>52.7</v>
      </c>
      <c r="R181" s="7">
        <v>3497.19</v>
      </c>
      <c r="S181" s="5" t="s">
        <v>112</v>
      </c>
    </row>
    <row r="182" spans="1:19" x14ac:dyDescent="0.3">
      <c r="A182" s="1" t="s">
        <v>451</v>
      </c>
      <c r="B182" s="1" t="s">
        <v>191</v>
      </c>
      <c r="C182" s="1" t="s">
        <v>131</v>
      </c>
      <c r="D182" s="1" t="s">
        <v>69</v>
      </c>
      <c r="E182" s="2" t="s">
        <v>246</v>
      </c>
      <c r="F182" s="1" t="s">
        <v>52</v>
      </c>
      <c r="G182" s="1" t="s">
        <v>63</v>
      </c>
      <c r="H182" s="1" t="s">
        <v>92</v>
      </c>
      <c r="I182" s="1" t="s">
        <v>27</v>
      </c>
      <c r="J182" s="1" t="s">
        <v>93</v>
      </c>
      <c r="K182" s="1" t="s">
        <v>111</v>
      </c>
      <c r="L182" s="3">
        <v>8892.84</v>
      </c>
      <c r="M182" s="1">
        <v>4</v>
      </c>
      <c r="N182" s="3">
        <v>35571.360000000001</v>
      </c>
      <c r="O182" s="4">
        <v>18.2</v>
      </c>
      <c r="P182" s="3">
        <v>29097.37</v>
      </c>
      <c r="Q182" s="4">
        <v>35.299999999999997</v>
      </c>
      <c r="R182" s="3">
        <v>10271.370000000001</v>
      </c>
      <c r="S182" s="1" t="s">
        <v>30</v>
      </c>
    </row>
    <row r="183" spans="1:19" x14ac:dyDescent="0.3">
      <c r="A183" s="5" t="s">
        <v>452</v>
      </c>
      <c r="B183" s="5" t="s">
        <v>453</v>
      </c>
      <c r="C183" s="5" t="s">
        <v>96</v>
      </c>
      <c r="D183" s="5" t="s">
        <v>86</v>
      </c>
      <c r="E183" s="6" t="s">
        <v>177</v>
      </c>
      <c r="F183" s="5" t="s">
        <v>166</v>
      </c>
      <c r="G183" s="5" t="s">
        <v>25</v>
      </c>
      <c r="H183" s="5" t="s">
        <v>46</v>
      </c>
      <c r="I183" s="5" t="s">
        <v>27</v>
      </c>
      <c r="J183" s="5" t="s">
        <v>47</v>
      </c>
      <c r="K183" s="5" t="s">
        <v>48</v>
      </c>
      <c r="L183" s="7">
        <v>3576.39</v>
      </c>
      <c r="M183" s="5">
        <v>13</v>
      </c>
      <c r="N183" s="7">
        <v>46493.07</v>
      </c>
      <c r="O183" s="8">
        <v>4.3</v>
      </c>
      <c r="P183" s="7">
        <v>44493.87</v>
      </c>
      <c r="Q183" s="8">
        <v>45.1</v>
      </c>
      <c r="R183" s="7">
        <v>20066.740000000002</v>
      </c>
      <c r="S183" s="5" t="s">
        <v>40</v>
      </c>
    </row>
    <row r="184" spans="1:19" x14ac:dyDescent="0.3">
      <c r="A184" s="1" t="s">
        <v>454</v>
      </c>
      <c r="B184" s="1" t="s">
        <v>226</v>
      </c>
      <c r="C184" s="1" t="s">
        <v>101</v>
      </c>
      <c r="D184" s="1" t="s">
        <v>60</v>
      </c>
      <c r="E184" s="2" t="s">
        <v>194</v>
      </c>
      <c r="F184" s="1" t="s">
        <v>52</v>
      </c>
      <c r="G184" s="1" t="s">
        <v>25</v>
      </c>
      <c r="H184" s="1" t="s">
        <v>26</v>
      </c>
      <c r="I184" s="1" t="s">
        <v>27</v>
      </c>
      <c r="J184" s="1" t="s">
        <v>93</v>
      </c>
      <c r="K184" s="1" t="s">
        <v>111</v>
      </c>
      <c r="L184" s="3">
        <v>7449.41</v>
      </c>
      <c r="M184" s="1">
        <v>1</v>
      </c>
      <c r="N184" s="3">
        <v>7449.41</v>
      </c>
      <c r="O184" s="4">
        <v>16.899999999999999</v>
      </c>
      <c r="P184" s="3">
        <v>6190.46</v>
      </c>
      <c r="Q184" s="4">
        <v>43</v>
      </c>
      <c r="R184" s="3">
        <v>2661.9</v>
      </c>
      <c r="S184" s="1" t="s">
        <v>30</v>
      </c>
    </row>
    <row r="185" spans="1:19" x14ac:dyDescent="0.3">
      <c r="A185" s="5" t="s">
        <v>455</v>
      </c>
      <c r="B185" s="5" t="s">
        <v>456</v>
      </c>
      <c r="C185" s="5" t="s">
        <v>33</v>
      </c>
      <c r="D185" s="5" t="s">
        <v>22</v>
      </c>
      <c r="E185" s="6" t="s">
        <v>358</v>
      </c>
      <c r="F185" s="5" t="s">
        <v>35</v>
      </c>
      <c r="G185" s="5" t="s">
        <v>53</v>
      </c>
      <c r="H185" s="5" t="s">
        <v>54</v>
      </c>
      <c r="I185" s="5" t="s">
        <v>27</v>
      </c>
      <c r="J185" s="5" t="s">
        <v>28</v>
      </c>
      <c r="K185" s="5" t="s">
        <v>56</v>
      </c>
      <c r="L185" s="7">
        <v>24305.38</v>
      </c>
      <c r="M185" s="5">
        <v>17</v>
      </c>
      <c r="N185" s="7">
        <v>413191.46</v>
      </c>
      <c r="O185" s="8">
        <v>14.4</v>
      </c>
      <c r="P185" s="7">
        <v>353691.89</v>
      </c>
      <c r="Q185" s="8">
        <v>34.1</v>
      </c>
      <c r="R185" s="7">
        <v>120608.93</v>
      </c>
      <c r="S185" s="5" t="s">
        <v>112</v>
      </c>
    </row>
    <row r="186" spans="1:19" x14ac:dyDescent="0.3">
      <c r="A186" s="1" t="s">
        <v>457</v>
      </c>
      <c r="B186" s="1" t="s">
        <v>138</v>
      </c>
      <c r="C186" s="1" t="s">
        <v>135</v>
      </c>
      <c r="D186" s="1" t="s">
        <v>69</v>
      </c>
      <c r="E186" s="2" t="s">
        <v>170</v>
      </c>
      <c r="F186" s="1" t="s">
        <v>52</v>
      </c>
      <c r="G186" s="1" t="s">
        <v>25</v>
      </c>
      <c r="H186" s="1" t="s">
        <v>132</v>
      </c>
      <c r="I186" s="1" t="s">
        <v>72</v>
      </c>
      <c r="J186" s="1" t="s">
        <v>28</v>
      </c>
      <c r="K186" s="1" t="s">
        <v>78</v>
      </c>
      <c r="L186" s="3">
        <v>3052.47</v>
      </c>
      <c r="M186" s="1">
        <v>11</v>
      </c>
      <c r="N186" s="3">
        <v>33577.17</v>
      </c>
      <c r="O186" s="4">
        <v>0.3</v>
      </c>
      <c r="P186" s="3">
        <v>33476.44</v>
      </c>
      <c r="Q186" s="4">
        <v>32.700000000000003</v>
      </c>
      <c r="R186" s="3">
        <v>10946.8</v>
      </c>
      <c r="S186" s="1" t="s">
        <v>40</v>
      </c>
    </row>
    <row r="187" spans="1:19" x14ac:dyDescent="0.3">
      <c r="A187" s="5" t="s">
        <v>458</v>
      </c>
      <c r="B187" s="5" t="s">
        <v>459</v>
      </c>
      <c r="C187" s="5" t="s">
        <v>135</v>
      </c>
      <c r="D187" s="5" t="s">
        <v>69</v>
      </c>
      <c r="E187" s="6" t="s">
        <v>125</v>
      </c>
      <c r="F187" s="5" t="s">
        <v>62</v>
      </c>
      <c r="G187" s="5" t="s">
        <v>53</v>
      </c>
      <c r="H187" s="5" t="s">
        <v>98</v>
      </c>
      <c r="I187" s="5" t="s">
        <v>27</v>
      </c>
      <c r="J187" s="5" t="s">
        <v>28</v>
      </c>
      <c r="K187" s="5" t="s">
        <v>102</v>
      </c>
      <c r="L187" s="7">
        <v>2948.42</v>
      </c>
      <c r="M187" s="5">
        <v>17</v>
      </c>
      <c r="N187" s="7">
        <v>50123.14</v>
      </c>
      <c r="O187" s="8">
        <v>1.7</v>
      </c>
      <c r="P187" s="7">
        <v>49271.05</v>
      </c>
      <c r="Q187" s="8">
        <v>56.1</v>
      </c>
      <c r="R187" s="7">
        <v>27641.06</v>
      </c>
      <c r="S187" s="5" t="s">
        <v>30</v>
      </c>
    </row>
    <row r="188" spans="1:19" x14ac:dyDescent="0.3">
      <c r="A188" s="1" t="s">
        <v>460</v>
      </c>
      <c r="B188" s="1" t="s">
        <v>461</v>
      </c>
      <c r="C188" s="1" t="s">
        <v>117</v>
      </c>
      <c r="D188" s="1" t="s">
        <v>86</v>
      </c>
      <c r="E188" s="2" t="s">
        <v>358</v>
      </c>
      <c r="F188" s="1" t="s">
        <v>35</v>
      </c>
      <c r="G188" s="1" t="s">
        <v>63</v>
      </c>
      <c r="H188" s="1" t="s">
        <v>64</v>
      </c>
      <c r="I188" s="1" t="s">
        <v>27</v>
      </c>
      <c r="J188" s="1" t="s">
        <v>93</v>
      </c>
      <c r="K188" s="1" t="s">
        <v>111</v>
      </c>
      <c r="L188" s="3">
        <v>13566.29</v>
      </c>
      <c r="M188" s="1">
        <v>7</v>
      </c>
      <c r="N188" s="3">
        <v>94964.03</v>
      </c>
      <c r="O188" s="4">
        <v>7</v>
      </c>
      <c r="P188" s="3">
        <v>88316.55</v>
      </c>
      <c r="Q188" s="4">
        <v>37.799999999999997</v>
      </c>
      <c r="R188" s="3">
        <v>33383.660000000003</v>
      </c>
      <c r="S188" s="1" t="s">
        <v>79</v>
      </c>
    </row>
    <row r="189" spans="1:19" x14ac:dyDescent="0.3">
      <c r="A189" s="5" t="s">
        <v>462</v>
      </c>
      <c r="B189" s="5" t="s">
        <v>463</v>
      </c>
      <c r="C189" s="5" t="s">
        <v>59</v>
      </c>
      <c r="D189" s="5" t="s">
        <v>60</v>
      </c>
      <c r="E189" s="6" t="s">
        <v>224</v>
      </c>
      <c r="F189" s="5" t="s">
        <v>166</v>
      </c>
      <c r="G189" s="5" t="s">
        <v>36</v>
      </c>
      <c r="H189" s="5" t="s">
        <v>136</v>
      </c>
      <c r="I189" s="5" t="s">
        <v>72</v>
      </c>
      <c r="J189" s="5" t="s">
        <v>28</v>
      </c>
      <c r="K189" s="5" t="s">
        <v>56</v>
      </c>
      <c r="L189" s="7">
        <v>3199.24</v>
      </c>
      <c r="M189" s="5">
        <v>7</v>
      </c>
      <c r="N189" s="7">
        <v>22394.68</v>
      </c>
      <c r="O189" s="8">
        <v>11.4</v>
      </c>
      <c r="P189" s="7">
        <v>19841.689999999999</v>
      </c>
      <c r="Q189" s="8">
        <v>56.4</v>
      </c>
      <c r="R189" s="7">
        <v>11190.71</v>
      </c>
      <c r="S189" s="5" t="s">
        <v>40</v>
      </c>
    </row>
    <row r="190" spans="1:19" x14ac:dyDescent="0.3">
      <c r="A190" s="1" t="s">
        <v>464</v>
      </c>
      <c r="B190" s="1" t="s">
        <v>465</v>
      </c>
      <c r="C190" s="1" t="s">
        <v>75</v>
      </c>
      <c r="D190" s="1" t="s">
        <v>60</v>
      </c>
      <c r="E190" s="2" t="s">
        <v>44</v>
      </c>
      <c r="F190" s="1" t="s">
        <v>45</v>
      </c>
      <c r="G190" s="1" t="s">
        <v>25</v>
      </c>
      <c r="H190" s="1" t="s">
        <v>132</v>
      </c>
      <c r="I190" s="1" t="s">
        <v>27</v>
      </c>
      <c r="J190" s="1" t="s">
        <v>65</v>
      </c>
      <c r="K190" s="1" t="s">
        <v>56</v>
      </c>
      <c r="L190" s="3">
        <v>592.70000000000005</v>
      </c>
      <c r="M190" s="1">
        <v>19</v>
      </c>
      <c r="N190" s="3">
        <v>11261.3</v>
      </c>
      <c r="O190" s="4">
        <v>2.8</v>
      </c>
      <c r="P190" s="3">
        <v>10945.98</v>
      </c>
      <c r="Q190" s="4">
        <v>20.100000000000001</v>
      </c>
      <c r="R190" s="3">
        <v>2200.14</v>
      </c>
      <c r="S190" s="1" t="s">
        <v>112</v>
      </c>
    </row>
    <row r="191" spans="1:19" x14ac:dyDescent="0.3">
      <c r="A191" s="5" t="s">
        <v>466</v>
      </c>
      <c r="B191" s="5" t="s">
        <v>274</v>
      </c>
      <c r="C191" s="5" t="s">
        <v>135</v>
      </c>
      <c r="D191" s="5" t="s">
        <v>69</v>
      </c>
      <c r="E191" s="6" t="s">
        <v>177</v>
      </c>
      <c r="F191" s="5" t="s">
        <v>166</v>
      </c>
      <c r="G191" s="5" t="s">
        <v>36</v>
      </c>
      <c r="H191" s="5" t="s">
        <v>37</v>
      </c>
      <c r="I191" s="5" t="s">
        <v>55</v>
      </c>
      <c r="J191" s="5" t="s">
        <v>93</v>
      </c>
      <c r="K191" s="5" t="s">
        <v>149</v>
      </c>
      <c r="L191" s="7">
        <v>2394.88</v>
      </c>
      <c r="M191" s="5">
        <v>16</v>
      </c>
      <c r="N191" s="7">
        <v>38318.080000000002</v>
      </c>
      <c r="O191" s="8">
        <v>7</v>
      </c>
      <c r="P191" s="7">
        <v>35635.81</v>
      </c>
      <c r="Q191" s="8">
        <v>58.9</v>
      </c>
      <c r="R191" s="7">
        <v>20989.49</v>
      </c>
      <c r="S191" s="5" t="s">
        <v>79</v>
      </c>
    </row>
    <row r="192" spans="1:19" x14ac:dyDescent="0.3">
      <c r="A192" s="1" t="s">
        <v>467</v>
      </c>
      <c r="B192" s="1" t="s">
        <v>448</v>
      </c>
      <c r="C192" s="1" t="s">
        <v>33</v>
      </c>
      <c r="D192" s="1" t="s">
        <v>22</v>
      </c>
      <c r="E192" s="2" t="s">
        <v>145</v>
      </c>
      <c r="F192" s="1" t="s">
        <v>62</v>
      </c>
      <c r="G192" s="1" t="s">
        <v>36</v>
      </c>
      <c r="H192" s="1" t="s">
        <v>136</v>
      </c>
      <c r="I192" s="1" t="s">
        <v>55</v>
      </c>
      <c r="J192" s="1" t="s">
        <v>47</v>
      </c>
      <c r="K192" s="1" t="s">
        <v>111</v>
      </c>
      <c r="L192" s="3">
        <v>2094.92</v>
      </c>
      <c r="M192" s="1">
        <v>17</v>
      </c>
      <c r="N192" s="3">
        <v>35613.64</v>
      </c>
      <c r="O192" s="4">
        <v>10.1</v>
      </c>
      <c r="P192" s="3">
        <v>32016.66</v>
      </c>
      <c r="Q192" s="4">
        <v>58.9</v>
      </c>
      <c r="R192" s="3">
        <v>18857.810000000001</v>
      </c>
      <c r="S192" s="1" t="s">
        <v>40</v>
      </c>
    </row>
    <row r="193" spans="1:19" x14ac:dyDescent="0.3">
      <c r="A193" s="5" t="s">
        <v>468</v>
      </c>
      <c r="B193" s="5" t="s">
        <v>255</v>
      </c>
      <c r="C193" s="5" t="s">
        <v>43</v>
      </c>
      <c r="D193" s="5" t="s">
        <v>22</v>
      </c>
      <c r="E193" s="6" t="s">
        <v>279</v>
      </c>
      <c r="F193" s="5" t="s">
        <v>166</v>
      </c>
      <c r="G193" s="5" t="s">
        <v>36</v>
      </c>
      <c r="H193" s="5" t="s">
        <v>136</v>
      </c>
      <c r="I193" s="5" t="s">
        <v>55</v>
      </c>
      <c r="J193" s="5" t="s">
        <v>65</v>
      </c>
      <c r="K193" s="5" t="s">
        <v>48</v>
      </c>
      <c r="L193" s="7">
        <v>1351.82</v>
      </c>
      <c r="M193" s="5">
        <v>6</v>
      </c>
      <c r="N193" s="7">
        <v>8110.92</v>
      </c>
      <c r="O193" s="8">
        <v>6.8</v>
      </c>
      <c r="P193" s="7">
        <v>7559.38</v>
      </c>
      <c r="Q193" s="8">
        <v>61.3</v>
      </c>
      <c r="R193" s="7">
        <v>4633.8999999999996</v>
      </c>
      <c r="S193" s="5" t="s">
        <v>40</v>
      </c>
    </row>
    <row r="194" spans="1:19" x14ac:dyDescent="0.3">
      <c r="A194" s="1" t="s">
        <v>469</v>
      </c>
      <c r="B194" s="1" t="s">
        <v>470</v>
      </c>
      <c r="C194" s="1" t="s">
        <v>101</v>
      </c>
      <c r="D194" s="1" t="s">
        <v>60</v>
      </c>
      <c r="E194" s="2" t="s">
        <v>206</v>
      </c>
      <c r="F194" s="1" t="s">
        <v>52</v>
      </c>
      <c r="G194" s="1" t="s">
        <v>63</v>
      </c>
      <c r="H194" s="1" t="s">
        <v>167</v>
      </c>
      <c r="I194" s="1" t="s">
        <v>27</v>
      </c>
      <c r="J194" s="1" t="s">
        <v>65</v>
      </c>
      <c r="K194" s="1" t="s">
        <v>39</v>
      </c>
      <c r="L194" s="3">
        <v>2653.16</v>
      </c>
      <c r="M194" s="1">
        <v>1</v>
      </c>
      <c r="N194" s="3">
        <v>2653.16</v>
      </c>
      <c r="O194" s="4">
        <v>20.6</v>
      </c>
      <c r="P194" s="3">
        <v>2106.61</v>
      </c>
      <c r="Q194" s="4">
        <v>29.7</v>
      </c>
      <c r="R194" s="3">
        <v>625.66</v>
      </c>
      <c r="S194" s="1" t="s">
        <v>40</v>
      </c>
    </row>
    <row r="195" spans="1:19" x14ac:dyDescent="0.3">
      <c r="A195" s="5" t="s">
        <v>471</v>
      </c>
      <c r="B195" s="5" t="s">
        <v>288</v>
      </c>
      <c r="C195" s="5" t="s">
        <v>59</v>
      </c>
      <c r="D195" s="5" t="s">
        <v>60</v>
      </c>
      <c r="E195" s="6" t="s">
        <v>165</v>
      </c>
      <c r="F195" s="5" t="s">
        <v>166</v>
      </c>
      <c r="G195" s="5" t="s">
        <v>109</v>
      </c>
      <c r="H195" s="5" t="s">
        <v>122</v>
      </c>
      <c r="I195" s="5" t="s">
        <v>27</v>
      </c>
      <c r="J195" s="5" t="s">
        <v>93</v>
      </c>
      <c r="K195" s="5" t="s">
        <v>39</v>
      </c>
      <c r="L195" s="7">
        <v>4794.71</v>
      </c>
      <c r="M195" s="5">
        <v>7</v>
      </c>
      <c r="N195" s="7">
        <v>33562.97</v>
      </c>
      <c r="O195" s="8">
        <v>14.4</v>
      </c>
      <c r="P195" s="7">
        <v>28729.9</v>
      </c>
      <c r="Q195" s="8">
        <v>42.7</v>
      </c>
      <c r="R195" s="7">
        <v>12267.67</v>
      </c>
      <c r="S195" s="5" t="s">
        <v>30</v>
      </c>
    </row>
    <row r="196" spans="1:19" x14ac:dyDescent="0.3">
      <c r="A196" s="1" t="s">
        <v>472</v>
      </c>
      <c r="B196" s="1" t="s">
        <v>473</v>
      </c>
      <c r="C196" s="1" t="s">
        <v>131</v>
      </c>
      <c r="D196" s="1" t="s">
        <v>69</v>
      </c>
      <c r="E196" s="2" t="s">
        <v>51</v>
      </c>
      <c r="F196" s="1" t="s">
        <v>52</v>
      </c>
      <c r="G196" s="1" t="s">
        <v>53</v>
      </c>
      <c r="H196" s="1" t="s">
        <v>54</v>
      </c>
      <c r="I196" s="1" t="s">
        <v>72</v>
      </c>
      <c r="J196" s="1" t="s">
        <v>65</v>
      </c>
      <c r="K196" s="1" t="s">
        <v>111</v>
      </c>
      <c r="L196" s="3">
        <v>8696.34</v>
      </c>
      <c r="M196" s="1">
        <v>16</v>
      </c>
      <c r="N196" s="3">
        <v>139141.44</v>
      </c>
      <c r="O196" s="4">
        <v>18.8</v>
      </c>
      <c r="P196" s="3">
        <v>112982.85</v>
      </c>
      <c r="Q196" s="4">
        <v>29.3</v>
      </c>
      <c r="R196" s="3">
        <v>33103.980000000003</v>
      </c>
      <c r="S196" s="1" t="s">
        <v>40</v>
      </c>
    </row>
    <row r="197" spans="1:19" x14ac:dyDescent="0.3">
      <c r="A197" s="5" t="s">
        <v>474</v>
      </c>
      <c r="B197" s="5" t="s">
        <v>475</v>
      </c>
      <c r="C197" s="5" t="s">
        <v>117</v>
      </c>
      <c r="D197" s="5" t="s">
        <v>86</v>
      </c>
      <c r="E197" s="6" t="s">
        <v>155</v>
      </c>
      <c r="F197" s="5" t="s">
        <v>24</v>
      </c>
      <c r="G197" s="5" t="s">
        <v>36</v>
      </c>
      <c r="H197" s="5" t="s">
        <v>37</v>
      </c>
      <c r="I197" s="5" t="s">
        <v>55</v>
      </c>
      <c r="J197" s="5" t="s">
        <v>93</v>
      </c>
      <c r="K197" s="5" t="s">
        <v>88</v>
      </c>
      <c r="L197" s="7">
        <v>36756.120000000003</v>
      </c>
      <c r="M197" s="5">
        <v>5</v>
      </c>
      <c r="N197" s="7">
        <v>183780.6</v>
      </c>
      <c r="O197" s="8">
        <v>18</v>
      </c>
      <c r="P197" s="7">
        <v>150700.09</v>
      </c>
      <c r="Q197" s="8">
        <v>12.5</v>
      </c>
      <c r="R197" s="7">
        <v>18837.509999999998</v>
      </c>
      <c r="S197" s="5" t="s">
        <v>40</v>
      </c>
    </row>
    <row r="198" spans="1:19" x14ac:dyDescent="0.3">
      <c r="A198" s="1" t="s">
        <v>476</v>
      </c>
      <c r="B198" s="1" t="s">
        <v>477</v>
      </c>
      <c r="C198" s="1" t="s">
        <v>21</v>
      </c>
      <c r="D198" s="1" t="s">
        <v>22</v>
      </c>
      <c r="E198" s="2" t="s">
        <v>224</v>
      </c>
      <c r="F198" s="1" t="s">
        <v>166</v>
      </c>
      <c r="G198" s="1" t="s">
        <v>63</v>
      </c>
      <c r="H198" s="1" t="s">
        <v>167</v>
      </c>
      <c r="I198" s="1" t="s">
        <v>72</v>
      </c>
      <c r="J198" s="1" t="s">
        <v>93</v>
      </c>
      <c r="K198" s="1" t="s">
        <v>78</v>
      </c>
      <c r="L198" s="3">
        <v>4551.5200000000004</v>
      </c>
      <c r="M198" s="1">
        <v>20</v>
      </c>
      <c r="N198" s="3">
        <v>91030.399999999994</v>
      </c>
      <c r="O198" s="4">
        <v>8.5</v>
      </c>
      <c r="P198" s="3">
        <v>83292.820000000007</v>
      </c>
      <c r="Q198" s="4">
        <v>61.6</v>
      </c>
      <c r="R198" s="3">
        <v>51308.38</v>
      </c>
      <c r="S198" s="1" t="s">
        <v>40</v>
      </c>
    </row>
    <row r="199" spans="1:19" x14ac:dyDescent="0.3">
      <c r="A199" s="5" t="s">
        <v>478</v>
      </c>
      <c r="B199" s="5" t="s">
        <v>333</v>
      </c>
      <c r="C199" s="5" t="s">
        <v>96</v>
      </c>
      <c r="D199" s="5" t="s">
        <v>86</v>
      </c>
      <c r="E199" s="6" t="s">
        <v>206</v>
      </c>
      <c r="F199" s="5" t="s">
        <v>52</v>
      </c>
      <c r="G199" s="5" t="s">
        <v>25</v>
      </c>
      <c r="H199" s="5" t="s">
        <v>46</v>
      </c>
      <c r="I199" s="5" t="s">
        <v>55</v>
      </c>
      <c r="J199" s="5" t="s">
        <v>65</v>
      </c>
      <c r="K199" s="5" t="s">
        <v>78</v>
      </c>
      <c r="L199" s="7">
        <v>1570.97</v>
      </c>
      <c r="M199" s="5">
        <v>25</v>
      </c>
      <c r="N199" s="7">
        <v>39274.25</v>
      </c>
      <c r="O199" s="8">
        <v>18.5</v>
      </c>
      <c r="P199" s="7">
        <v>32008.51</v>
      </c>
      <c r="Q199" s="8">
        <v>32.299999999999997</v>
      </c>
      <c r="R199" s="7">
        <v>10338.75</v>
      </c>
      <c r="S199" s="5" t="s">
        <v>40</v>
      </c>
    </row>
    <row r="200" spans="1:19" x14ac:dyDescent="0.3">
      <c r="A200" s="1" t="s">
        <v>479</v>
      </c>
      <c r="B200" s="1" t="s">
        <v>480</v>
      </c>
      <c r="C200" s="1" t="s">
        <v>131</v>
      </c>
      <c r="D200" s="1" t="s">
        <v>69</v>
      </c>
      <c r="E200" s="2" t="s">
        <v>155</v>
      </c>
      <c r="F200" s="1" t="s">
        <v>24</v>
      </c>
      <c r="G200" s="1" t="s">
        <v>109</v>
      </c>
      <c r="H200" s="1" t="s">
        <v>122</v>
      </c>
      <c r="I200" s="1" t="s">
        <v>38</v>
      </c>
      <c r="J200" s="1" t="s">
        <v>65</v>
      </c>
      <c r="K200" s="1" t="s">
        <v>39</v>
      </c>
      <c r="L200" s="3">
        <v>44960.12</v>
      </c>
      <c r="M200" s="1">
        <v>10</v>
      </c>
      <c r="N200" s="3">
        <v>449601.2</v>
      </c>
      <c r="O200" s="4">
        <v>8.1999999999999993</v>
      </c>
      <c r="P200" s="3">
        <v>412733.9</v>
      </c>
      <c r="Q200" s="4">
        <v>28.5</v>
      </c>
      <c r="R200" s="3">
        <v>117629.16</v>
      </c>
      <c r="S200" s="1" t="s">
        <v>40</v>
      </c>
    </row>
    <row r="201" spans="1:19" x14ac:dyDescent="0.3">
      <c r="A201" s="5" t="s">
        <v>481</v>
      </c>
      <c r="B201" s="5" t="s">
        <v>151</v>
      </c>
      <c r="C201" s="5" t="s">
        <v>131</v>
      </c>
      <c r="D201" s="5" t="s">
        <v>69</v>
      </c>
      <c r="E201" s="6" t="s">
        <v>145</v>
      </c>
      <c r="F201" s="5" t="s">
        <v>62</v>
      </c>
      <c r="G201" s="5" t="s">
        <v>53</v>
      </c>
      <c r="H201" s="5" t="s">
        <v>71</v>
      </c>
      <c r="I201" s="5" t="s">
        <v>27</v>
      </c>
      <c r="J201" s="5" t="s">
        <v>65</v>
      </c>
      <c r="K201" s="5" t="s">
        <v>159</v>
      </c>
      <c r="L201" s="7">
        <v>2184.79</v>
      </c>
      <c r="M201" s="5">
        <v>8</v>
      </c>
      <c r="N201" s="7">
        <v>17478.32</v>
      </c>
      <c r="O201" s="8">
        <v>18.899999999999999</v>
      </c>
      <c r="P201" s="7">
        <v>14174.92</v>
      </c>
      <c r="Q201" s="8">
        <v>49.2</v>
      </c>
      <c r="R201" s="7">
        <v>6974.06</v>
      </c>
      <c r="S201" s="5" t="s">
        <v>40</v>
      </c>
    </row>
    <row r="202" spans="1:19" x14ac:dyDescent="0.3">
      <c r="A202" s="1" t="s">
        <v>482</v>
      </c>
      <c r="B202" s="1" t="s">
        <v>483</v>
      </c>
      <c r="C202" s="1" t="s">
        <v>43</v>
      </c>
      <c r="D202" s="1" t="s">
        <v>22</v>
      </c>
      <c r="E202" s="2" t="s">
        <v>256</v>
      </c>
      <c r="F202" s="1" t="s">
        <v>166</v>
      </c>
      <c r="G202" s="1" t="s">
        <v>53</v>
      </c>
      <c r="H202" s="1" t="s">
        <v>71</v>
      </c>
      <c r="I202" s="1" t="s">
        <v>72</v>
      </c>
      <c r="J202" s="1" t="s">
        <v>93</v>
      </c>
      <c r="K202" s="1" t="s">
        <v>29</v>
      </c>
      <c r="L202" s="3">
        <v>4073.17</v>
      </c>
      <c r="M202" s="1">
        <v>7</v>
      </c>
      <c r="N202" s="3">
        <v>28512.19</v>
      </c>
      <c r="O202" s="4">
        <v>24.8</v>
      </c>
      <c r="P202" s="3">
        <v>21441.17</v>
      </c>
      <c r="Q202" s="4">
        <v>38</v>
      </c>
      <c r="R202" s="3">
        <v>8147.64</v>
      </c>
      <c r="S202" s="1" t="s">
        <v>30</v>
      </c>
    </row>
    <row r="203" spans="1:19" x14ac:dyDescent="0.3">
      <c r="A203" s="5" t="s">
        <v>484</v>
      </c>
      <c r="B203" s="5" t="s">
        <v>485</v>
      </c>
      <c r="C203" s="5" t="s">
        <v>135</v>
      </c>
      <c r="D203" s="5" t="s">
        <v>69</v>
      </c>
      <c r="E203" s="6" t="s">
        <v>165</v>
      </c>
      <c r="F203" s="5" t="s">
        <v>166</v>
      </c>
      <c r="G203" s="5" t="s">
        <v>36</v>
      </c>
      <c r="H203" s="5" t="s">
        <v>37</v>
      </c>
      <c r="I203" s="5" t="s">
        <v>47</v>
      </c>
      <c r="J203" s="5" t="s">
        <v>28</v>
      </c>
      <c r="K203" s="5" t="s">
        <v>39</v>
      </c>
      <c r="L203" s="7">
        <v>4105.82</v>
      </c>
      <c r="M203" s="5">
        <v>12</v>
      </c>
      <c r="N203" s="7">
        <v>49269.84</v>
      </c>
      <c r="O203" s="8">
        <v>21.8</v>
      </c>
      <c r="P203" s="7">
        <v>38529.01</v>
      </c>
      <c r="Q203" s="8">
        <v>45.8</v>
      </c>
      <c r="R203" s="7">
        <v>17646.29</v>
      </c>
      <c r="S203" s="5" t="s">
        <v>40</v>
      </c>
    </row>
    <row r="204" spans="1:19" x14ac:dyDescent="0.3">
      <c r="A204" s="1" t="s">
        <v>486</v>
      </c>
      <c r="B204" s="1" t="s">
        <v>81</v>
      </c>
      <c r="C204" s="1" t="s">
        <v>75</v>
      </c>
      <c r="D204" s="1" t="s">
        <v>60</v>
      </c>
      <c r="E204" s="2" t="s">
        <v>44</v>
      </c>
      <c r="F204" s="1" t="s">
        <v>45</v>
      </c>
      <c r="G204" s="1" t="s">
        <v>25</v>
      </c>
      <c r="H204" s="1" t="s">
        <v>132</v>
      </c>
      <c r="I204" s="1" t="s">
        <v>27</v>
      </c>
      <c r="J204" s="1" t="s">
        <v>65</v>
      </c>
      <c r="K204" s="1" t="s">
        <v>29</v>
      </c>
      <c r="L204" s="3">
        <v>210.66</v>
      </c>
      <c r="M204" s="1">
        <v>19</v>
      </c>
      <c r="N204" s="3">
        <v>4002.54</v>
      </c>
      <c r="O204" s="4">
        <v>23.4</v>
      </c>
      <c r="P204" s="3">
        <v>3065.95</v>
      </c>
      <c r="Q204" s="4">
        <v>25.7</v>
      </c>
      <c r="R204" s="3">
        <v>787.95</v>
      </c>
      <c r="S204" s="1" t="s">
        <v>79</v>
      </c>
    </row>
    <row r="205" spans="1:19" x14ac:dyDescent="0.3">
      <c r="A205" s="5" t="s">
        <v>487</v>
      </c>
      <c r="B205" s="5" t="s">
        <v>176</v>
      </c>
      <c r="C205" s="5" t="s">
        <v>68</v>
      </c>
      <c r="D205" s="5" t="s">
        <v>69</v>
      </c>
      <c r="E205" s="6" t="s">
        <v>303</v>
      </c>
      <c r="F205" s="5" t="s">
        <v>62</v>
      </c>
      <c r="G205" s="5" t="s">
        <v>109</v>
      </c>
      <c r="H205" s="5" t="s">
        <v>110</v>
      </c>
      <c r="I205" s="5" t="s">
        <v>38</v>
      </c>
      <c r="J205" s="5" t="s">
        <v>93</v>
      </c>
      <c r="K205" s="5" t="s">
        <v>159</v>
      </c>
      <c r="L205" s="7">
        <v>1962.01</v>
      </c>
      <c r="M205" s="5">
        <v>25</v>
      </c>
      <c r="N205" s="7">
        <v>49050.25</v>
      </c>
      <c r="O205" s="8">
        <v>17.8</v>
      </c>
      <c r="P205" s="7">
        <v>40319.31</v>
      </c>
      <c r="Q205" s="8">
        <v>65.8</v>
      </c>
      <c r="R205" s="7">
        <v>26530.11</v>
      </c>
      <c r="S205" s="5" t="s">
        <v>40</v>
      </c>
    </row>
    <row r="206" spans="1:19" x14ac:dyDescent="0.3">
      <c r="A206" s="1" t="s">
        <v>488</v>
      </c>
      <c r="B206" s="1" t="s">
        <v>489</v>
      </c>
      <c r="C206" s="1" t="s">
        <v>75</v>
      </c>
      <c r="D206" s="1" t="s">
        <v>60</v>
      </c>
      <c r="E206" s="2" t="s">
        <v>358</v>
      </c>
      <c r="F206" s="1" t="s">
        <v>35</v>
      </c>
      <c r="G206" s="1" t="s">
        <v>25</v>
      </c>
      <c r="H206" s="1" t="s">
        <v>46</v>
      </c>
      <c r="I206" s="1" t="s">
        <v>55</v>
      </c>
      <c r="J206" s="1" t="s">
        <v>65</v>
      </c>
      <c r="K206" s="1" t="s">
        <v>111</v>
      </c>
      <c r="L206" s="3">
        <v>8584.51</v>
      </c>
      <c r="M206" s="1">
        <v>14</v>
      </c>
      <c r="N206" s="3">
        <v>120183.14</v>
      </c>
      <c r="O206" s="4">
        <v>7.9</v>
      </c>
      <c r="P206" s="3">
        <v>110688.67</v>
      </c>
      <c r="Q206" s="4">
        <v>40.299999999999997</v>
      </c>
      <c r="R206" s="3">
        <v>44607.53</v>
      </c>
      <c r="S206" s="1" t="s">
        <v>40</v>
      </c>
    </row>
    <row r="207" spans="1:19" x14ac:dyDescent="0.3">
      <c r="A207" s="5" t="s">
        <v>490</v>
      </c>
      <c r="B207" s="5" t="s">
        <v>491</v>
      </c>
      <c r="C207" s="5" t="s">
        <v>68</v>
      </c>
      <c r="D207" s="5" t="s">
        <v>69</v>
      </c>
      <c r="E207" s="6" t="s">
        <v>97</v>
      </c>
      <c r="F207" s="5" t="s">
        <v>35</v>
      </c>
      <c r="G207" s="5" t="s">
        <v>109</v>
      </c>
      <c r="H207" s="5" t="s">
        <v>189</v>
      </c>
      <c r="I207" s="5" t="s">
        <v>72</v>
      </c>
      <c r="J207" s="5" t="s">
        <v>47</v>
      </c>
      <c r="K207" s="5" t="s">
        <v>159</v>
      </c>
      <c r="L207" s="7">
        <v>8678.41</v>
      </c>
      <c r="M207" s="5">
        <v>8</v>
      </c>
      <c r="N207" s="7">
        <v>69427.28</v>
      </c>
      <c r="O207" s="8">
        <v>13.9</v>
      </c>
      <c r="P207" s="7">
        <v>59776.89</v>
      </c>
      <c r="Q207" s="8">
        <v>41.9</v>
      </c>
      <c r="R207" s="7">
        <v>25046.52</v>
      </c>
      <c r="S207" s="5" t="s">
        <v>112</v>
      </c>
    </row>
    <row r="208" spans="1:19" x14ac:dyDescent="0.3">
      <c r="A208" s="1" t="s">
        <v>492</v>
      </c>
      <c r="B208" s="1" t="s">
        <v>493</v>
      </c>
      <c r="C208" s="1" t="s">
        <v>43</v>
      </c>
      <c r="D208" s="1" t="s">
        <v>22</v>
      </c>
      <c r="E208" s="2" t="s">
        <v>34</v>
      </c>
      <c r="F208" s="1" t="s">
        <v>35</v>
      </c>
      <c r="G208" s="1" t="s">
        <v>109</v>
      </c>
      <c r="H208" s="1" t="s">
        <v>122</v>
      </c>
      <c r="I208" s="1" t="s">
        <v>72</v>
      </c>
      <c r="J208" s="1" t="s">
        <v>28</v>
      </c>
      <c r="K208" s="1" t="s">
        <v>159</v>
      </c>
      <c r="L208" s="3">
        <v>33412.5</v>
      </c>
      <c r="M208" s="1">
        <v>16</v>
      </c>
      <c r="N208" s="3">
        <v>534600</v>
      </c>
      <c r="O208" s="4">
        <v>12.5</v>
      </c>
      <c r="P208" s="3">
        <v>467775</v>
      </c>
      <c r="Q208" s="4">
        <v>32.6</v>
      </c>
      <c r="R208" s="3">
        <v>152494.65</v>
      </c>
      <c r="S208" s="1" t="s">
        <v>40</v>
      </c>
    </row>
    <row r="209" spans="1:19" x14ac:dyDescent="0.3">
      <c r="A209" s="5" t="s">
        <v>494</v>
      </c>
      <c r="B209" s="5" t="s">
        <v>495</v>
      </c>
      <c r="C209" s="5" t="s">
        <v>101</v>
      </c>
      <c r="D209" s="5" t="s">
        <v>60</v>
      </c>
      <c r="E209" s="6" t="s">
        <v>256</v>
      </c>
      <c r="F209" s="5" t="s">
        <v>166</v>
      </c>
      <c r="G209" s="5" t="s">
        <v>63</v>
      </c>
      <c r="H209" s="5" t="s">
        <v>64</v>
      </c>
      <c r="I209" s="5" t="s">
        <v>47</v>
      </c>
      <c r="J209" s="5" t="s">
        <v>65</v>
      </c>
      <c r="K209" s="5" t="s">
        <v>102</v>
      </c>
      <c r="L209" s="7">
        <v>1585.81</v>
      </c>
      <c r="M209" s="5">
        <v>9</v>
      </c>
      <c r="N209" s="7">
        <v>14272.29</v>
      </c>
      <c r="O209" s="8">
        <v>12.3</v>
      </c>
      <c r="P209" s="7">
        <v>12516.8</v>
      </c>
      <c r="Q209" s="8">
        <v>45.9</v>
      </c>
      <c r="R209" s="7">
        <v>5745.21</v>
      </c>
      <c r="S209" s="5" t="s">
        <v>112</v>
      </c>
    </row>
    <row r="210" spans="1:19" x14ac:dyDescent="0.3">
      <c r="A210" s="1" t="s">
        <v>496</v>
      </c>
      <c r="B210" s="1" t="s">
        <v>497</v>
      </c>
      <c r="C210" s="1" t="s">
        <v>33</v>
      </c>
      <c r="D210" s="1" t="s">
        <v>22</v>
      </c>
      <c r="E210" s="2" t="s">
        <v>82</v>
      </c>
      <c r="F210" s="1" t="s">
        <v>24</v>
      </c>
      <c r="G210" s="1" t="s">
        <v>25</v>
      </c>
      <c r="H210" s="1" t="s">
        <v>132</v>
      </c>
      <c r="I210" s="1" t="s">
        <v>47</v>
      </c>
      <c r="J210" s="1" t="s">
        <v>93</v>
      </c>
      <c r="K210" s="1" t="s">
        <v>149</v>
      </c>
      <c r="L210" s="3">
        <v>66965.33</v>
      </c>
      <c r="M210" s="1">
        <v>4</v>
      </c>
      <c r="N210" s="3">
        <v>267861.32</v>
      </c>
      <c r="O210" s="4">
        <v>10.1</v>
      </c>
      <c r="P210" s="3">
        <v>240807.33</v>
      </c>
      <c r="Q210" s="4">
        <v>21.8</v>
      </c>
      <c r="R210" s="3">
        <v>52496</v>
      </c>
      <c r="S210" s="1" t="s">
        <v>40</v>
      </c>
    </row>
    <row r="211" spans="1:19" x14ac:dyDescent="0.3">
      <c r="A211" s="5" t="s">
        <v>498</v>
      </c>
      <c r="B211" s="5" t="s">
        <v>499</v>
      </c>
      <c r="C211" s="5" t="s">
        <v>75</v>
      </c>
      <c r="D211" s="5" t="s">
        <v>60</v>
      </c>
      <c r="E211" s="6" t="s">
        <v>256</v>
      </c>
      <c r="F211" s="5" t="s">
        <v>166</v>
      </c>
      <c r="G211" s="5" t="s">
        <v>109</v>
      </c>
      <c r="H211" s="5" t="s">
        <v>122</v>
      </c>
      <c r="I211" s="5" t="s">
        <v>72</v>
      </c>
      <c r="J211" s="5" t="s">
        <v>93</v>
      </c>
      <c r="K211" s="5" t="s">
        <v>149</v>
      </c>
      <c r="L211" s="7">
        <v>2160.7199999999998</v>
      </c>
      <c r="M211" s="5">
        <v>21</v>
      </c>
      <c r="N211" s="7">
        <v>45375.12</v>
      </c>
      <c r="O211" s="8">
        <v>10</v>
      </c>
      <c r="P211" s="7">
        <v>40837.61</v>
      </c>
      <c r="Q211" s="8">
        <v>46.1</v>
      </c>
      <c r="R211" s="7">
        <v>18826.14</v>
      </c>
      <c r="S211" s="5" t="s">
        <v>79</v>
      </c>
    </row>
    <row r="212" spans="1:19" x14ac:dyDescent="0.3">
      <c r="A212" s="1" t="s">
        <v>500</v>
      </c>
      <c r="B212" s="1" t="s">
        <v>501</v>
      </c>
      <c r="C212" s="1" t="s">
        <v>68</v>
      </c>
      <c r="D212" s="1" t="s">
        <v>69</v>
      </c>
      <c r="E212" s="2" t="s">
        <v>61</v>
      </c>
      <c r="F212" s="1" t="s">
        <v>62</v>
      </c>
      <c r="G212" s="1" t="s">
        <v>109</v>
      </c>
      <c r="H212" s="1" t="s">
        <v>122</v>
      </c>
      <c r="I212" s="1" t="s">
        <v>38</v>
      </c>
      <c r="J212" s="1" t="s">
        <v>93</v>
      </c>
      <c r="K212" s="1" t="s">
        <v>111</v>
      </c>
      <c r="L212" s="3">
        <v>2193.5</v>
      </c>
      <c r="M212" s="1">
        <v>17</v>
      </c>
      <c r="N212" s="3">
        <v>37289.5</v>
      </c>
      <c r="O212" s="4">
        <v>13.5</v>
      </c>
      <c r="P212" s="3">
        <v>32255.42</v>
      </c>
      <c r="Q212" s="4">
        <v>65.8</v>
      </c>
      <c r="R212" s="3">
        <v>21224.07</v>
      </c>
      <c r="S212" s="1" t="s">
        <v>40</v>
      </c>
    </row>
    <row r="213" spans="1:19" x14ac:dyDescent="0.3">
      <c r="A213" s="5" t="s">
        <v>502</v>
      </c>
      <c r="B213" s="5" t="s">
        <v>503</v>
      </c>
      <c r="C213" s="5" t="s">
        <v>75</v>
      </c>
      <c r="D213" s="5" t="s">
        <v>60</v>
      </c>
      <c r="E213" s="6" t="s">
        <v>358</v>
      </c>
      <c r="F213" s="5" t="s">
        <v>35</v>
      </c>
      <c r="G213" s="5" t="s">
        <v>109</v>
      </c>
      <c r="H213" s="5" t="s">
        <v>152</v>
      </c>
      <c r="I213" s="5" t="s">
        <v>72</v>
      </c>
      <c r="J213" s="5" t="s">
        <v>28</v>
      </c>
      <c r="K213" s="5" t="s">
        <v>111</v>
      </c>
      <c r="L213" s="7">
        <v>28120.48</v>
      </c>
      <c r="M213" s="5">
        <v>8</v>
      </c>
      <c r="N213" s="7">
        <v>224963.84</v>
      </c>
      <c r="O213" s="8">
        <v>11.2</v>
      </c>
      <c r="P213" s="7">
        <v>199767.89</v>
      </c>
      <c r="Q213" s="8">
        <v>50.8</v>
      </c>
      <c r="R213" s="7">
        <v>101482.09</v>
      </c>
      <c r="S213" s="5" t="s">
        <v>40</v>
      </c>
    </row>
    <row r="214" spans="1:19" x14ac:dyDescent="0.3">
      <c r="A214" s="1" t="s">
        <v>504</v>
      </c>
      <c r="B214" s="1" t="s">
        <v>505</v>
      </c>
      <c r="C214" s="1" t="s">
        <v>101</v>
      </c>
      <c r="D214" s="1" t="s">
        <v>60</v>
      </c>
      <c r="E214" s="2" t="s">
        <v>108</v>
      </c>
      <c r="F214" s="1" t="s">
        <v>35</v>
      </c>
      <c r="G214" s="1" t="s">
        <v>25</v>
      </c>
      <c r="H214" s="1" t="s">
        <v>215</v>
      </c>
      <c r="I214" s="1" t="s">
        <v>72</v>
      </c>
      <c r="J214" s="1" t="s">
        <v>28</v>
      </c>
      <c r="K214" s="1" t="s">
        <v>88</v>
      </c>
      <c r="L214" s="3">
        <v>40969.89</v>
      </c>
      <c r="M214" s="1">
        <v>15</v>
      </c>
      <c r="N214" s="3">
        <v>614548.35</v>
      </c>
      <c r="O214" s="4">
        <v>23.5</v>
      </c>
      <c r="P214" s="3">
        <v>470129.49</v>
      </c>
      <c r="Q214" s="4">
        <v>42.3</v>
      </c>
      <c r="R214" s="3">
        <v>198864.77</v>
      </c>
      <c r="S214" s="1" t="s">
        <v>40</v>
      </c>
    </row>
    <row r="215" spans="1:19" x14ac:dyDescent="0.3">
      <c r="A215" s="5" t="s">
        <v>506</v>
      </c>
      <c r="B215" s="5" t="s">
        <v>507</v>
      </c>
      <c r="C215" s="5" t="s">
        <v>33</v>
      </c>
      <c r="D215" s="5" t="s">
        <v>22</v>
      </c>
      <c r="E215" s="6" t="s">
        <v>51</v>
      </c>
      <c r="F215" s="5" t="s">
        <v>52</v>
      </c>
      <c r="G215" s="5" t="s">
        <v>109</v>
      </c>
      <c r="H215" s="5" t="s">
        <v>110</v>
      </c>
      <c r="I215" s="5" t="s">
        <v>72</v>
      </c>
      <c r="J215" s="5" t="s">
        <v>93</v>
      </c>
      <c r="K215" s="5" t="s">
        <v>48</v>
      </c>
      <c r="L215" s="7">
        <v>1944.81</v>
      </c>
      <c r="M215" s="5">
        <v>10</v>
      </c>
      <c r="N215" s="7">
        <v>19448.099999999999</v>
      </c>
      <c r="O215" s="8">
        <v>4.8</v>
      </c>
      <c r="P215" s="7">
        <v>18514.59</v>
      </c>
      <c r="Q215" s="8">
        <v>44.9</v>
      </c>
      <c r="R215" s="7">
        <v>8313.0499999999993</v>
      </c>
      <c r="S215" s="5" t="s">
        <v>40</v>
      </c>
    </row>
    <row r="216" spans="1:19" x14ac:dyDescent="0.3">
      <c r="A216" s="1" t="s">
        <v>508</v>
      </c>
      <c r="B216" s="1" t="s">
        <v>480</v>
      </c>
      <c r="C216" s="1" t="s">
        <v>131</v>
      </c>
      <c r="D216" s="1" t="s">
        <v>69</v>
      </c>
      <c r="E216" s="2" t="s">
        <v>306</v>
      </c>
      <c r="F216" s="1" t="s">
        <v>35</v>
      </c>
      <c r="G216" s="1" t="s">
        <v>53</v>
      </c>
      <c r="H216" s="1" t="s">
        <v>54</v>
      </c>
      <c r="I216" s="1" t="s">
        <v>72</v>
      </c>
      <c r="J216" s="1" t="s">
        <v>65</v>
      </c>
      <c r="K216" s="1" t="s">
        <v>159</v>
      </c>
      <c r="L216" s="3">
        <v>13016.82</v>
      </c>
      <c r="M216" s="1">
        <v>15</v>
      </c>
      <c r="N216" s="3">
        <v>195252.3</v>
      </c>
      <c r="O216" s="4">
        <v>18.600000000000001</v>
      </c>
      <c r="P216" s="3">
        <v>158935.37</v>
      </c>
      <c r="Q216" s="4">
        <v>36</v>
      </c>
      <c r="R216" s="3">
        <v>57216.73</v>
      </c>
      <c r="S216" s="1" t="s">
        <v>40</v>
      </c>
    </row>
    <row r="217" spans="1:19" x14ac:dyDescent="0.3">
      <c r="A217" s="5" t="s">
        <v>509</v>
      </c>
      <c r="B217" s="5" t="s">
        <v>503</v>
      </c>
      <c r="C217" s="5" t="s">
        <v>75</v>
      </c>
      <c r="D217" s="5" t="s">
        <v>60</v>
      </c>
      <c r="E217" s="6" t="s">
        <v>170</v>
      </c>
      <c r="F217" s="5" t="s">
        <v>52</v>
      </c>
      <c r="G217" s="5" t="s">
        <v>36</v>
      </c>
      <c r="H217" s="5" t="s">
        <v>105</v>
      </c>
      <c r="I217" s="5" t="s">
        <v>55</v>
      </c>
      <c r="J217" s="5" t="s">
        <v>47</v>
      </c>
      <c r="K217" s="5" t="s">
        <v>39</v>
      </c>
      <c r="L217" s="7">
        <v>4288.63</v>
      </c>
      <c r="M217" s="5">
        <v>25</v>
      </c>
      <c r="N217" s="7">
        <v>107215.75</v>
      </c>
      <c r="O217" s="8">
        <v>5.8</v>
      </c>
      <c r="P217" s="7">
        <v>100997.24</v>
      </c>
      <c r="Q217" s="8">
        <v>39.299999999999997</v>
      </c>
      <c r="R217" s="7">
        <v>39691.919999999998</v>
      </c>
      <c r="S217" s="5" t="s">
        <v>112</v>
      </c>
    </row>
    <row r="218" spans="1:19" x14ac:dyDescent="0.3">
      <c r="A218" s="1" t="s">
        <v>510</v>
      </c>
      <c r="B218" s="1" t="s">
        <v>511</v>
      </c>
      <c r="C218" s="1" t="s">
        <v>68</v>
      </c>
      <c r="D218" s="1" t="s">
        <v>69</v>
      </c>
      <c r="E218" s="2" t="s">
        <v>358</v>
      </c>
      <c r="F218" s="1" t="s">
        <v>35</v>
      </c>
      <c r="G218" s="1" t="s">
        <v>109</v>
      </c>
      <c r="H218" s="1" t="s">
        <v>110</v>
      </c>
      <c r="I218" s="1" t="s">
        <v>27</v>
      </c>
      <c r="J218" s="1" t="s">
        <v>65</v>
      </c>
      <c r="K218" s="1" t="s">
        <v>78</v>
      </c>
      <c r="L218" s="3">
        <v>26247.79</v>
      </c>
      <c r="M218" s="1">
        <v>3</v>
      </c>
      <c r="N218" s="3">
        <v>78743.37</v>
      </c>
      <c r="O218" s="4">
        <v>12.7</v>
      </c>
      <c r="P218" s="3">
        <v>68742.960000000006</v>
      </c>
      <c r="Q218" s="4">
        <v>30.9</v>
      </c>
      <c r="R218" s="3">
        <v>21241.57</v>
      </c>
      <c r="S218" s="1" t="s">
        <v>79</v>
      </c>
    </row>
    <row r="219" spans="1:19" x14ac:dyDescent="0.3">
      <c r="A219" s="5" t="s">
        <v>512</v>
      </c>
      <c r="B219" s="5" t="s">
        <v>513</v>
      </c>
      <c r="C219" s="5" t="s">
        <v>68</v>
      </c>
      <c r="D219" s="5" t="s">
        <v>69</v>
      </c>
      <c r="E219" s="6" t="s">
        <v>114</v>
      </c>
      <c r="F219" s="5" t="s">
        <v>45</v>
      </c>
      <c r="G219" s="5" t="s">
        <v>25</v>
      </c>
      <c r="H219" s="5" t="s">
        <v>215</v>
      </c>
      <c r="I219" s="5" t="s">
        <v>72</v>
      </c>
      <c r="J219" s="5" t="s">
        <v>28</v>
      </c>
      <c r="K219" s="5" t="s">
        <v>78</v>
      </c>
      <c r="L219" s="7">
        <v>109.57</v>
      </c>
      <c r="M219" s="5">
        <v>24</v>
      </c>
      <c r="N219" s="7">
        <v>2629.68</v>
      </c>
      <c r="O219" s="8">
        <v>7.7</v>
      </c>
      <c r="P219" s="7">
        <v>2427.19</v>
      </c>
      <c r="Q219" s="8">
        <v>39.700000000000003</v>
      </c>
      <c r="R219" s="7">
        <v>963.59</v>
      </c>
      <c r="S219" s="5" t="s">
        <v>40</v>
      </c>
    </row>
    <row r="220" spans="1:19" x14ac:dyDescent="0.3">
      <c r="A220" s="1" t="s">
        <v>514</v>
      </c>
      <c r="B220" s="1" t="s">
        <v>515</v>
      </c>
      <c r="C220" s="1" t="s">
        <v>21</v>
      </c>
      <c r="D220" s="1" t="s">
        <v>22</v>
      </c>
      <c r="E220" s="2" t="s">
        <v>158</v>
      </c>
      <c r="F220" s="1" t="s">
        <v>35</v>
      </c>
      <c r="G220" s="1" t="s">
        <v>53</v>
      </c>
      <c r="H220" s="1" t="s">
        <v>71</v>
      </c>
      <c r="I220" s="1" t="s">
        <v>72</v>
      </c>
      <c r="J220" s="1" t="s">
        <v>65</v>
      </c>
      <c r="K220" s="1" t="s">
        <v>88</v>
      </c>
      <c r="L220" s="3">
        <v>32567.17</v>
      </c>
      <c r="M220" s="1">
        <v>10</v>
      </c>
      <c r="N220" s="3">
        <v>325671.7</v>
      </c>
      <c r="O220" s="4">
        <v>23.8</v>
      </c>
      <c r="P220" s="3">
        <v>248161.84</v>
      </c>
      <c r="Q220" s="4">
        <v>34.299999999999997</v>
      </c>
      <c r="R220" s="3">
        <v>85119.51</v>
      </c>
      <c r="S220" s="1" t="s">
        <v>40</v>
      </c>
    </row>
    <row r="221" spans="1:19" x14ac:dyDescent="0.3">
      <c r="A221" s="5" t="s">
        <v>516</v>
      </c>
      <c r="B221" s="5" t="s">
        <v>517</v>
      </c>
      <c r="C221" s="5" t="s">
        <v>75</v>
      </c>
      <c r="D221" s="5" t="s">
        <v>60</v>
      </c>
      <c r="E221" s="6" t="s">
        <v>306</v>
      </c>
      <c r="F221" s="5" t="s">
        <v>35</v>
      </c>
      <c r="G221" s="5" t="s">
        <v>25</v>
      </c>
      <c r="H221" s="5" t="s">
        <v>46</v>
      </c>
      <c r="I221" s="5" t="s">
        <v>72</v>
      </c>
      <c r="J221" s="5" t="s">
        <v>47</v>
      </c>
      <c r="K221" s="5" t="s">
        <v>102</v>
      </c>
      <c r="L221" s="7">
        <v>6316.67</v>
      </c>
      <c r="M221" s="5">
        <v>6</v>
      </c>
      <c r="N221" s="7">
        <v>37900.019999999997</v>
      </c>
      <c r="O221" s="8">
        <v>23.7</v>
      </c>
      <c r="P221" s="7">
        <v>28917.72</v>
      </c>
      <c r="Q221" s="8">
        <v>49.3</v>
      </c>
      <c r="R221" s="7">
        <v>14256.44</v>
      </c>
      <c r="S221" s="5" t="s">
        <v>79</v>
      </c>
    </row>
    <row r="222" spans="1:19" x14ac:dyDescent="0.3">
      <c r="A222" s="1" t="s">
        <v>518</v>
      </c>
      <c r="B222" s="1" t="s">
        <v>519</v>
      </c>
      <c r="C222" s="1" t="s">
        <v>85</v>
      </c>
      <c r="D222" s="1" t="s">
        <v>86</v>
      </c>
      <c r="E222" s="2" t="s">
        <v>346</v>
      </c>
      <c r="F222" s="1" t="s">
        <v>35</v>
      </c>
      <c r="G222" s="1" t="s">
        <v>25</v>
      </c>
      <c r="H222" s="1" t="s">
        <v>215</v>
      </c>
      <c r="I222" s="1" t="s">
        <v>38</v>
      </c>
      <c r="J222" s="1" t="s">
        <v>28</v>
      </c>
      <c r="K222" s="1" t="s">
        <v>88</v>
      </c>
      <c r="L222" s="3">
        <v>34484.199999999997</v>
      </c>
      <c r="M222" s="1">
        <v>5</v>
      </c>
      <c r="N222" s="3">
        <v>172421</v>
      </c>
      <c r="O222" s="4">
        <v>20.9</v>
      </c>
      <c r="P222" s="3">
        <v>136385.01</v>
      </c>
      <c r="Q222" s="4">
        <v>45.5</v>
      </c>
      <c r="R222" s="3">
        <v>62055.18</v>
      </c>
      <c r="S222" s="1" t="s">
        <v>40</v>
      </c>
    </row>
    <row r="223" spans="1:19" x14ac:dyDescent="0.3">
      <c r="A223" s="5" t="s">
        <v>520</v>
      </c>
      <c r="B223" s="5" t="s">
        <v>521</v>
      </c>
      <c r="C223" s="5" t="s">
        <v>101</v>
      </c>
      <c r="D223" s="5" t="s">
        <v>60</v>
      </c>
      <c r="E223" s="6" t="s">
        <v>410</v>
      </c>
      <c r="F223" s="5" t="s">
        <v>166</v>
      </c>
      <c r="G223" s="5" t="s">
        <v>63</v>
      </c>
      <c r="H223" s="5" t="s">
        <v>92</v>
      </c>
      <c r="I223" s="5" t="s">
        <v>55</v>
      </c>
      <c r="J223" s="5" t="s">
        <v>28</v>
      </c>
      <c r="K223" s="5" t="s">
        <v>29</v>
      </c>
      <c r="L223" s="7">
        <v>3104.55</v>
      </c>
      <c r="M223" s="5">
        <v>7</v>
      </c>
      <c r="N223" s="7">
        <v>21731.85</v>
      </c>
      <c r="O223" s="8">
        <v>16.399999999999999</v>
      </c>
      <c r="P223" s="7">
        <v>18167.830000000002</v>
      </c>
      <c r="Q223" s="8">
        <v>48</v>
      </c>
      <c r="R223" s="7">
        <v>8720.56</v>
      </c>
      <c r="S223" s="5" t="s">
        <v>40</v>
      </c>
    </row>
    <row r="224" spans="1:19" x14ac:dyDescent="0.3">
      <c r="A224" s="1" t="s">
        <v>522</v>
      </c>
      <c r="B224" s="1" t="s">
        <v>523</v>
      </c>
      <c r="C224" s="1" t="s">
        <v>43</v>
      </c>
      <c r="D224" s="1" t="s">
        <v>22</v>
      </c>
      <c r="E224" s="2" t="s">
        <v>51</v>
      </c>
      <c r="F224" s="1" t="s">
        <v>52</v>
      </c>
      <c r="G224" s="1" t="s">
        <v>63</v>
      </c>
      <c r="H224" s="1" t="s">
        <v>87</v>
      </c>
      <c r="I224" s="1" t="s">
        <v>55</v>
      </c>
      <c r="J224" s="1" t="s">
        <v>65</v>
      </c>
      <c r="K224" s="1" t="s">
        <v>111</v>
      </c>
      <c r="L224" s="3">
        <v>6943.28</v>
      </c>
      <c r="M224" s="1">
        <v>3</v>
      </c>
      <c r="N224" s="3">
        <v>20829.84</v>
      </c>
      <c r="O224" s="4">
        <v>13.7</v>
      </c>
      <c r="P224" s="3">
        <v>17976.150000000001</v>
      </c>
      <c r="Q224" s="4">
        <v>33.200000000000003</v>
      </c>
      <c r="R224" s="3">
        <v>5968.08</v>
      </c>
      <c r="S224" s="1" t="s">
        <v>79</v>
      </c>
    </row>
    <row r="225" spans="1:19" x14ac:dyDescent="0.3">
      <c r="A225" s="5" t="s">
        <v>524</v>
      </c>
      <c r="B225" s="5" t="s">
        <v>525</v>
      </c>
      <c r="C225" s="5" t="s">
        <v>21</v>
      </c>
      <c r="D225" s="5" t="s">
        <v>22</v>
      </c>
      <c r="E225" s="6" t="s">
        <v>61</v>
      </c>
      <c r="F225" s="5" t="s">
        <v>62</v>
      </c>
      <c r="G225" s="5" t="s">
        <v>63</v>
      </c>
      <c r="H225" s="5" t="s">
        <v>64</v>
      </c>
      <c r="I225" s="5" t="s">
        <v>55</v>
      </c>
      <c r="J225" s="5" t="s">
        <v>47</v>
      </c>
      <c r="K225" s="5" t="s">
        <v>111</v>
      </c>
      <c r="L225" s="7">
        <v>1298.9000000000001</v>
      </c>
      <c r="M225" s="5">
        <v>13</v>
      </c>
      <c r="N225" s="7">
        <v>16885.7</v>
      </c>
      <c r="O225" s="8">
        <v>3.4</v>
      </c>
      <c r="P225" s="7">
        <v>16311.59</v>
      </c>
      <c r="Q225" s="8">
        <v>69.2</v>
      </c>
      <c r="R225" s="7">
        <v>11287.62</v>
      </c>
      <c r="S225" s="5" t="s">
        <v>40</v>
      </c>
    </row>
    <row r="226" spans="1:19" x14ac:dyDescent="0.3">
      <c r="A226" s="1" t="s">
        <v>526</v>
      </c>
      <c r="B226" s="1" t="s">
        <v>527</v>
      </c>
      <c r="C226" s="1" t="s">
        <v>117</v>
      </c>
      <c r="D226" s="1" t="s">
        <v>86</v>
      </c>
      <c r="E226" s="2" t="s">
        <v>155</v>
      </c>
      <c r="F226" s="1" t="s">
        <v>24</v>
      </c>
      <c r="G226" s="1" t="s">
        <v>53</v>
      </c>
      <c r="H226" s="1" t="s">
        <v>98</v>
      </c>
      <c r="I226" s="1" t="s">
        <v>47</v>
      </c>
      <c r="J226" s="1" t="s">
        <v>93</v>
      </c>
      <c r="K226" s="1" t="s">
        <v>39</v>
      </c>
      <c r="L226" s="3">
        <v>31934.04</v>
      </c>
      <c r="M226" s="1">
        <v>24</v>
      </c>
      <c r="N226" s="3">
        <v>766416.96</v>
      </c>
      <c r="O226" s="4">
        <v>0.8</v>
      </c>
      <c r="P226" s="3">
        <v>760285.62</v>
      </c>
      <c r="Q226" s="4">
        <v>30.6</v>
      </c>
      <c r="R226" s="3">
        <v>232647.4</v>
      </c>
      <c r="S226" s="1" t="s">
        <v>79</v>
      </c>
    </row>
    <row r="227" spans="1:19" x14ac:dyDescent="0.3">
      <c r="A227" s="5" t="s">
        <v>528</v>
      </c>
      <c r="B227" s="5" t="s">
        <v>362</v>
      </c>
      <c r="C227" s="5" t="s">
        <v>117</v>
      </c>
      <c r="D227" s="5" t="s">
        <v>86</v>
      </c>
      <c r="E227" s="6" t="s">
        <v>180</v>
      </c>
      <c r="F227" s="5" t="s">
        <v>166</v>
      </c>
      <c r="G227" s="5" t="s">
        <v>53</v>
      </c>
      <c r="H227" s="5" t="s">
        <v>77</v>
      </c>
      <c r="I227" s="5" t="s">
        <v>55</v>
      </c>
      <c r="J227" s="5" t="s">
        <v>28</v>
      </c>
      <c r="K227" s="5" t="s">
        <v>78</v>
      </c>
      <c r="L227" s="7">
        <v>3954.29</v>
      </c>
      <c r="M227" s="5">
        <v>16</v>
      </c>
      <c r="N227" s="7">
        <v>63268.639999999999</v>
      </c>
      <c r="O227" s="8">
        <v>21.6</v>
      </c>
      <c r="P227" s="7">
        <v>49602.61</v>
      </c>
      <c r="Q227" s="8">
        <v>61.7</v>
      </c>
      <c r="R227" s="7">
        <v>30604.81</v>
      </c>
      <c r="S227" s="5" t="s">
        <v>40</v>
      </c>
    </row>
    <row r="228" spans="1:19" x14ac:dyDescent="0.3">
      <c r="A228" s="1" t="s">
        <v>529</v>
      </c>
      <c r="B228" s="1" t="s">
        <v>223</v>
      </c>
      <c r="C228" s="1" t="s">
        <v>33</v>
      </c>
      <c r="D228" s="1" t="s">
        <v>22</v>
      </c>
      <c r="E228" s="2" t="s">
        <v>108</v>
      </c>
      <c r="F228" s="1" t="s">
        <v>35</v>
      </c>
      <c r="G228" s="1" t="s">
        <v>63</v>
      </c>
      <c r="H228" s="1" t="s">
        <v>64</v>
      </c>
      <c r="I228" s="1" t="s">
        <v>47</v>
      </c>
      <c r="J228" s="1" t="s">
        <v>28</v>
      </c>
      <c r="K228" s="1" t="s">
        <v>78</v>
      </c>
      <c r="L228" s="3">
        <v>42368.84</v>
      </c>
      <c r="M228" s="1">
        <v>18</v>
      </c>
      <c r="N228" s="3">
        <v>762639.12</v>
      </c>
      <c r="O228" s="4">
        <v>7.8</v>
      </c>
      <c r="P228" s="3">
        <v>703153.27</v>
      </c>
      <c r="Q228" s="4">
        <v>49.8</v>
      </c>
      <c r="R228" s="3">
        <v>350170.33</v>
      </c>
      <c r="S228" s="1" t="s">
        <v>40</v>
      </c>
    </row>
    <row r="229" spans="1:19" x14ac:dyDescent="0.3">
      <c r="A229" s="5" t="s">
        <v>530</v>
      </c>
      <c r="B229" s="5" t="s">
        <v>531</v>
      </c>
      <c r="C229" s="5" t="s">
        <v>21</v>
      </c>
      <c r="D229" s="5" t="s">
        <v>22</v>
      </c>
      <c r="E229" s="6" t="s">
        <v>303</v>
      </c>
      <c r="F229" s="5" t="s">
        <v>62</v>
      </c>
      <c r="G229" s="5" t="s">
        <v>63</v>
      </c>
      <c r="H229" s="5" t="s">
        <v>92</v>
      </c>
      <c r="I229" s="5" t="s">
        <v>27</v>
      </c>
      <c r="J229" s="5" t="s">
        <v>93</v>
      </c>
      <c r="K229" s="5" t="s">
        <v>88</v>
      </c>
      <c r="L229" s="7">
        <v>3900.03</v>
      </c>
      <c r="M229" s="5">
        <v>3</v>
      </c>
      <c r="N229" s="7">
        <v>11700.09</v>
      </c>
      <c r="O229" s="8">
        <v>12</v>
      </c>
      <c r="P229" s="7">
        <v>10296.08</v>
      </c>
      <c r="Q229" s="8">
        <v>65.400000000000006</v>
      </c>
      <c r="R229" s="7">
        <v>6733.64</v>
      </c>
      <c r="S229" s="5" t="s">
        <v>40</v>
      </c>
    </row>
    <row r="230" spans="1:19" x14ac:dyDescent="0.3">
      <c r="A230" s="1" t="s">
        <v>532</v>
      </c>
      <c r="B230" s="1" t="s">
        <v>533</v>
      </c>
      <c r="C230" s="1" t="s">
        <v>101</v>
      </c>
      <c r="D230" s="1" t="s">
        <v>60</v>
      </c>
      <c r="E230" s="2" t="s">
        <v>165</v>
      </c>
      <c r="F230" s="1" t="s">
        <v>166</v>
      </c>
      <c r="G230" s="1" t="s">
        <v>36</v>
      </c>
      <c r="H230" s="1" t="s">
        <v>119</v>
      </c>
      <c r="I230" s="1" t="s">
        <v>72</v>
      </c>
      <c r="J230" s="1" t="s">
        <v>28</v>
      </c>
      <c r="K230" s="1" t="s">
        <v>39</v>
      </c>
      <c r="L230" s="3">
        <v>4828.96</v>
      </c>
      <c r="M230" s="1">
        <v>23</v>
      </c>
      <c r="N230" s="3">
        <v>111066.08</v>
      </c>
      <c r="O230" s="4">
        <v>14.2</v>
      </c>
      <c r="P230" s="3">
        <v>95294.7</v>
      </c>
      <c r="Q230" s="4">
        <v>42.3</v>
      </c>
      <c r="R230" s="3">
        <v>40309.660000000003</v>
      </c>
      <c r="S230" s="1" t="s">
        <v>40</v>
      </c>
    </row>
    <row r="231" spans="1:19" x14ac:dyDescent="0.3">
      <c r="A231" s="5" t="s">
        <v>534</v>
      </c>
      <c r="B231" s="5" t="s">
        <v>339</v>
      </c>
      <c r="C231" s="5" t="s">
        <v>135</v>
      </c>
      <c r="D231" s="5" t="s">
        <v>69</v>
      </c>
      <c r="E231" s="6" t="s">
        <v>174</v>
      </c>
      <c r="F231" s="5" t="s">
        <v>45</v>
      </c>
      <c r="G231" s="5" t="s">
        <v>25</v>
      </c>
      <c r="H231" s="5" t="s">
        <v>46</v>
      </c>
      <c r="I231" s="5" t="s">
        <v>38</v>
      </c>
      <c r="J231" s="5" t="s">
        <v>65</v>
      </c>
      <c r="K231" s="5" t="s">
        <v>48</v>
      </c>
      <c r="L231" s="7">
        <v>901.2</v>
      </c>
      <c r="M231" s="5">
        <v>5</v>
      </c>
      <c r="N231" s="7">
        <v>4506</v>
      </c>
      <c r="O231" s="8">
        <v>18.600000000000001</v>
      </c>
      <c r="P231" s="7">
        <v>3667.88</v>
      </c>
      <c r="Q231" s="8">
        <v>31.1</v>
      </c>
      <c r="R231" s="7">
        <v>1140.71</v>
      </c>
      <c r="S231" s="5" t="s">
        <v>79</v>
      </c>
    </row>
    <row r="232" spans="1:19" x14ac:dyDescent="0.3">
      <c r="A232" s="1" t="s">
        <v>535</v>
      </c>
      <c r="B232" s="1" t="s">
        <v>536</v>
      </c>
      <c r="C232" s="1" t="s">
        <v>43</v>
      </c>
      <c r="D232" s="1" t="s">
        <v>22</v>
      </c>
      <c r="E232" s="2" t="s">
        <v>246</v>
      </c>
      <c r="F232" s="1" t="s">
        <v>52</v>
      </c>
      <c r="G232" s="1" t="s">
        <v>25</v>
      </c>
      <c r="H232" s="1" t="s">
        <v>26</v>
      </c>
      <c r="I232" s="1" t="s">
        <v>55</v>
      </c>
      <c r="J232" s="1" t="s">
        <v>47</v>
      </c>
      <c r="K232" s="1" t="s">
        <v>159</v>
      </c>
      <c r="L232" s="3">
        <v>8453.99</v>
      </c>
      <c r="M232" s="1">
        <v>21</v>
      </c>
      <c r="N232" s="3">
        <v>177533.79</v>
      </c>
      <c r="O232" s="4">
        <v>5.8</v>
      </c>
      <c r="P232" s="3">
        <v>167236.82999999999</v>
      </c>
      <c r="Q232" s="4">
        <v>28.7</v>
      </c>
      <c r="R232" s="3">
        <v>47996.97</v>
      </c>
      <c r="S232" s="1" t="s">
        <v>40</v>
      </c>
    </row>
    <row r="233" spans="1:19" x14ac:dyDescent="0.3">
      <c r="A233" s="5" t="s">
        <v>537</v>
      </c>
      <c r="B233" s="5" t="s">
        <v>538</v>
      </c>
      <c r="C233" s="5" t="s">
        <v>68</v>
      </c>
      <c r="D233" s="5" t="s">
        <v>69</v>
      </c>
      <c r="E233" s="6" t="s">
        <v>44</v>
      </c>
      <c r="F233" s="5" t="s">
        <v>45</v>
      </c>
      <c r="G233" s="5" t="s">
        <v>36</v>
      </c>
      <c r="H233" s="5" t="s">
        <v>37</v>
      </c>
      <c r="I233" s="5" t="s">
        <v>72</v>
      </c>
      <c r="J233" s="5" t="s">
        <v>93</v>
      </c>
      <c r="K233" s="5" t="s">
        <v>88</v>
      </c>
      <c r="L233" s="7">
        <v>874.4</v>
      </c>
      <c r="M233" s="5">
        <v>15</v>
      </c>
      <c r="N233" s="7">
        <v>13116</v>
      </c>
      <c r="O233" s="8">
        <v>2.1</v>
      </c>
      <c r="P233" s="7">
        <v>12840.56</v>
      </c>
      <c r="Q233" s="8">
        <v>21.7</v>
      </c>
      <c r="R233" s="7">
        <v>2786.4</v>
      </c>
      <c r="S233" s="5" t="s">
        <v>30</v>
      </c>
    </row>
    <row r="234" spans="1:19" x14ac:dyDescent="0.3">
      <c r="A234" s="1" t="s">
        <v>539</v>
      </c>
      <c r="B234" s="1" t="s">
        <v>540</v>
      </c>
      <c r="C234" s="1" t="s">
        <v>68</v>
      </c>
      <c r="D234" s="1" t="s">
        <v>69</v>
      </c>
      <c r="E234" s="2" t="s">
        <v>180</v>
      </c>
      <c r="F234" s="1" t="s">
        <v>166</v>
      </c>
      <c r="G234" s="1" t="s">
        <v>109</v>
      </c>
      <c r="H234" s="1" t="s">
        <v>110</v>
      </c>
      <c r="I234" s="1" t="s">
        <v>27</v>
      </c>
      <c r="J234" s="1" t="s">
        <v>28</v>
      </c>
      <c r="K234" s="1" t="s">
        <v>149</v>
      </c>
      <c r="L234" s="3">
        <v>4587.9799999999996</v>
      </c>
      <c r="M234" s="1">
        <v>9</v>
      </c>
      <c r="N234" s="3">
        <v>41291.82</v>
      </c>
      <c r="O234" s="4">
        <v>1.4</v>
      </c>
      <c r="P234" s="3">
        <v>40713.730000000003</v>
      </c>
      <c r="Q234" s="4">
        <v>50.2</v>
      </c>
      <c r="R234" s="3">
        <v>20438.29</v>
      </c>
      <c r="S234" s="1" t="s">
        <v>30</v>
      </c>
    </row>
    <row r="235" spans="1:19" x14ac:dyDescent="0.3">
      <c r="A235" s="5" t="s">
        <v>541</v>
      </c>
      <c r="B235" s="5" t="s">
        <v>163</v>
      </c>
      <c r="C235" s="5" t="s">
        <v>21</v>
      </c>
      <c r="D235" s="5" t="s">
        <v>22</v>
      </c>
      <c r="E235" s="6" t="s">
        <v>165</v>
      </c>
      <c r="F235" s="5" t="s">
        <v>166</v>
      </c>
      <c r="G235" s="5" t="s">
        <v>109</v>
      </c>
      <c r="H235" s="5" t="s">
        <v>110</v>
      </c>
      <c r="I235" s="5" t="s">
        <v>47</v>
      </c>
      <c r="J235" s="5" t="s">
        <v>28</v>
      </c>
      <c r="K235" s="5" t="s">
        <v>39</v>
      </c>
      <c r="L235" s="7">
        <v>454.22</v>
      </c>
      <c r="M235" s="5">
        <v>2</v>
      </c>
      <c r="N235" s="7">
        <v>908.44</v>
      </c>
      <c r="O235" s="8">
        <v>17.5</v>
      </c>
      <c r="P235" s="7">
        <v>749.46</v>
      </c>
      <c r="Q235" s="8">
        <v>42.4</v>
      </c>
      <c r="R235" s="7">
        <v>317.77</v>
      </c>
      <c r="S235" s="5" t="s">
        <v>40</v>
      </c>
    </row>
    <row r="236" spans="1:19" x14ac:dyDescent="0.3">
      <c r="A236" s="1" t="s">
        <v>542</v>
      </c>
      <c r="B236" s="1" t="s">
        <v>95</v>
      </c>
      <c r="C236" s="1" t="s">
        <v>96</v>
      </c>
      <c r="D236" s="1" t="s">
        <v>86</v>
      </c>
      <c r="E236" s="2" t="s">
        <v>217</v>
      </c>
      <c r="F236" s="1" t="s">
        <v>62</v>
      </c>
      <c r="G236" s="1" t="s">
        <v>53</v>
      </c>
      <c r="H236" s="1" t="s">
        <v>77</v>
      </c>
      <c r="I236" s="1" t="s">
        <v>38</v>
      </c>
      <c r="J236" s="1" t="s">
        <v>93</v>
      </c>
      <c r="K236" s="1" t="s">
        <v>29</v>
      </c>
      <c r="L236" s="3">
        <v>2039.39</v>
      </c>
      <c r="M236" s="1">
        <v>3</v>
      </c>
      <c r="N236" s="3">
        <v>6118.17</v>
      </c>
      <c r="O236" s="4">
        <v>1.8</v>
      </c>
      <c r="P236" s="3">
        <v>6008.04</v>
      </c>
      <c r="Q236" s="4">
        <v>48.9</v>
      </c>
      <c r="R236" s="3">
        <v>2937.93</v>
      </c>
      <c r="S236" s="1" t="s">
        <v>40</v>
      </c>
    </row>
    <row r="237" spans="1:19" x14ac:dyDescent="0.3">
      <c r="A237" s="5" t="s">
        <v>543</v>
      </c>
      <c r="B237" s="5" t="s">
        <v>407</v>
      </c>
      <c r="C237" s="5" t="s">
        <v>59</v>
      </c>
      <c r="D237" s="5" t="s">
        <v>60</v>
      </c>
      <c r="E237" s="6" t="s">
        <v>148</v>
      </c>
      <c r="F237" s="5" t="s">
        <v>52</v>
      </c>
      <c r="G237" s="5" t="s">
        <v>36</v>
      </c>
      <c r="H237" s="5" t="s">
        <v>105</v>
      </c>
      <c r="I237" s="5" t="s">
        <v>38</v>
      </c>
      <c r="J237" s="5" t="s">
        <v>28</v>
      </c>
      <c r="K237" s="5" t="s">
        <v>88</v>
      </c>
      <c r="L237" s="7">
        <v>819.5</v>
      </c>
      <c r="M237" s="5">
        <v>12</v>
      </c>
      <c r="N237" s="7">
        <v>9834</v>
      </c>
      <c r="O237" s="8">
        <v>24.6</v>
      </c>
      <c r="P237" s="7">
        <v>7414.84</v>
      </c>
      <c r="Q237" s="8">
        <v>42.6</v>
      </c>
      <c r="R237" s="7">
        <v>3158.72</v>
      </c>
      <c r="S237" s="5" t="s">
        <v>40</v>
      </c>
    </row>
    <row r="238" spans="1:19" x14ac:dyDescent="0.3">
      <c r="A238" s="1" t="s">
        <v>544</v>
      </c>
      <c r="B238" s="1" t="s">
        <v>191</v>
      </c>
      <c r="C238" s="1" t="s">
        <v>131</v>
      </c>
      <c r="D238" s="1" t="s">
        <v>69</v>
      </c>
      <c r="E238" s="2" t="s">
        <v>165</v>
      </c>
      <c r="F238" s="1" t="s">
        <v>166</v>
      </c>
      <c r="G238" s="1" t="s">
        <v>53</v>
      </c>
      <c r="H238" s="1" t="s">
        <v>77</v>
      </c>
      <c r="I238" s="1" t="s">
        <v>38</v>
      </c>
      <c r="J238" s="1" t="s">
        <v>93</v>
      </c>
      <c r="K238" s="1" t="s">
        <v>88</v>
      </c>
      <c r="L238" s="3">
        <v>3634.66</v>
      </c>
      <c r="M238" s="1">
        <v>21</v>
      </c>
      <c r="N238" s="3">
        <v>76327.86</v>
      </c>
      <c r="O238" s="4">
        <v>4.3</v>
      </c>
      <c r="P238" s="3">
        <v>73045.759999999995</v>
      </c>
      <c r="Q238" s="4">
        <v>60.2</v>
      </c>
      <c r="R238" s="3">
        <v>43973.55</v>
      </c>
      <c r="S238" s="1" t="s">
        <v>79</v>
      </c>
    </row>
    <row r="239" spans="1:19" x14ac:dyDescent="0.3">
      <c r="A239" s="5" t="s">
        <v>545</v>
      </c>
      <c r="B239" s="5" t="s">
        <v>546</v>
      </c>
      <c r="C239" s="5" t="s">
        <v>101</v>
      </c>
      <c r="D239" s="5" t="s">
        <v>60</v>
      </c>
      <c r="E239" s="6" t="s">
        <v>155</v>
      </c>
      <c r="F239" s="5" t="s">
        <v>24</v>
      </c>
      <c r="G239" s="5" t="s">
        <v>53</v>
      </c>
      <c r="H239" s="5" t="s">
        <v>71</v>
      </c>
      <c r="I239" s="5" t="s">
        <v>55</v>
      </c>
      <c r="J239" s="5" t="s">
        <v>93</v>
      </c>
      <c r="K239" s="5" t="s">
        <v>48</v>
      </c>
      <c r="L239" s="7">
        <v>54126.43</v>
      </c>
      <c r="M239" s="5">
        <v>9</v>
      </c>
      <c r="N239" s="7">
        <v>487137.87</v>
      </c>
      <c r="O239" s="8">
        <v>7.8</v>
      </c>
      <c r="P239" s="7">
        <v>449141.12</v>
      </c>
      <c r="Q239" s="8">
        <v>27.6</v>
      </c>
      <c r="R239" s="7">
        <v>123962.95</v>
      </c>
      <c r="S239" s="5" t="s">
        <v>40</v>
      </c>
    </row>
    <row r="240" spans="1:19" x14ac:dyDescent="0.3">
      <c r="A240" s="1" t="s">
        <v>547</v>
      </c>
      <c r="B240" s="1" t="s">
        <v>548</v>
      </c>
      <c r="C240" s="1" t="s">
        <v>117</v>
      </c>
      <c r="D240" s="1" t="s">
        <v>86</v>
      </c>
      <c r="E240" s="2" t="s">
        <v>70</v>
      </c>
      <c r="F240" s="1" t="s">
        <v>24</v>
      </c>
      <c r="G240" s="1" t="s">
        <v>36</v>
      </c>
      <c r="H240" s="1" t="s">
        <v>119</v>
      </c>
      <c r="I240" s="1" t="s">
        <v>47</v>
      </c>
      <c r="J240" s="1" t="s">
        <v>47</v>
      </c>
      <c r="K240" s="1" t="s">
        <v>29</v>
      </c>
      <c r="L240" s="3">
        <v>90440.46</v>
      </c>
      <c r="M240" s="1">
        <v>2</v>
      </c>
      <c r="N240" s="3">
        <v>180880.92</v>
      </c>
      <c r="O240" s="4">
        <v>9.6</v>
      </c>
      <c r="P240" s="3">
        <v>163516.35</v>
      </c>
      <c r="Q240" s="4">
        <v>25.9</v>
      </c>
      <c r="R240" s="3">
        <v>42350.73</v>
      </c>
      <c r="S240" s="1" t="s">
        <v>40</v>
      </c>
    </row>
    <row r="241" spans="1:19" x14ac:dyDescent="0.3">
      <c r="A241" s="5" t="s">
        <v>549</v>
      </c>
      <c r="B241" s="5" t="s">
        <v>550</v>
      </c>
      <c r="C241" s="5" t="s">
        <v>33</v>
      </c>
      <c r="D241" s="5" t="s">
        <v>22</v>
      </c>
      <c r="E241" s="6" t="s">
        <v>170</v>
      </c>
      <c r="F241" s="5" t="s">
        <v>52</v>
      </c>
      <c r="G241" s="5" t="s">
        <v>36</v>
      </c>
      <c r="H241" s="5" t="s">
        <v>119</v>
      </c>
      <c r="I241" s="5" t="s">
        <v>55</v>
      </c>
      <c r="J241" s="5" t="s">
        <v>47</v>
      </c>
      <c r="K241" s="5" t="s">
        <v>88</v>
      </c>
      <c r="L241" s="7">
        <v>6440.87</v>
      </c>
      <c r="M241" s="5">
        <v>18</v>
      </c>
      <c r="N241" s="7">
        <v>115935.66</v>
      </c>
      <c r="O241" s="8">
        <v>24.6</v>
      </c>
      <c r="P241" s="7">
        <v>87415.49</v>
      </c>
      <c r="Q241" s="8">
        <v>25.4</v>
      </c>
      <c r="R241" s="7">
        <v>22203.53</v>
      </c>
      <c r="S241" s="5" t="s">
        <v>40</v>
      </c>
    </row>
    <row r="242" spans="1:19" x14ac:dyDescent="0.3">
      <c r="A242" s="1" t="s">
        <v>551</v>
      </c>
      <c r="B242" s="1" t="s">
        <v>552</v>
      </c>
      <c r="C242" s="1" t="s">
        <v>135</v>
      </c>
      <c r="D242" s="1" t="s">
        <v>69</v>
      </c>
      <c r="E242" s="2" t="s">
        <v>44</v>
      </c>
      <c r="F242" s="1" t="s">
        <v>45</v>
      </c>
      <c r="G242" s="1" t="s">
        <v>63</v>
      </c>
      <c r="H242" s="1" t="s">
        <v>64</v>
      </c>
      <c r="I242" s="1" t="s">
        <v>38</v>
      </c>
      <c r="J242" s="1" t="s">
        <v>93</v>
      </c>
      <c r="K242" s="1" t="s">
        <v>102</v>
      </c>
      <c r="L242" s="3">
        <v>682.8</v>
      </c>
      <c r="M242" s="1">
        <v>5</v>
      </c>
      <c r="N242" s="3">
        <v>3414</v>
      </c>
      <c r="O242" s="4">
        <v>10.6</v>
      </c>
      <c r="P242" s="3">
        <v>3052.12</v>
      </c>
      <c r="Q242" s="4">
        <v>41</v>
      </c>
      <c r="R242" s="3">
        <v>1251.3699999999999</v>
      </c>
      <c r="S242" s="1" t="s">
        <v>79</v>
      </c>
    </row>
    <row r="243" spans="1:19" x14ac:dyDescent="0.3">
      <c r="A243" s="5" t="s">
        <v>553</v>
      </c>
      <c r="B243" s="5" t="s">
        <v>343</v>
      </c>
      <c r="C243" s="5" t="s">
        <v>131</v>
      </c>
      <c r="D243" s="5" t="s">
        <v>69</v>
      </c>
      <c r="E243" s="6" t="s">
        <v>128</v>
      </c>
      <c r="F243" s="5" t="s">
        <v>45</v>
      </c>
      <c r="G243" s="5" t="s">
        <v>63</v>
      </c>
      <c r="H243" s="5" t="s">
        <v>167</v>
      </c>
      <c r="I243" s="5" t="s">
        <v>38</v>
      </c>
      <c r="J243" s="5" t="s">
        <v>28</v>
      </c>
      <c r="K243" s="5" t="s">
        <v>102</v>
      </c>
      <c r="L243" s="7">
        <v>1021.33</v>
      </c>
      <c r="M243" s="5">
        <v>25</v>
      </c>
      <c r="N243" s="7">
        <v>25533.25</v>
      </c>
      <c r="O243" s="8">
        <v>5.2</v>
      </c>
      <c r="P243" s="7">
        <v>24205.52</v>
      </c>
      <c r="Q243" s="8">
        <v>22.2</v>
      </c>
      <c r="R243" s="7">
        <v>5373.63</v>
      </c>
      <c r="S243" s="5" t="s">
        <v>79</v>
      </c>
    </row>
    <row r="244" spans="1:19" x14ac:dyDescent="0.3">
      <c r="A244" s="1" t="s">
        <v>554</v>
      </c>
      <c r="B244" s="1" t="s">
        <v>555</v>
      </c>
      <c r="C244" s="1" t="s">
        <v>96</v>
      </c>
      <c r="D244" s="1" t="s">
        <v>86</v>
      </c>
      <c r="E244" s="2" t="s">
        <v>346</v>
      </c>
      <c r="F244" s="1" t="s">
        <v>35</v>
      </c>
      <c r="G244" s="1" t="s">
        <v>36</v>
      </c>
      <c r="H244" s="1" t="s">
        <v>37</v>
      </c>
      <c r="I244" s="1" t="s">
        <v>27</v>
      </c>
      <c r="J244" s="1" t="s">
        <v>65</v>
      </c>
      <c r="K244" s="1" t="s">
        <v>39</v>
      </c>
      <c r="L244" s="3">
        <v>11157.97</v>
      </c>
      <c r="M244" s="1">
        <v>19</v>
      </c>
      <c r="N244" s="3">
        <v>212001.43</v>
      </c>
      <c r="O244" s="4">
        <v>8.1999999999999993</v>
      </c>
      <c r="P244" s="3">
        <v>194617.31</v>
      </c>
      <c r="Q244" s="4">
        <v>31.3</v>
      </c>
      <c r="R244" s="3">
        <v>60915.22</v>
      </c>
      <c r="S244" s="1" t="s">
        <v>40</v>
      </c>
    </row>
    <row r="245" spans="1:19" x14ac:dyDescent="0.3">
      <c r="A245" s="5" t="s">
        <v>556</v>
      </c>
      <c r="B245" s="5" t="s">
        <v>557</v>
      </c>
      <c r="C245" s="5" t="s">
        <v>101</v>
      </c>
      <c r="D245" s="5" t="s">
        <v>60</v>
      </c>
      <c r="E245" s="6" t="s">
        <v>174</v>
      </c>
      <c r="F245" s="5" t="s">
        <v>45</v>
      </c>
      <c r="G245" s="5" t="s">
        <v>36</v>
      </c>
      <c r="H245" s="5" t="s">
        <v>136</v>
      </c>
      <c r="I245" s="5" t="s">
        <v>38</v>
      </c>
      <c r="J245" s="5" t="s">
        <v>93</v>
      </c>
      <c r="K245" s="5" t="s">
        <v>78</v>
      </c>
      <c r="L245" s="7">
        <v>1486.52</v>
      </c>
      <c r="M245" s="5">
        <v>9</v>
      </c>
      <c r="N245" s="7">
        <v>13378.68</v>
      </c>
      <c r="O245" s="8">
        <v>19.8</v>
      </c>
      <c r="P245" s="7">
        <v>10729.7</v>
      </c>
      <c r="Q245" s="8">
        <v>23.9</v>
      </c>
      <c r="R245" s="7">
        <v>2564.4</v>
      </c>
      <c r="S245" s="5" t="s">
        <v>40</v>
      </c>
    </row>
    <row r="246" spans="1:19" x14ac:dyDescent="0.3">
      <c r="A246" s="1" t="s">
        <v>558</v>
      </c>
      <c r="B246" s="1" t="s">
        <v>248</v>
      </c>
      <c r="C246" s="1" t="s">
        <v>43</v>
      </c>
      <c r="D246" s="1" t="s">
        <v>22</v>
      </c>
      <c r="E246" s="2" t="s">
        <v>125</v>
      </c>
      <c r="F246" s="1" t="s">
        <v>62</v>
      </c>
      <c r="G246" s="1" t="s">
        <v>36</v>
      </c>
      <c r="H246" s="1" t="s">
        <v>136</v>
      </c>
      <c r="I246" s="1" t="s">
        <v>55</v>
      </c>
      <c r="J246" s="1" t="s">
        <v>47</v>
      </c>
      <c r="K246" s="1" t="s">
        <v>159</v>
      </c>
      <c r="L246" s="3">
        <v>3601.67</v>
      </c>
      <c r="M246" s="1">
        <v>11</v>
      </c>
      <c r="N246" s="3">
        <v>39618.370000000003</v>
      </c>
      <c r="O246" s="4">
        <v>18.8</v>
      </c>
      <c r="P246" s="3">
        <v>32170.12</v>
      </c>
      <c r="Q246" s="4">
        <v>58.8</v>
      </c>
      <c r="R246" s="3">
        <v>18916.03</v>
      </c>
      <c r="S246" s="1" t="s">
        <v>79</v>
      </c>
    </row>
    <row r="247" spans="1:19" x14ac:dyDescent="0.3">
      <c r="A247" s="5" t="s">
        <v>559</v>
      </c>
      <c r="B247" s="5" t="s">
        <v>560</v>
      </c>
      <c r="C247" s="5" t="s">
        <v>85</v>
      </c>
      <c r="D247" s="5" t="s">
        <v>86</v>
      </c>
      <c r="E247" s="6" t="s">
        <v>70</v>
      </c>
      <c r="F247" s="5" t="s">
        <v>24</v>
      </c>
      <c r="G247" s="5" t="s">
        <v>53</v>
      </c>
      <c r="H247" s="5" t="s">
        <v>71</v>
      </c>
      <c r="I247" s="5" t="s">
        <v>72</v>
      </c>
      <c r="J247" s="5" t="s">
        <v>28</v>
      </c>
      <c r="K247" s="5" t="s">
        <v>48</v>
      </c>
      <c r="L247" s="7">
        <v>82082.41</v>
      </c>
      <c r="M247" s="5">
        <v>12</v>
      </c>
      <c r="N247" s="7">
        <v>984988.92</v>
      </c>
      <c r="O247" s="8">
        <v>3</v>
      </c>
      <c r="P247" s="7">
        <v>955439.25</v>
      </c>
      <c r="Q247" s="8">
        <v>14.9</v>
      </c>
      <c r="R247" s="7">
        <v>142360.45000000001</v>
      </c>
      <c r="S247" s="5" t="s">
        <v>79</v>
      </c>
    </row>
    <row r="248" spans="1:19" x14ac:dyDescent="0.3">
      <c r="A248" s="1" t="s">
        <v>561</v>
      </c>
      <c r="B248" s="1" t="s">
        <v>562</v>
      </c>
      <c r="C248" s="1" t="s">
        <v>85</v>
      </c>
      <c r="D248" s="1" t="s">
        <v>86</v>
      </c>
      <c r="E248" s="2" t="s">
        <v>125</v>
      </c>
      <c r="F248" s="1" t="s">
        <v>62</v>
      </c>
      <c r="G248" s="1" t="s">
        <v>25</v>
      </c>
      <c r="H248" s="1" t="s">
        <v>26</v>
      </c>
      <c r="I248" s="1" t="s">
        <v>55</v>
      </c>
      <c r="J248" s="1" t="s">
        <v>93</v>
      </c>
      <c r="K248" s="1" t="s">
        <v>48</v>
      </c>
      <c r="L248" s="3">
        <v>1200.1500000000001</v>
      </c>
      <c r="M248" s="1">
        <v>4</v>
      </c>
      <c r="N248" s="3">
        <v>4800.6000000000004</v>
      </c>
      <c r="O248" s="4">
        <v>22.4</v>
      </c>
      <c r="P248" s="3">
        <v>3725.27</v>
      </c>
      <c r="Q248" s="4">
        <v>64.900000000000006</v>
      </c>
      <c r="R248" s="3">
        <v>2417.6999999999998</v>
      </c>
      <c r="S248" s="1" t="s">
        <v>40</v>
      </c>
    </row>
    <row r="249" spans="1:19" x14ac:dyDescent="0.3">
      <c r="A249" s="5" t="s">
        <v>563</v>
      </c>
      <c r="B249" s="5" t="s">
        <v>134</v>
      </c>
      <c r="C249" s="5" t="s">
        <v>135</v>
      </c>
      <c r="D249" s="5" t="s">
        <v>69</v>
      </c>
      <c r="E249" s="6" t="s">
        <v>206</v>
      </c>
      <c r="F249" s="5" t="s">
        <v>52</v>
      </c>
      <c r="G249" s="5" t="s">
        <v>109</v>
      </c>
      <c r="H249" s="5" t="s">
        <v>189</v>
      </c>
      <c r="I249" s="5" t="s">
        <v>47</v>
      </c>
      <c r="J249" s="5" t="s">
        <v>47</v>
      </c>
      <c r="K249" s="5" t="s">
        <v>102</v>
      </c>
      <c r="L249" s="7">
        <v>8618.16</v>
      </c>
      <c r="M249" s="5">
        <v>24</v>
      </c>
      <c r="N249" s="7">
        <v>206835.84</v>
      </c>
      <c r="O249" s="8">
        <v>23</v>
      </c>
      <c r="P249" s="7">
        <v>159263.6</v>
      </c>
      <c r="Q249" s="8">
        <v>25</v>
      </c>
      <c r="R249" s="7">
        <v>39815.9</v>
      </c>
      <c r="S249" s="5" t="s">
        <v>40</v>
      </c>
    </row>
    <row r="250" spans="1:19" x14ac:dyDescent="0.3">
      <c r="A250" s="1" t="s">
        <v>564</v>
      </c>
      <c r="B250" s="1" t="s">
        <v>278</v>
      </c>
      <c r="C250" s="1" t="s">
        <v>43</v>
      </c>
      <c r="D250" s="1" t="s">
        <v>22</v>
      </c>
      <c r="E250" s="2" t="s">
        <v>217</v>
      </c>
      <c r="F250" s="1" t="s">
        <v>62</v>
      </c>
      <c r="G250" s="1" t="s">
        <v>25</v>
      </c>
      <c r="H250" s="1" t="s">
        <v>46</v>
      </c>
      <c r="I250" s="1" t="s">
        <v>38</v>
      </c>
      <c r="J250" s="1" t="s">
        <v>47</v>
      </c>
      <c r="K250" s="1" t="s">
        <v>29</v>
      </c>
      <c r="L250" s="3">
        <v>2055.2800000000002</v>
      </c>
      <c r="M250" s="1">
        <v>17</v>
      </c>
      <c r="N250" s="3">
        <v>34939.760000000002</v>
      </c>
      <c r="O250" s="4">
        <v>6.9</v>
      </c>
      <c r="P250" s="3">
        <v>32528.92</v>
      </c>
      <c r="Q250" s="4">
        <v>66.599999999999994</v>
      </c>
      <c r="R250" s="3">
        <v>21664.26</v>
      </c>
      <c r="S250" s="1" t="s">
        <v>40</v>
      </c>
    </row>
    <row r="251" spans="1:19" x14ac:dyDescent="0.3">
      <c r="A251" s="5" t="s">
        <v>565</v>
      </c>
      <c r="B251" s="5" t="s">
        <v>339</v>
      </c>
      <c r="C251" s="5" t="s">
        <v>135</v>
      </c>
      <c r="D251" s="5" t="s">
        <v>69</v>
      </c>
      <c r="E251" s="6" t="s">
        <v>23</v>
      </c>
      <c r="F251" s="5" t="s">
        <v>24</v>
      </c>
      <c r="G251" s="5" t="s">
        <v>109</v>
      </c>
      <c r="H251" s="5" t="s">
        <v>122</v>
      </c>
      <c r="I251" s="5" t="s">
        <v>55</v>
      </c>
      <c r="J251" s="5" t="s">
        <v>47</v>
      </c>
      <c r="K251" s="5" t="s">
        <v>78</v>
      </c>
      <c r="L251" s="7">
        <v>57628</v>
      </c>
      <c r="M251" s="5">
        <v>16</v>
      </c>
      <c r="N251" s="7">
        <v>922048</v>
      </c>
      <c r="O251" s="8">
        <v>20.5</v>
      </c>
      <c r="P251" s="7">
        <v>733028.16</v>
      </c>
      <c r="Q251" s="8">
        <v>12.5</v>
      </c>
      <c r="R251" s="7">
        <v>91628.52</v>
      </c>
      <c r="S251" s="5" t="s">
        <v>40</v>
      </c>
    </row>
    <row r="252" spans="1:19" x14ac:dyDescent="0.3">
      <c r="A252" s="1" t="s">
        <v>566</v>
      </c>
      <c r="B252" s="1" t="s">
        <v>567</v>
      </c>
      <c r="C252" s="1" t="s">
        <v>96</v>
      </c>
      <c r="D252" s="1" t="s">
        <v>86</v>
      </c>
      <c r="E252" s="2" t="s">
        <v>184</v>
      </c>
      <c r="F252" s="1" t="s">
        <v>45</v>
      </c>
      <c r="G252" s="1" t="s">
        <v>53</v>
      </c>
      <c r="H252" s="1" t="s">
        <v>71</v>
      </c>
      <c r="I252" s="1" t="s">
        <v>27</v>
      </c>
      <c r="J252" s="1" t="s">
        <v>28</v>
      </c>
      <c r="K252" s="1" t="s">
        <v>149</v>
      </c>
      <c r="L252" s="3">
        <v>186.83</v>
      </c>
      <c r="M252" s="1">
        <v>17</v>
      </c>
      <c r="N252" s="3">
        <v>3176.11</v>
      </c>
      <c r="O252" s="4">
        <v>16.899999999999999</v>
      </c>
      <c r="P252" s="3">
        <v>2639.35</v>
      </c>
      <c r="Q252" s="4">
        <v>18.5</v>
      </c>
      <c r="R252" s="3">
        <v>488.28</v>
      </c>
      <c r="S252" s="1" t="s">
        <v>40</v>
      </c>
    </row>
    <row r="253" spans="1:19" x14ac:dyDescent="0.3">
      <c r="A253" s="5" t="s">
        <v>568</v>
      </c>
      <c r="B253" s="5" t="s">
        <v>569</v>
      </c>
      <c r="C253" s="5" t="s">
        <v>68</v>
      </c>
      <c r="D253" s="5" t="s">
        <v>69</v>
      </c>
      <c r="E253" s="6" t="s">
        <v>180</v>
      </c>
      <c r="F253" s="5" t="s">
        <v>166</v>
      </c>
      <c r="G253" s="5" t="s">
        <v>109</v>
      </c>
      <c r="H253" s="5" t="s">
        <v>152</v>
      </c>
      <c r="I253" s="5" t="s">
        <v>72</v>
      </c>
      <c r="J253" s="5" t="s">
        <v>28</v>
      </c>
      <c r="K253" s="5" t="s">
        <v>39</v>
      </c>
      <c r="L253" s="7">
        <v>496.12</v>
      </c>
      <c r="M253" s="5">
        <v>21</v>
      </c>
      <c r="N253" s="7">
        <v>10418.52</v>
      </c>
      <c r="O253" s="8">
        <v>13.2</v>
      </c>
      <c r="P253" s="7">
        <v>9043.2800000000007</v>
      </c>
      <c r="Q253" s="8">
        <v>45.1</v>
      </c>
      <c r="R253" s="7">
        <v>4078.52</v>
      </c>
      <c r="S253" s="5" t="s">
        <v>40</v>
      </c>
    </row>
    <row r="254" spans="1:19" x14ac:dyDescent="0.3">
      <c r="A254" s="1" t="s">
        <v>570</v>
      </c>
      <c r="B254" s="1" t="s">
        <v>571</v>
      </c>
      <c r="C254" s="1" t="s">
        <v>68</v>
      </c>
      <c r="D254" s="1" t="s">
        <v>69</v>
      </c>
      <c r="E254" s="2" t="s">
        <v>155</v>
      </c>
      <c r="F254" s="1" t="s">
        <v>24</v>
      </c>
      <c r="G254" s="1" t="s">
        <v>25</v>
      </c>
      <c r="H254" s="1" t="s">
        <v>46</v>
      </c>
      <c r="I254" s="1" t="s">
        <v>72</v>
      </c>
      <c r="J254" s="1" t="s">
        <v>65</v>
      </c>
      <c r="K254" s="1" t="s">
        <v>78</v>
      </c>
      <c r="L254" s="3">
        <v>15106.41</v>
      </c>
      <c r="M254" s="1">
        <v>19</v>
      </c>
      <c r="N254" s="3">
        <v>287021.78999999998</v>
      </c>
      <c r="O254" s="4">
        <v>11.4</v>
      </c>
      <c r="P254" s="3">
        <v>254301.31</v>
      </c>
      <c r="Q254" s="4">
        <v>21.5</v>
      </c>
      <c r="R254" s="3">
        <v>54674.78</v>
      </c>
      <c r="S254" s="1" t="s">
        <v>40</v>
      </c>
    </row>
    <row r="255" spans="1:19" x14ac:dyDescent="0.3">
      <c r="A255" s="5" t="s">
        <v>572</v>
      </c>
      <c r="B255" s="5" t="s">
        <v>95</v>
      </c>
      <c r="C255" s="5" t="s">
        <v>96</v>
      </c>
      <c r="D255" s="5" t="s">
        <v>86</v>
      </c>
      <c r="E255" s="6" t="s">
        <v>155</v>
      </c>
      <c r="F255" s="5" t="s">
        <v>24</v>
      </c>
      <c r="G255" s="5" t="s">
        <v>109</v>
      </c>
      <c r="H255" s="5" t="s">
        <v>152</v>
      </c>
      <c r="I255" s="5" t="s">
        <v>55</v>
      </c>
      <c r="J255" s="5" t="s">
        <v>93</v>
      </c>
      <c r="K255" s="5" t="s">
        <v>149</v>
      </c>
      <c r="L255" s="7">
        <v>94524.95</v>
      </c>
      <c r="M255" s="5">
        <v>1</v>
      </c>
      <c r="N255" s="7">
        <v>94524.95</v>
      </c>
      <c r="O255" s="8">
        <v>11.1</v>
      </c>
      <c r="P255" s="7">
        <v>84032.68</v>
      </c>
      <c r="Q255" s="8">
        <v>23.1</v>
      </c>
      <c r="R255" s="7">
        <v>19411.55</v>
      </c>
      <c r="S255" s="5" t="s">
        <v>112</v>
      </c>
    </row>
    <row r="256" spans="1:19" x14ac:dyDescent="0.3">
      <c r="A256" s="1" t="s">
        <v>573</v>
      </c>
      <c r="B256" s="1" t="s">
        <v>574</v>
      </c>
      <c r="C256" s="1" t="s">
        <v>117</v>
      </c>
      <c r="D256" s="1" t="s">
        <v>86</v>
      </c>
      <c r="E256" s="2" t="s">
        <v>194</v>
      </c>
      <c r="F256" s="1" t="s">
        <v>52</v>
      </c>
      <c r="G256" s="1" t="s">
        <v>36</v>
      </c>
      <c r="H256" s="1" t="s">
        <v>136</v>
      </c>
      <c r="I256" s="1" t="s">
        <v>38</v>
      </c>
      <c r="J256" s="1" t="s">
        <v>65</v>
      </c>
      <c r="K256" s="1" t="s">
        <v>39</v>
      </c>
      <c r="L256" s="3">
        <v>4623.9799999999996</v>
      </c>
      <c r="M256" s="1">
        <v>4</v>
      </c>
      <c r="N256" s="3">
        <v>18495.919999999998</v>
      </c>
      <c r="O256" s="4">
        <v>11.3</v>
      </c>
      <c r="P256" s="3">
        <v>16405.88</v>
      </c>
      <c r="Q256" s="4">
        <v>22.3</v>
      </c>
      <c r="R256" s="3">
        <v>3658.51</v>
      </c>
      <c r="S256" s="1" t="s">
        <v>30</v>
      </c>
    </row>
    <row r="257" spans="1:19" x14ac:dyDescent="0.3">
      <c r="A257" s="5" t="s">
        <v>575</v>
      </c>
      <c r="B257" s="5" t="s">
        <v>517</v>
      </c>
      <c r="C257" s="5" t="s">
        <v>75</v>
      </c>
      <c r="D257" s="5" t="s">
        <v>60</v>
      </c>
      <c r="E257" s="6" t="s">
        <v>91</v>
      </c>
      <c r="F257" s="5" t="s">
        <v>52</v>
      </c>
      <c r="G257" s="5" t="s">
        <v>25</v>
      </c>
      <c r="H257" s="5" t="s">
        <v>132</v>
      </c>
      <c r="I257" s="5" t="s">
        <v>55</v>
      </c>
      <c r="J257" s="5" t="s">
        <v>65</v>
      </c>
      <c r="K257" s="5" t="s">
        <v>102</v>
      </c>
      <c r="L257" s="7">
        <v>7509.15</v>
      </c>
      <c r="M257" s="5">
        <v>19</v>
      </c>
      <c r="N257" s="7">
        <v>142673.85</v>
      </c>
      <c r="O257" s="8">
        <v>21.8</v>
      </c>
      <c r="P257" s="7">
        <v>111570.95</v>
      </c>
      <c r="Q257" s="8">
        <v>29.4</v>
      </c>
      <c r="R257" s="7">
        <v>32801.86</v>
      </c>
      <c r="S257" s="5" t="s">
        <v>40</v>
      </c>
    </row>
    <row r="258" spans="1:19" x14ac:dyDescent="0.3">
      <c r="A258" s="1" t="s">
        <v>576</v>
      </c>
      <c r="B258" s="1" t="s">
        <v>577</v>
      </c>
      <c r="C258" s="1" t="s">
        <v>135</v>
      </c>
      <c r="D258" s="1" t="s">
        <v>69</v>
      </c>
      <c r="E258" s="2" t="s">
        <v>224</v>
      </c>
      <c r="F258" s="1" t="s">
        <v>166</v>
      </c>
      <c r="G258" s="1" t="s">
        <v>53</v>
      </c>
      <c r="H258" s="1" t="s">
        <v>71</v>
      </c>
      <c r="I258" s="1" t="s">
        <v>27</v>
      </c>
      <c r="J258" s="1" t="s">
        <v>28</v>
      </c>
      <c r="K258" s="1" t="s">
        <v>29</v>
      </c>
      <c r="L258" s="3">
        <v>4853.66</v>
      </c>
      <c r="M258" s="1">
        <v>1</v>
      </c>
      <c r="N258" s="3">
        <v>4853.66</v>
      </c>
      <c r="O258" s="4">
        <v>18</v>
      </c>
      <c r="P258" s="3">
        <v>3980</v>
      </c>
      <c r="Q258" s="4">
        <v>54.6</v>
      </c>
      <c r="R258" s="3">
        <v>2173.08</v>
      </c>
      <c r="S258" s="1" t="s">
        <v>40</v>
      </c>
    </row>
    <row r="259" spans="1:19" x14ac:dyDescent="0.3">
      <c r="A259" s="5" t="s">
        <v>578</v>
      </c>
      <c r="B259" s="5" t="s">
        <v>388</v>
      </c>
      <c r="C259" s="5" t="s">
        <v>68</v>
      </c>
      <c r="D259" s="5" t="s">
        <v>69</v>
      </c>
      <c r="E259" s="6" t="s">
        <v>128</v>
      </c>
      <c r="F259" s="5" t="s">
        <v>45</v>
      </c>
      <c r="G259" s="5" t="s">
        <v>36</v>
      </c>
      <c r="H259" s="5" t="s">
        <v>37</v>
      </c>
      <c r="I259" s="5" t="s">
        <v>27</v>
      </c>
      <c r="J259" s="5" t="s">
        <v>28</v>
      </c>
      <c r="K259" s="5" t="s">
        <v>149</v>
      </c>
      <c r="L259" s="7">
        <v>650.69000000000005</v>
      </c>
      <c r="M259" s="5">
        <v>13</v>
      </c>
      <c r="N259" s="7">
        <v>8458.9699999999993</v>
      </c>
      <c r="O259" s="8">
        <v>19.2</v>
      </c>
      <c r="P259" s="7">
        <v>6834.85</v>
      </c>
      <c r="Q259" s="8">
        <v>38.6</v>
      </c>
      <c r="R259" s="7">
        <v>2638.25</v>
      </c>
      <c r="S259" s="5" t="s">
        <v>40</v>
      </c>
    </row>
    <row r="260" spans="1:19" x14ac:dyDescent="0.3">
      <c r="A260" s="1" t="s">
        <v>579</v>
      </c>
      <c r="B260" s="1" t="s">
        <v>580</v>
      </c>
      <c r="C260" s="1" t="s">
        <v>101</v>
      </c>
      <c r="D260" s="1" t="s">
        <v>60</v>
      </c>
      <c r="E260" s="2" t="s">
        <v>51</v>
      </c>
      <c r="F260" s="1" t="s">
        <v>52</v>
      </c>
      <c r="G260" s="1" t="s">
        <v>63</v>
      </c>
      <c r="H260" s="1" t="s">
        <v>87</v>
      </c>
      <c r="I260" s="1" t="s">
        <v>72</v>
      </c>
      <c r="J260" s="1" t="s">
        <v>47</v>
      </c>
      <c r="K260" s="1" t="s">
        <v>159</v>
      </c>
      <c r="L260" s="3">
        <v>6088.66</v>
      </c>
      <c r="M260" s="1">
        <v>23</v>
      </c>
      <c r="N260" s="3">
        <v>140039.18</v>
      </c>
      <c r="O260" s="4">
        <v>14.6</v>
      </c>
      <c r="P260" s="3">
        <v>119593.46</v>
      </c>
      <c r="Q260" s="4">
        <v>34.700000000000003</v>
      </c>
      <c r="R260" s="3">
        <v>41498.93</v>
      </c>
      <c r="S260" s="1" t="s">
        <v>40</v>
      </c>
    </row>
    <row r="261" spans="1:19" x14ac:dyDescent="0.3">
      <c r="A261" s="5" t="s">
        <v>581</v>
      </c>
      <c r="B261" s="5" t="s">
        <v>582</v>
      </c>
      <c r="C261" s="5" t="s">
        <v>131</v>
      </c>
      <c r="D261" s="5" t="s">
        <v>69</v>
      </c>
      <c r="E261" s="6" t="s">
        <v>165</v>
      </c>
      <c r="F261" s="5" t="s">
        <v>166</v>
      </c>
      <c r="G261" s="5" t="s">
        <v>109</v>
      </c>
      <c r="H261" s="5" t="s">
        <v>110</v>
      </c>
      <c r="I261" s="5" t="s">
        <v>47</v>
      </c>
      <c r="J261" s="5" t="s">
        <v>47</v>
      </c>
      <c r="K261" s="5" t="s">
        <v>78</v>
      </c>
      <c r="L261" s="7">
        <v>3697.38</v>
      </c>
      <c r="M261" s="5">
        <v>16</v>
      </c>
      <c r="N261" s="7">
        <v>59158.080000000002</v>
      </c>
      <c r="O261" s="8">
        <v>24.2</v>
      </c>
      <c r="P261" s="7">
        <v>44841.82</v>
      </c>
      <c r="Q261" s="8">
        <v>57.6</v>
      </c>
      <c r="R261" s="7">
        <v>25828.89</v>
      </c>
      <c r="S261" s="5" t="s">
        <v>40</v>
      </c>
    </row>
    <row r="262" spans="1:19" x14ac:dyDescent="0.3">
      <c r="A262" s="1" t="s">
        <v>583</v>
      </c>
      <c r="B262" s="1" t="s">
        <v>584</v>
      </c>
      <c r="C262" s="1" t="s">
        <v>75</v>
      </c>
      <c r="D262" s="1" t="s">
        <v>60</v>
      </c>
      <c r="E262" s="2" t="s">
        <v>145</v>
      </c>
      <c r="F262" s="1" t="s">
        <v>62</v>
      </c>
      <c r="G262" s="1" t="s">
        <v>109</v>
      </c>
      <c r="H262" s="1" t="s">
        <v>122</v>
      </c>
      <c r="I262" s="1" t="s">
        <v>47</v>
      </c>
      <c r="J262" s="1" t="s">
        <v>65</v>
      </c>
      <c r="K262" s="1" t="s">
        <v>29</v>
      </c>
      <c r="L262" s="3">
        <v>321.39999999999998</v>
      </c>
      <c r="M262" s="1">
        <v>25</v>
      </c>
      <c r="N262" s="3">
        <v>8035</v>
      </c>
      <c r="O262" s="4">
        <v>0.9</v>
      </c>
      <c r="P262" s="3">
        <v>7962.68</v>
      </c>
      <c r="Q262" s="4">
        <v>61.2</v>
      </c>
      <c r="R262" s="3">
        <v>4873.16</v>
      </c>
      <c r="S262" s="1" t="s">
        <v>40</v>
      </c>
    </row>
    <row r="263" spans="1:19" x14ac:dyDescent="0.3">
      <c r="A263" s="5" t="s">
        <v>585</v>
      </c>
      <c r="B263" s="5" t="s">
        <v>586</v>
      </c>
      <c r="C263" s="5" t="s">
        <v>96</v>
      </c>
      <c r="D263" s="5" t="s">
        <v>86</v>
      </c>
      <c r="E263" s="6" t="s">
        <v>306</v>
      </c>
      <c r="F263" s="5" t="s">
        <v>35</v>
      </c>
      <c r="G263" s="5" t="s">
        <v>25</v>
      </c>
      <c r="H263" s="5" t="s">
        <v>215</v>
      </c>
      <c r="I263" s="5" t="s">
        <v>47</v>
      </c>
      <c r="J263" s="5" t="s">
        <v>65</v>
      </c>
      <c r="K263" s="5" t="s">
        <v>56</v>
      </c>
      <c r="L263" s="7">
        <v>4313.93</v>
      </c>
      <c r="M263" s="5">
        <v>15</v>
      </c>
      <c r="N263" s="7">
        <v>64708.95</v>
      </c>
      <c r="O263" s="8">
        <v>23.7</v>
      </c>
      <c r="P263" s="7">
        <v>49372.93</v>
      </c>
      <c r="Q263" s="8">
        <v>38.700000000000003</v>
      </c>
      <c r="R263" s="7">
        <v>19107.32</v>
      </c>
      <c r="S263" s="5" t="s">
        <v>40</v>
      </c>
    </row>
    <row r="264" spans="1:19" x14ac:dyDescent="0.3">
      <c r="A264" s="1" t="s">
        <v>587</v>
      </c>
      <c r="B264" s="1" t="s">
        <v>588</v>
      </c>
      <c r="C264" s="1" t="s">
        <v>135</v>
      </c>
      <c r="D264" s="1" t="s">
        <v>69</v>
      </c>
      <c r="E264" s="2" t="s">
        <v>201</v>
      </c>
      <c r="F264" s="1" t="s">
        <v>24</v>
      </c>
      <c r="G264" s="1" t="s">
        <v>25</v>
      </c>
      <c r="H264" s="1" t="s">
        <v>215</v>
      </c>
      <c r="I264" s="1" t="s">
        <v>72</v>
      </c>
      <c r="J264" s="1" t="s">
        <v>47</v>
      </c>
      <c r="K264" s="1" t="s">
        <v>102</v>
      </c>
      <c r="L264" s="3">
        <v>56386.7</v>
      </c>
      <c r="M264" s="1">
        <v>9</v>
      </c>
      <c r="N264" s="3">
        <v>507480.3</v>
      </c>
      <c r="O264" s="4">
        <v>18.5</v>
      </c>
      <c r="P264" s="3">
        <v>413596.44</v>
      </c>
      <c r="Q264" s="4">
        <v>30.9</v>
      </c>
      <c r="R264" s="3">
        <v>127801.3</v>
      </c>
      <c r="S264" s="1" t="s">
        <v>40</v>
      </c>
    </row>
    <row r="265" spans="1:19" x14ac:dyDescent="0.3">
      <c r="A265" s="5" t="s">
        <v>589</v>
      </c>
      <c r="B265" s="5" t="s">
        <v>505</v>
      </c>
      <c r="C265" s="5" t="s">
        <v>101</v>
      </c>
      <c r="D265" s="5" t="s">
        <v>60</v>
      </c>
      <c r="E265" s="6" t="s">
        <v>256</v>
      </c>
      <c r="F265" s="5" t="s">
        <v>166</v>
      </c>
      <c r="G265" s="5" t="s">
        <v>36</v>
      </c>
      <c r="H265" s="5" t="s">
        <v>119</v>
      </c>
      <c r="I265" s="5" t="s">
        <v>38</v>
      </c>
      <c r="J265" s="5" t="s">
        <v>28</v>
      </c>
      <c r="K265" s="5" t="s">
        <v>159</v>
      </c>
      <c r="L265" s="7">
        <v>4433.84</v>
      </c>
      <c r="M265" s="5">
        <v>18</v>
      </c>
      <c r="N265" s="7">
        <v>79809.119999999995</v>
      </c>
      <c r="O265" s="8">
        <v>13.2</v>
      </c>
      <c r="P265" s="7">
        <v>69274.320000000007</v>
      </c>
      <c r="Q265" s="8">
        <v>53.5</v>
      </c>
      <c r="R265" s="7">
        <v>37061.760000000002</v>
      </c>
      <c r="S265" s="5" t="s">
        <v>40</v>
      </c>
    </row>
    <row r="266" spans="1:19" x14ac:dyDescent="0.3">
      <c r="A266" s="1" t="s">
        <v>590</v>
      </c>
      <c r="B266" s="1" t="s">
        <v>210</v>
      </c>
      <c r="C266" s="1" t="s">
        <v>33</v>
      </c>
      <c r="D266" s="1" t="s">
        <v>22</v>
      </c>
      <c r="E266" s="2" t="s">
        <v>174</v>
      </c>
      <c r="F266" s="1" t="s">
        <v>45</v>
      </c>
      <c r="G266" s="1" t="s">
        <v>25</v>
      </c>
      <c r="H266" s="1" t="s">
        <v>26</v>
      </c>
      <c r="I266" s="1" t="s">
        <v>38</v>
      </c>
      <c r="J266" s="1" t="s">
        <v>93</v>
      </c>
      <c r="K266" s="1" t="s">
        <v>159</v>
      </c>
      <c r="L266" s="3">
        <v>506.02</v>
      </c>
      <c r="M266" s="1">
        <v>5</v>
      </c>
      <c r="N266" s="3">
        <v>2530.1</v>
      </c>
      <c r="O266" s="4">
        <v>12.5</v>
      </c>
      <c r="P266" s="3">
        <v>2213.84</v>
      </c>
      <c r="Q266" s="4">
        <v>34.1</v>
      </c>
      <c r="R266" s="3">
        <v>754.92</v>
      </c>
      <c r="S266" s="1" t="s">
        <v>112</v>
      </c>
    </row>
    <row r="267" spans="1:19" x14ac:dyDescent="0.3">
      <c r="A267" s="5" t="s">
        <v>591</v>
      </c>
      <c r="B267" s="5" t="s">
        <v>592</v>
      </c>
      <c r="C267" s="5" t="s">
        <v>131</v>
      </c>
      <c r="D267" s="5" t="s">
        <v>69</v>
      </c>
      <c r="E267" s="6" t="s">
        <v>142</v>
      </c>
      <c r="F267" s="5" t="s">
        <v>24</v>
      </c>
      <c r="G267" s="5" t="s">
        <v>25</v>
      </c>
      <c r="H267" s="5" t="s">
        <v>46</v>
      </c>
      <c r="I267" s="5" t="s">
        <v>38</v>
      </c>
      <c r="J267" s="5" t="s">
        <v>28</v>
      </c>
      <c r="K267" s="5" t="s">
        <v>149</v>
      </c>
      <c r="L267" s="7">
        <v>13228.25</v>
      </c>
      <c r="M267" s="5">
        <v>21</v>
      </c>
      <c r="N267" s="7">
        <v>277793.25</v>
      </c>
      <c r="O267" s="8">
        <v>10.199999999999999</v>
      </c>
      <c r="P267" s="7">
        <v>249458.34</v>
      </c>
      <c r="Q267" s="8">
        <v>27.2</v>
      </c>
      <c r="R267" s="7">
        <v>67852.67</v>
      </c>
      <c r="S267" s="5" t="s">
        <v>40</v>
      </c>
    </row>
    <row r="268" spans="1:19" x14ac:dyDescent="0.3">
      <c r="A268" s="1" t="s">
        <v>593</v>
      </c>
      <c r="B268" s="1" t="s">
        <v>594</v>
      </c>
      <c r="C268" s="1" t="s">
        <v>33</v>
      </c>
      <c r="D268" s="1" t="s">
        <v>22</v>
      </c>
      <c r="E268" s="2" t="s">
        <v>155</v>
      </c>
      <c r="F268" s="1" t="s">
        <v>24</v>
      </c>
      <c r="G268" s="1" t="s">
        <v>63</v>
      </c>
      <c r="H268" s="1" t="s">
        <v>87</v>
      </c>
      <c r="I268" s="1" t="s">
        <v>38</v>
      </c>
      <c r="J268" s="1" t="s">
        <v>28</v>
      </c>
      <c r="K268" s="1" t="s">
        <v>39</v>
      </c>
      <c r="L268" s="3">
        <v>8499.0400000000009</v>
      </c>
      <c r="M268" s="1">
        <v>8</v>
      </c>
      <c r="N268" s="3">
        <v>67992.320000000007</v>
      </c>
      <c r="O268" s="4">
        <v>10.7</v>
      </c>
      <c r="P268" s="3">
        <v>60717.14</v>
      </c>
      <c r="Q268" s="4">
        <v>25</v>
      </c>
      <c r="R268" s="3">
        <v>15179.28</v>
      </c>
      <c r="S268" s="1" t="s">
        <v>79</v>
      </c>
    </row>
    <row r="269" spans="1:19" x14ac:dyDescent="0.3">
      <c r="A269" s="5" t="s">
        <v>595</v>
      </c>
      <c r="B269" s="5" t="s">
        <v>596</v>
      </c>
      <c r="C269" s="5" t="s">
        <v>68</v>
      </c>
      <c r="D269" s="5" t="s">
        <v>69</v>
      </c>
      <c r="E269" s="6" t="s">
        <v>145</v>
      </c>
      <c r="F269" s="5" t="s">
        <v>62</v>
      </c>
      <c r="G269" s="5" t="s">
        <v>36</v>
      </c>
      <c r="H269" s="5" t="s">
        <v>105</v>
      </c>
      <c r="I269" s="5" t="s">
        <v>72</v>
      </c>
      <c r="J269" s="5" t="s">
        <v>47</v>
      </c>
      <c r="K269" s="5" t="s">
        <v>149</v>
      </c>
      <c r="L269" s="7">
        <v>925.54</v>
      </c>
      <c r="M269" s="5">
        <v>14</v>
      </c>
      <c r="N269" s="7">
        <v>12957.56</v>
      </c>
      <c r="O269" s="8">
        <v>20.5</v>
      </c>
      <c r="P269" s="7">
        <v>10301.26</v>
      </c>
      <c r="Q269" s="8">
        <v>60.5</v>
      </c>
      <c r="R269" s="7">
        <v>6232.26</v>
      </c>
      <c r="S269" s="5" t="s">
        <v>79</v>
      </c>
    </row>
    <row r="270" spans="1:19" x14ac:dyDescent="0.3">
      <c r="A270" s="1" t="s">
        <v>597</v>
      </c>
      <c r="B270" s="1" t="s">
        <v>598</v>
      </c>
      <c r="C270" s="1" t="s">
        <v>33</v>
      </c>
      <c r="D270" s="1" t="s">
        <v>22</v>
      </c>
      <c r="E270" s="2" t="s">
        <v>358</v>
      </c>
      <c r="F270" s="1" t="s">
        <v>35</v>
      </c>
      <c r="G270" s="1" t="s">
        <v>109</v>
      </c>
      <c r="H270" s="1" t="s">
        <v>122</v>
      </c>
      <c r="I270" s="1" t="s">
        <v>38</v>
      </c>
      <c r="J270" s="1" t="s">
        <v>28</v>
      </c>
      <c r="K270" s="1" t="s">
        <v>48</v>
      </c>
      <c r="L270" s="3">
        <v>35220.269999999997</v>
      </c>
      <c r="M270" s="1">
        <v>7</v>
      </c>
      <c r="N270" s="3">
        <v>246541.89</v>
      </c>
      <c r="O270" s="4">
        <v>6.3</v>
      </c>
      <c r="P270" s="3">
        <v>231009.75</v>
      </c>
      <c r="Q270" s="4">
        <v>46.5</v>
      </c>
      <c r="R270" s="3">
        <v>107419.53</v>
      </c>
      <c r="S270" s="1" t="s">
        <v>40</v>
      </c>
    </row>
    <row r="271" spans="1:19" x14ac:dyDescent="0.3">
      <c r="A271" s="5" t="s">
        <v>599</v>
      </c>
      <c r="B271" s="5" t="s">
        <v>600</v>
      </c>
      <c r="C271" s="5" t="s">
        <v>21</v>
      </c>
      <c r="D271" s="5" t="s">
        <v>22</v>
      </c>
      <c r="E271" s="6" t="s">
        <v>246</v>
      </c>
      <c r="F271" s="5" t="s">
        <v>52</v>
      </c>
      <c r="G271" s="5" t="s">
        <v>53</v>
      </c>
      <c r="H271" s="5" t="s">
        <v>71</v>
      </c>
      <c r="I271" s="5" t="s">
        <v>55</v>
      </c>
      <c r="J271" s="5" t="s">
        <v>47</v>
      </c>
      <c r="K271" s="5" t="s">
        <v>48</v>
      </c>
      <c r="L271" s="7">
        <v>3639.78</v>
      </c>
      <c r="M271" s="5">
        <v>22</v>
      </c>
      <c r="N271" s="7">
        <v>80075.16</v>
      </c>
      <c r="O271" s="8">
        <v>2.6</v>
      </c>
      <c r="P271" s="7">
        <v>77993.210000000006</v>
      </c>
      <c r="Q271" s="8">
        <v>24</v>
      </c>
      <c r="R271" s="7">
        <v>18718.37</v>
      </c>
      <c r="S271" s="5" t="s">
        <v>40</v>
      </c>
    </row>
    <row r="272" spans="1:19" x14ac:dyDescent="0.3">
      <c r="A272" s="1" t="s">
        <v>601</v>
      </c>
      <c r="B272" s="1" t="s">
        <v>230</v>
      </c>
      <c r="C272" s="1" t="s">
        <v>117</v>
      </c>
      <c r="D272" s="1" t="s">
        <v>86</v>
      </c>
      <c r="E272" s="2" t="s">
        <v>128</v>
      </c>
      <c r="F272" s="1" t="s">
        <v>45</v>
      </c>
      <c r="G272" s="1" t="s">
        <v>53</v>
      </c>
      <c r="H272" s="1" t="s">
        <v>77</v>
      </c>
      <c r="I272" s="1" t="s">
        <v>27</v>
      </c>
      <c r="J272" s="1" t="s">
        <v>47</v>
      </c>
      <c r="K272" s="1" t="s">
        <v>159</v>
      </c>
      <c r="L272" s="3">
        <v>264.48</v>
      </c>
      <c r="M272" s="1">
        <v>17</v>
      </c>
      <c r="N272" s="3">
        <v>4496.16</v>
      </c>
      <c r="O272" s="4">
        <v>13.2</v>
      </c>
      <c r="P272" s="3">
        <v>3902.67</v>
      </c>
      <c r="Q272" s="4">
        <v>24.4</v>
      </c>
      <c r="R272" s="3">
        <v>952.25</v>
      </c>
      <c r="S272" s="1" t="s">
        <v>40</v>
      </c>
    </row>
    <row r="273" spans="1:19" x14ac:dyDescent="0.3">
      <c r="A273" s="5" t="s">
        <v>602</v>
      </c>
      <c r="B273" s="5" t="s">
        <v>461</v>
      </c>
      <c r="C273" s="5" t="s">
        <v>117</v>
      </c>
      <c r="D273" s="5" t="s">
        <v>86</v>
      </c>
      <c r="E273" s="6" t="s">
        <v>213</v>
      </c>
      <c r="F273" s="5" t="s">
        <v>62</v>
      </c>
      <c r="G273" s="5" t="s">
        <v>25</v>
      </c>
      <c r="H273" s="5" t="s">
        <v>132</v>
      </c>
      <c r="I273" s="5" t="s">
        <v>55</v>
      </c>
      <c r="J273" s="5" t="s">
        <v>93</v>
      </c>
      <c r="K273" s="5" t="s">
        <v>29</v>
      </c>
      <c r="L273" s="7">
        <v>2416.73</v>
      </c>
      <c r="M273" s="5">
        <v>17</v>
      </c>
      <c r="N273" s="7">
        <v>41084.410000000003</v>
      </c>
      <c r="O273" s="8">
        <v>4.9000000000000004</v>
      </c>
      <c r="P273" s="7">
        <v>39071.269999999997</v>
      </c>
      <c r="Q273" s="8">
        <v>71.5</v>
      </c>
      <c r="R273" s="7">
        <v>27935.96</v>
      </c>
      <c r="S273" s="5" t="s">
        <v>79</v>
      </c>
    </row>
    <row r="274" spans="1:19" x14ac:dyDescent="0.3">
      <c r="A274" s="1" t="s">
        <v>603</v>
      </c>
      <c r="B274" s="1" t="s">
        <v>604</v>
      </c>
      <c r="C274" s="1" t="s">
        <v>101</v>
      </c>
      <c r="D274" s="1" t="s">
        <v>60</v>
      </c>
      <c r="E274" s="2" t="s">
        <v>76</v>
      </c>
      <c r="F274" s="1" t="s">
        <v>45</v>
      </c>
      <c r="G274" s="1" t="s">
        <v>109</v>
      </c>
      <c r="H274" s="1" t="s">
        <v>189</v>
      </c>
      <c r="I274" s="1" t="s">
        <v>38</v>
      </c>
      <c r="J274" s="1" t="s">
        <v>93</v>
      </c>
      <c r="K274" s="1" t="s">
        <v>88</v>
      </c>
      <c r="L274" s="3">
        <v>1025.73</v>
      </c>
      <c r="M274" s="1">
        <v>15</v>
      </c>
      <c r="N274" s="3">
        <v>15385.95</v>
      </c>
      <c r="O274" s="4">
        <v>24.8</v>
      </c>
      <c r="P274" s="3">
        <v>11570.23</v>
      </c>
      <c r="Q274" s="4">
        <v>32</v>
      </c>
      <c r="R274" s="3">
        <v>3702.47</v>
      </c>
      <c r="S274" s="1" t="s">
        <v>79</v>
      </c>
    </row>
    <row r="275" spans="1:19" x14ac:dyDescent="0.3">
      <c r="A275" s="5" t="s">
        <v>605</v>
      </c>
      <c r="B275" s="5" t="s">
        <v>513</v>
      </c>
      <c r="C275" s="5" t="s">
        <v>68</v>
      </c>
      <c r="D275" s="5" t="s">
        <v>69</v>
      </c>
      <c r="E275" s="6" t="s">
        <v>256</v>
      </c>
      <c r="F275" s="5" t="s">
        <v>166</v>
      </c>
      <c r="G275" s="5" t="s">
        <v>109</v>
      </c>
      <c r="H275" s="5" t="s">
        <v>189</v>
      </c>
      <c r="I275" s="5" t="s">
        <v>27</v>
      </c>
      <c r="J275" s="5" t="s">
        <v>28</v>
      </c>
      <c r="K275" s="5" t="s">
        <v>149</v>
      </c>
      <c r="L275" s="7">
        <v>1568.74</v>
      </c>
      <c r="M275" s="5">
        <v>9</v>
      </c>
      <c r="N275" s="7">
        <v>14118.66</v>
      </c>
      <c r="O275" s="8">
        <v>2.4</v>
      </c>
      <c r="P275" s="7">
        <v>13779.81</v>
      </c>
      <c r="Q275" s="8">
        <v>55.4</v>
      </c>
      <c r="R275" s="7">
        <v>7634.01</v>
      </c>
      <c r="S275" s="5" t="s">
        <v>40</v>
      </c>
    </row>
    <row r="276" spans="1:19" x14ac:dyDescent="0.3">
      <c r="A276" s="1" t="s">
        <v>606</v>
      </c>
      <c r="B276" s="1" t="s">
        <v>607</v>
      </c>
      <c r="C276" s="1" t="s">
        <v>131</v>
      </c>
      <c r="D276" s="1" t="s">
        <v>69</v>
      </c>
      <c r="E276" s="2" t="s">
        <v>128</v>
      </c>
      <c r="F276" s="1" t="s">
        <v>45</v>
      </c>
      <c r="G276" s="1" t="s">
        <v>63</v>
      </c>
      <c r="H276" s="1" t="s">
        <v>92</v>
      </c>
      <c r="I276" s="1" t="s">
        <v>47</v>
      </c>
      <c r="J276" s="1" t="s">
        <v>65</v>
      </c>
      <c r="K276" s="1" t="s">
        <v>48</v>
      </c>
      <c r="L276" s="3">
        <v>311.58</v>
      </c>
      <c r="M276" s="1">
        <v>2</v>
      </c>
      <c r="N276" s="3">
        <v>623.16</v>
      </c>
      <c r="O276" s="4">
        <v>22.3</v>
      </c>
      <c r="P276" s="3">
        <v>484.2</v>
      </c>
      <c r="Q276" s="4">
        <v>26.6</v>
      </c>
      <c r="R276" s="3">
        <v>128.80000000000001</v>
      </c>
      <c r="S276" s="1" t="s">
        <v>40</v>
      </c>
    </row>
    <row r="277" spans="1:19" x14ac:dyDescent="0.3">
      <c r="A277" s="5" t="s">
        <v>608</v>
      </c>
      <c r="B277" s="5" t="s">
        <v>609</v>
      </c>
      <c r="C277" s="5" t="s">
        <v>75</v>
      </c>
      <c r="D277" s="5" t="s">
        <v>60</v>
      </c>
      <c r="E277" s="6" t="s">
        <v>256</v>
      </c>
      <c r="F277" s="5" t="s">
        <v>166</v>
      </c>
      <c r="G277" s="5" t="s">
        <v>53</v>
      </c>
      <c r="H277" s="5" t="s">
        <v>54</v>
      </c>
      <c r="I277" s="5" t="s">
        <v>47</v>
      </c>
      <c r="J277" s="5" t="s">
        <v>47</v>
      </c>
      <c r="K277" s="5" t="s">
        <v>78</v>
      </c>
      <c r="L277" s="7">
        <v>2123.6999999999998</v>
      </c>
      <c r="M277" s="5">
        <v>14</v>
      </c>
      <c r="N277" s="7">
        <v>29731.8</v>
      </c>
      <c r="O277" s="8">
        <v>4.5999999999999996</v>
      </c>
      <c r="P277" s="7">
        <v>28364.14</v>
      </c>
      <c r="Q277" s="8">
        <v>54.2</v>
      </c>
      <c r="R277" s="7">
        <v>15373.36</v>
      </c>
      <c r="S277" s="5" t="s">
        <v>40</v>
      </c>
    </row>
    <row r="278" spans="1:19" x14ac:dyDescent="0.3">
      <c r="A278" s="1" t="s">
        <v>610</v>
      </c>
      <c r="B278" s="1" t="s">
        <v>394</v>
      </c>
      <c r="C278" s="1" t="s">
        <v>75</v>
      </c>
      <c r="D278" s="1" t="s">
        <v>60</v>
      </c>
      <c r="E278" s="2" t="s">
        <v>97</v>
      </c>
      <c r="F278" s="1" t="s">
        <v>35</v>
      </c>
      <c r="G278" s="1" t="s">
        <v>109</v>
      </c>
      <c r="H278" s="1" t="s">
        <v>110</v>
      </c>
      <c r="I278" s="1" t="s">
        <v>38</v>
      </c>
      <c r="J278" s="1" t="s">
        <v>28</v>
      </c>
      <c r="K278" s="1" t="s">
        <v>111</v>
      </c>
      <c r="L278" s="3">
        <v>11204.96</v>
      </c>
      <c r="M278" s="1">
        <v>8</v>
      </c>
      <c r="N278" s="3">
        <v>89639.679999999993</v>
      </c>
      <c r="O278" s="4">
        <v>7.7</v>
      </c>
      <c r="P278" s="3">
        <v>82737.42</v>
      </c>
      <c r="Q278" s="4">
        <v>45.5</v>
      </c>
      <c r="R278" s="3">
        <v>37645.53</v>
      </c>
      <c r="S278" s="1" t="s">
        <v>79</v>
      </c>
    </row>
    <row r="279" spans="1:19" x14ac:dyDescent="0.3">
      <c r="A279" s="5" t="s">
        <v>611</v>
      </c>
      <c r="B279" s="5" t="s">
        <v>130</v>
      </c>
      <c r="C279" s="5" t="s">
        <v>131</v>
      </c>
      <c r="D279" s="5" t="s">
        <v>69</v>
      </c>
      <c r="E279" s="6" t="s">
        <v>51</v>
      </c>
      <c r="F279" s="5" t="s">
        <v>52</v>
      </c>
      <c r="G279" s="5" t="s">
        <v>53</v>
      </c>
      <c r="H279" s="5" t="s">
        <v>54</v>
      </c>
      <c r="I279" s="5" t="s">
        <v>47</v>
      </c>
      <c r="J279" s="5" t="s">
        <v>47</v>
      </c>
      <c r="K279" s="5" t="s">
        <v>48</v>
      </c>
      <c r="L279" s="7">
        <v>7797.01</v>
      </c>
      <c r="M279" s="5">
        <v>2</v>
      </c>
      <c r="N279" s="7">
        <v>15594.02</v>
      </c>
      <c r="O279" s="8">
        <v>2.9</v>
      </c>
      <c r="P279" s="7">
        <v>15141.79</v>
      </c>
      <c r="Q279" s="8">
        <v>33</v>
      </c>
      <c r="R279" s="7">
        <v>4996.79</v>
      </c>
      <c r="S279" s="5" t="s">
        <v>40</v>
      </c>
    </row>
    <row r="280" spans="1:19" x14ac:dyDescent="0.3">
      <c r="A280" s="1" t="s">
        <v>612</v>
      </c>
      <c r="B280" s="1" t="s">
        <v>613</v>
      </c>
      <c r="C280" s="1" t="s">
        <v>101</v>
      </c>
      <c r="D280" s="1" t="s">
        <v>60</v>
      </c>
      <c r="E280" s="2" t="s">
        <v>158</v>
      </c>
      <c r="F280" s="1" t="s">
        <v>35</v>
      </c>
      <c r="G280" s="1" t="s">
        <v>53</v>
      </c>
      <c r="H280" s="1" t="s">
        <v>98</v>
      </c>
      <c r="I280" s="1" t="s">
        <v>55</v>
      </c>
      <c r="J280" s="1" t="s">
        <v>28</v>
      </c>
      <c r="K280" s="1" t="s">
        <v>102</v>
      </c>
      <c r="L280" s="3">
        <v>7671.79</v>
      </c>
      <c r="M280" s="1">
        <v>17</v>
      </c>
      <c r="N280" s="3">
        <v>130420.43</v>
      </c>
      <c r="O280" s="4">
        <v>2.1</v>
      </c>
      <c r="P280" s="3">
        <v>127681.60000000001</v>
      </c>
      <c r="Q280" s="4">
        <v>41.2</v>
      </c>
      <c r="R280" s="3">
        <v>52604.82</v>
      </c>
      <c r="S280" s="1" t="s">
        <v>40</v>
      </c>
    </row>
    <row r="281" spans="1:19" x14ac:dyDescent="0.3">
      <c r="A281" s="5" t="s">
        <v>614</v>
      </c>
      <c r="B281" s="5" t="s">
        <v>95</v>
      </c>
      <c r="C281" s="5" t="s">
        <v>96</v>
      </c>
      <c r="D281" s="5" t="s">
        <v>86</v>
      </c>
      <c r="E281" s="6" t="s">
        <v>155</v>
      </c>
      <c r="F281" s="5" t="s">
        <v>24</v>
      </c>
      <c r="G281" s="5" t="s">
        <v>109</v>
      </c>
      <c r="H281" s="5" t="s">
        <v>189</v>
      </c>
      <c r="I281" s="5" t="s">
        <v>55</v>
      </c>
      <c r="J281" s="5" t="s">
        <v>47</v>
      </c>
      <c r="K281" s="5" t="s">
        <v>48</v>
      </c>
      <c r="L281" s="7">
        <v>4668.8</v>
      </c>
      <c r="M281" s="5">
        <v>23</v>
      </c>
      <c r="N281" s="7">
        <v>107382.39999999999</v>
      </c>
      <c r="O281" s="8">
        <v>20.3</v>
      </c>
      <c r="P281" s="7">
        <v>85583.77</v>
      </c>
      <c r="Q281" s="8">
        <v>15</v>
      </c>
      <c r="R281" s="7">
        <v>12837.57</v>
      </c>
      <c r="S281" s="5" t="s">
        <v>40</v>
      </c>
    </row>
    <row r="282" spans="1:19" x14ac:dyDescent="0.3">
      <c r="A282" s="1" t="s">
        <v>615</v>
      </c>
      <c r="B282" s="1" t="s">
        <v>453</v>
      </c>
      <c r="C282" s="1" t="s">
        <v>96</v>
      </c>
      <c r="D282" s="1" t="s">
        <v>86</v>
      </c>
      <c r="E282" s="2" t="s">
        <v>145</v>
      </c>
      <c r="F282" s="1" t="s">
        <v>62</v>
      </c>
      <c r="G282" s="1" t="s">
        <v>36</v>
      </c>
      <c r="H282" s="1" t="s">
        <v>119</v>
      </c>
      <c r="I282" s="1" t="s">
        <v>47</v>
      </c>
      <c r="J282" s="1" t="s">
        <v>28</v>
      </c>
      <c r="K282" s="1" t="s">
        <v>39</v>
      </c>
      <c r="L282" s="3">
        <v>307.08999999999997</v>
      </c>
      <c r="M282" s="1">
        <v>19</v>
      </c>
      <c r="N282" s="3">
        <v>5834.71</v>
      </c>
      <c r="O282" s="4">
        <v>7.1</v>
      </c>
      <c r="P282" s="3">
        <v>5420.45</v>
      </c>
      <c r="Q282" s="4">
        <v>52.3</v>
      </c>
      <c r="R282" s="3">
        <v>2834.9</v>
      </c>
      <c r="S282" s="1" t="s">
        <v>40</v>
      </c>
    </row>
    <row r="283" spans="1:19" x14ac:dyDescent="0.3">
      <c r="A283" s="5" t="s">
        <v>616</v>
      </c>
      <c r="B283" s="5" t="s">
        <v>50</v>
      </c>
      <c r="C283" s="5" t="s">
        <v>43</v>
      </c>
      <c r="D283" s="5" t="s">
        <v>22</v>
      </c>
      <c r="E283" s="6" t="s">
        <v>76</v>
      </c>
      <c r="F283" s="5" t="s">
        <v>45</v>
      </c>
      <c r="G283" s="5" t="s">
        <v>25</v>
      </c>
      <c r="H283" s="5" t="s">
        <v>46</v>
      </c>
      <c r="I283" s="5" t="s">
        <v>72</v>
      </c>
      <c r="J283" s="5" t="s">
        <v>28</v>
      </c>
      <c r="K283" s="5" t="s">
        <v>56</v>
      </c>
      <c r="L283" s="7">
        <v>1404.67</v>
      </c>
      <c r="M283" s="5">
        <v>17</v>
      </c>
      <c r="N283" s="7">
        <v>23879.39</v>
      </c>
      <c r="O283" s="8">
        <v>12.1</v>
      </c>
      <c r="P283" s="7">
        <v>20989.98</v>
      </c>
      <c r="Q283" s="8">
        <v>27.3</v>
      </c>
      <c r="R283" s="7">
        <v>5730.26</v>
      </c>
      <c r="S283" s="5" t="s">
        <v>30</v>
      </c>
    </row>
    <row r="284" spans="1:19" x14ac:dyDescent="0.3">
      <c r="A284" s="1" t="s">
        <v>617</v>
      </c>
      <c r="B284" s="1" t="s">
        <v>355</v>
      </c>
      <c r="C284" s="1" t="s">
        <v>85</v>
      </c>
      <c r="D284" s="1" t="s">
        <v>86</v>
      </c>
      <c r="E284" s="2" t="s">
        <v>180</v>
      </c>
      <c r="F284" s="1" t="s">
        <v>166</v>
      </c>
      <c r="G284" s="1" t="s">
        <v>109</v>
      </c>
      <c r="H284" s="1" t="s">
        <v>189</v>
      </c>
      <c r="I284" s="1" t="s">
        <v>38</v>
      </c>
      <c r="J284" s="1" t="s">
        <v>93</v>
      </c>
      <c r="K284" s="1" t="s">
        <v>48</v>
      </c>
      <c r="L284" s="3">
        <v>2753.34</v>
      </c>
      <c r="M284" s="1">
        <v>9</v>
      </c>
      <c r="N284" s="3">
        <v>24780.06</v>
      </c>
      <c r="O284" s="4">
        <v>18.399999999999999</v>
      </c>
      <c r="P284" s="3">
        <v>20220.53</v>
      </c>
      <c r="Q284" s="4">
        <v>46.6</v>
      </c>
      <c r="R284" s="3">
        <v>9422.77</v>
      </c>
      <c r="S284" s="1" t="s">
        <v>79</v>
      </c>
    </row>
    <row r="285" spans="1:19" x14ac:dyDescent="0.3">
      <c r="A285" s="5" t="s">
        <v>618</v>
      </c>
      <c r="B285" s="5" t="s">
        <v>619</v>
      </c>
      <c r="C285" s="5" t="s">
        <v>135</v>
      </c>
      <c r="D285" s="5" t="s">
        <v>69</v>
      </c>
      <c r="E285" s="6" t="s">
        <v>184</v>
      </c>
      <c r="F285" s="5" t="s">
        <v>45</v>
      </c>
      <c r="G285" s="5" t="s">
        <v>25</v>
      </c>
      <c r="H285" s="5" t="s">
        <v>46</v>
      </c>
      <c r="I285" s="5" t="s">
        <v>47</v>
      </c>
      <c r="J285" s="5" t="s">
        <v>47</v>
      </c>
      <c r="K285" s="5" t="s">
        <v>149</v>
      </c>
      <c r="L285" s="7">
        <v>518.27</v>
      </c>
      <c r="M285" s="5">
        <v>21</v>
      </c>
      <c r="N285" s="7">
        <v>10883.67</v>
      </c>
      <c r="O285" s="8">
        <v>19.899999999999999</v>
      </c>
      <c r="P285" s="7">
        <v>8717.82</v>
      </c>
      <c r="Q285" s="8">
        <v>22.5</v>
      </c>
      <c r="R285" s="7">
        <v>1961.51</v>
      </c>
      <c r="S285" s="5" t="s">
        <v>40</v>
      </c>
    </row>
    <row r="286" spans="1:19" x14ac:dyDescent="0.3">
      <c r="A286" s="1" t="s">
        <v>620</v>
      </c>
      <c r="B286" s="1" t="s">
        <v>621</v>
      </c>
      <c r="C286" s="1" t="s">
        <v>43</v>
      </c>
      <c r="D286" s="1" t="s">
        <v>22</v>
      </c>
      <c r="E286" s="2" t="s">
        <v>213</v>
      </c>
      <c r="F286" s="1" t="s">
        <v>62</v>
      </c>
      <c r="G286" s="1" t="s">
        <v>53</v>
      </c>
      <c r="H286" s="1" t="s">
        <v>71</v>
      </c>
      <c r="I286" s="1" t="s">
        <v>55</v>
      </c>
      <c r="J286" s="1" t="s">
        <v>93</v>
      </c>
      <c r="K286" s="1" t="s">
        <v>48</v>
      </c>
      <c r="L286" s="3">
        <v>789.55</v>
      </c>
      <c r="M286" s="1">
        <v>1</v>
      </c>
      <c r="N286" s="3">
        <v>789.55</v>
      </c>
      <c r="O286" s="4">
        <v>17.100000000000001</v>
      </c>
      <c r="P286" s="3">
        <v>654.54</v>
      </c>
      <c r="Q286" s="4">
        <v>54.8</v>
      </c>
      <c r="R286" s="3">
        <v>358.69</v>
      </c>
      <c r="S286" s="1" t="s">
        <v>40</v>
      </c>
    </row>
    <row r="287" spans="1:19" x14ac:dyDescent="0.3">
      <c r="A287" s="5" t="s">
        <v>622</v>
      </c>
      <c r="B287" s="5" t="s">
        <v>623</v>
      </c>
      <c r="C287" s="5" t="s">
        <v>21</v>
      </c>
      <c r="D287" s="5" t="s">
        <v>22</v>
      </c>
      <c r="E287" s="6" t="s">
        <v>174</v>
      </c>
      <c r="F287" s="5" t="s">
        <v>45</v>
      </c>
      <c r="G287" s="5" t="s">
        <v>109</v>
      </c>
      <c r="H287" s="5" t="s">
        <v>189</v>
      </c>
      <c r="I287" s="5" t="s">
        <v>27</v>
      </c>
      <c r="J287" s="5" t="s">
        <v>28</v>
      </c>
      <c r="K287" s="5" t="s">
        <v>39</v>
      </c>
      <c r="L287" s="7">
        <v>1061.05</v>
      </c>
      <c r="M287" s="5">
        <v>11</v>
      </c>
      <c r="N287" s="7">
        <v>11671.55</v>
      </c>
      <c r="O287" s="8">
        <v>21.5</v>
      </c>
      <c r="P287" s="7">
        <v>9162.17</v>
      </c>
      <c r="Q287" s="8">
        <v>29.5</v>
      </c>
      <c r="R287" s="7">
        <v>2702.84</v>
      </c>
      <c r="S287" s="5" t="s">
        <v>40</v>
      </c>
    </row>
    <row r="288" spans="1:19" x14ac:dyDescent="0.3">
      <c r="A288" s="1" t="s">
        <v>624</v>
      </c>
      <c r="B288" s="1" t="s">
        <v>625</v>
      </c>
      <c r="C288" s="1" t="s">
        <v>43</v>
      </c>
      <c r="D288" s="1" t="s">
        <v>22</v>
      </c>
      <c r="E288" s="2" t="s">
        <v>320</v>
      </c>
      <c r="F288" s="1" t="s">
        <v>24</v>
      </c>
      <c r="G288" s="1" t="s">
        <v>36</v>
      </c>
      <c r="H288" s="1" t="s">
        <v>119</v>
      </c>
      <c r="I288" s="1" t="s">
        <v>72</v>
      </c>
      <c r="J288" s="1" t="s">
        <v>47</v>
      </c>
      <c r="K288" s="1" t="s">
        <v>29</v>
      </c>
      <c r="L288" s="3">
        <v>77167</v>
      </c>
      <c r="M288" s="1">
        <v>16</v>
      </c>
      <c r="N288" s="3">
        <v>1234672</v>
      </c>
      <c r="O288" s="4">
        <v>18.8</v>
      </c>
      <c r="P288" s="3">
        <v>1002553.66</v>
      </c>
      <c r="Q288" s="4">
        <v>14.2</v>
      </c>
      <c r="R288" s="3">
        <v>142362.62</v>
      </c>
      <c r="S288" s="1" t="s">
        <v>30</v>
      </c>
    </row>
    <row r="289" spans="1:19" x14ac:dyDescent="0.3">
      <c r="A289" s="5" t="s">
        <v>626</v>
      </c>
      <c r="B289" s="5" t="s">
        <v>627</v>
      </c>
      <c r="C289" s="5" t="s">
        <v>21</v>
      </c>
      <c r="D289" s="5" t="s">
        <v>22</v>
      </c>
      <c r="E289" s="6" t="s">
        <v>108</v>
      </c>
      <c r="F289" s="5" t="s">
        <v>35</v>
      </c>
      <c r="G289" s="5" t="s">
        <v>53</v>
      </c>
      <c r="H289" s="5" t="s">
        <v>71</v>
      </c>
      <c r="I289" s="5" t="s">
        <v>27</v>
      </c>
      <c r="J289" s="5" t="s">
        <v>28</v>
      </c>
      <c r="K289" s="5" t="s">
        <v>29</v>
      </c>
      <c r="L289" s="7">
        <v>33976.699999999997</v>
      </c>
      <c r="M289" s="5">
        <v>1</v>
      </c>
      <c r="N289" s="7">
        <v>33976.699999999997</v>
      </c>
      <c r="O289" s="8">
        <v>23.9</v>
      </c>
      <c r="P289" s="7">
        <v>25856.27</v>
      </c>
      <c r="Q289" s="8">
        <v>33.5</v>
      </c>
      <c r="R289" s="7">
        <v>8661.85</v>
      </c>
      <c r="S289" s="5" t="s">
        <v>40</v>
      </c>
    </row>
    <row r="290" spans="1:19" x14ac:dyDescent="0.3">
      <c r="A290" s="1" t="s">
        <v>628</v>
      </c>
      <c r="B290" s="1" t="s">
        <v>625</v>
      </c>
      <c r="C290" s="1" t="s">
        <v>43</v>
      </c>
      <c r="D290" s="1" t="s">
        <v>22</v>
      </c>
      <c r="E290" s="2" t="s">
        <v>128</v>
      </c>
      <c r="F290" s="1" t="s">
        <v>45</v>
      </c>
      <c r="G290" s="1" t="s">
        <v>109</v>
      </c>
      <c r="H290" s="1" t="s">
        <v>110</v>
      </c>
      <c r="I290" s="1" t="s">
        <v>47</v>
      </c>
      <c r="J290" s="1" t="s">
        <v>47</v>
      </c>
      <c r="K290" s="1" t="s">
        <v>88</v>
      </c>
      <c r="L290" s="3">
        <v>155.91</v>
      </c>
      <c r="M290" s="1">
        <v>24</v>
      </c>
      <c r="N290" s="3">
        <v>3741.84</v>
      </c>
      <c r="O290" s="4">
        <v>10.3</v>
      </c>
      <c r="P290" s="3">
        <v>3356.43</v>
      </c>
      <c r="Q290" s="4">
        <v>26.6</v>
      </c>
      <c r="R290" s="3">
        <v>892.81</v>
      </c>
      <c r="S290" s="1" t="s">
        <v>40</v>
      </c>
    </row>
    <row r="291" spans="1:19" x14ac:dyDescent="0.3">
      <c r="A291" s="5" t="s">
        <v>629</v>
      </c>
      <c r="B291" s="5" t="s">
        <v>630</v>
      </c>
      <c r="C291" s="5" t="s">
        <v>101</v>
      </c>
      <c r="D291" s="5" t="s">
        <v>60</v>
      </c>
      <c r="E291" s="6" t="s">
        <v>23</v>
      </c>
      <c r="F291" s="5" t="s">
        <v>24</v>
      </c>
      <c r="G291" s="5" t="s">
        <v>53</v>
      </c>
      <c r="H291" s="5" t="s">
        <v>98</v>
      </c>
      <c r="I291" s="5" t="s">
        <v>38</v>
      </c>
      <c r="J291" s="5" t="s">
        <v>93</v>
      </c>
      <c r="K291" s="5" t="s">
        <v>48</v>
      </c>
      <c r="L291" s="7">
        <v>35102.910000000003</v>
      </c>
      <c r="M291" s="5">
        <v>7</v>
      </c>
      <c r="N291" s="7">
        <v>245720.37</v>
      </c>
      <c r="O291" s="8">
        <v>13.1</v>
      </c>
      <c r="P291" s="7">
        <v>213531</v>
      </c>
      <c r="Q291" s="8">
        <v>27.9</v>
      </c>
      <c r="R291" s="7">
        <v>59575.15</v>
      </c>
      <c r="S291" s="5" t="s">
        <v>40</v>
      </c>
    </row>
    <row r="292" spans="1:19" x14ac:dyDescent="0.3">
      <c r="A292" s="1" t="s">
        <v>631</v>
      </c>
      <c r="B292" s="1" t="s">
        <v>333</v>
      </c>
      <c r="C292" s="1" t="s">
        <v>96</v>
      </c>
      <c r="D292" s="1" t="s">
        <v>86</v>
      </c>
      <c r="E292" s="2" t="s">
        <v>145</v>
      </c>
      <c r="F292" s="1" t="s">
        <v>62</v>
      </c>
      <c r="G292" s="1" t="s">
        <v>63</v>
      </c>
      <c r="H292" s="1" t="s">
        <v>64</v>
      </c>
      <c r="I292" s="1" t="s">
        <v>55</v>
      </c>
      <c r="J292" s="1" t="s">
        <v>47</v>
      </c>
      <c r="K292" s="1" t="s">
        <v>56</v>
      </c>
      <c r="L292" s="3">
        <v>3636.05</v>
      </c>
      <c r="M292" s="1">
        <v>9</v>
      </c>
      <c r="N292" s="3">
        <v>32724.45</v>
      </c>
      <c r="O292" s="4">
        <v>16.3</v>
      </c>
      <c r="P292" s="3">
        <v>27390.36</v>
      </c>
      <c r="Q292" s="4">
        <v>58.9</v>
      </c>
      <c r="R292" s="3">
        <v>16132.92</v>
      </c>
      <c r="S292" s="1" t="s">
        <v>40</v>
      </c>
    </row>
    <row r="293" spans="1:19" x14ac:dyDescent="0.3">
      <c r="A293" s="5" t="s">
        <v>632</v>
      </c>
      <c r="B293" s="5" t="s">
        <v>226</v>
      </c>
      <c r="C293" s="5" t="s">
        <v>101</v>
      </c>
      <c r="D293" s="5" t="s">
        <v>60</v>
      </c>
      <c r="E293" s="6" t="s">
        <v>306</v>
      </c>
      <c r="F293" s="5" t="s">
        <v>35</v>
      </c>
      <c r="G293" s="5" t="s">
        <v>109</v>
      </c>
      <c r="H293" s="5" t="s">
        <v>122</v>
      </c>
      <c r="I293" s="5" t="s">
        <v>27</v>
      </c>
      <c r="J293" s="5" t="s">
        <v>93</v>
      </c>
      <c r="K293" s="5" t="s">
        <v>159</v>
      </c>
      <c r="L293" s="7">
        <v>44252.17</v>
      </c>
      <c r="M293" s="5">
        <v>6</v>
      </c>
      <c r="N293" s="7">
        <v>265513.02</v>
      </c>
      <c r="O293" s="8">
        <v>20.6</v>
      </c>
      <c r="P293" s="7">
        <v>210817.34</v>
      </c>
      <c r="Q293" s="8">
        <v>34.6</v>
      </c>
      <c r="R293" s="7">
        <v>72942.8</v>
      </c>
      <c r="S293" s="5" t="s">
        <v>40</v>
      </c>
    </row>
    <row r="294" spans="1:19" x14ac:dyDescent="0.3">
      <c r="A294" s="1" t="s">
        <v>633</v>
      </c>
      <c r="B294" s="1" t="s">
        <v>283</v>
      </c>
      <c r="C294" s="1" t="s">
        <v>96</v>
      </c>
      <c r="D294" s="1" t="s">
        <v>86</v>
      </c>
      <c r="E294" s="2" t="s">
        <v>177</v>
      </c>
      <c r="F294" s="1" t="s">
        <v>166</v>
      </c>
      <c r="G294" s="1" t="s">
        <v>63</v>
      </c>
      <c r="H294" s="1" t="s">
        <v>167</v>
      </c>
      <c r="I294" s="1" t="s">
        <v>72</v>
      </c>
      <c r="J294" s="1" t="s">
        <v>93</v>
      </c>
      <c r="K294" s="1" t="s">
        <v>29</v>
      </c>
      <c r="L294" s="3">
        <v>557.22</v>
      </c>
      <c r="M294" s="1">
        <v>20</v>
      </c>
      <c r="N294" s="3">
        <v>11144.4</v>
      </c>
      <c r="O294" s="4">
        <v>6.6</v>
      </c>
      <c r="P294" s="3">
        <v>10408.870000000001</v>
      </c>
      <c r="Q294" s="4">
        <v>50</v>
      </c>
      <c r="R294" s="3">
        <v>5204.4399999999996</v>
      </c>
      <c r="S294" s="1" t="s">
        <v>40</v>
      </c>
    </row>
    <row r="295" spans="1:19" x14ac:dyDescent="0.3">
      <c r="A295" s="5" t="s">
        <v>634</v>
      </c>
      <c r="B295" s="5" t="s">
        <v>635</v>
      </c>
      <c r="C295" s="5" t="s">
        <v>21</v>
      </c>
      <c r="D295" s="5" t="s">
        <v>22</v>
      </c>
      <c r="E295" s="6" t="s">
        <v>165</v>
      </c>
      <c r="F295" s="5" t="s">
        <v>166</v>
      </c>
      <c r="G295" s="5" t="s">
        <v>63</v>
      </c>
      <c r="H295" s="5" t="s">
        <v>92</v>
      </c>
      <c r="I295" s="5" t="s">
        <v>27</v>
      </c>
      <c r="J295" s="5" t="s">
        <v>28</v>
      </c>
      <c r="K295" s="5" t="s">
        <v>111</v>
      </c>
      <c r="L295" s="7">
        <v>1069.8399999999999</v>
      </c>
      <c r="M295" s="5">
        <v>9</v>
      </c>
      <c r="N295" s="7">
        <v>9628.56</v>
      </c>
      <c r="O295" s="8">
        <v>21.2</v>
      </c>
      <c r="P295" s="7">
        <v>7587.31</v>
      </c>
      <c r="Q295" s="8">
        <v>56.8</v>
      </c>
      <c r="R295" s="7">
        <v>4309.59</v>
      </c>
      <c r="S295" s="5" t="s">
        <v>40</v>
      </c>
    </row>
    <row r="296" spans="1:19" x14ac:dyDescent="0.3">
      <c r="A296" s="1" t="s">
        <v>636</v>
      </c>
      <c r="B296" s="1" t="s">
        <v>637</v>
      </c>
      <c r="C296" s="1" t="s">
        <v>59</v>
      </c>
      <c r="D296" s="1" t="s">
        <v>60</v>
      </c>
      <c r="E296" s="2" t="s">
        <v>70</v>
      </c>
      <c r="F296" s="1" t="s">
        <v>24</v>
      </c>
      <c r="G296" s="1" t="s">
        <v>36</v>
      </c>
      <c r="H296" s="1" t="s">
        <v>37</v>
      </c>
      <c r="I296" s="1" t="s">
        <v>47</v>
      </c>
      <c r="J296" s="1" t="s">
        <v>47</v>
      </c>
      <c r="K296" s="1" t="s">
        <v>78</v>
      </c>
      <c r="L296" s="3">
        <v>63415.86</v>
      </c>
      <c r="M296" s="1">
        <v>13</v>
      </c>
      <c r="N296" s="3">
        <v>824406.18</v>
      </c>
      <c r="O296" s="4">
        <v>18.100000000000001</v>
      </c>
      <c r="P296" s="3">
        <v>675188.66</v>
      </c>
      <c r="Q296" s="4">
        <v>17.3</v>
      </c>
      <c r="R296" s="3">
        <v>116807.64</v>
      </c>
      <c r="S296" s="1" t="s">
        <v>40</v>
      </c>
    </row>
    <row r="297" spans="1:19" x14ac:dyDescent="0.3">
      <c r="A297" s="5" t="s">
        <v>638</v>
      </c>
      <c r="B297" s="5" t="s">
        <v>67</v>
      </c>
      <c r="C297" s="5" t="s">
        <v>68</v>
      </c>
      <c r="D297" s="5" t="s">
        <v>69</v>
      </c>
      <c r="E297" s="6" t="s">
        <v>61</v>
      </c>
      <c r="F297" s="5" t="s">
        <v>62</v>
      </c>
      <c r="G297" s="5" t="s">
        <v>109</v>
      </c>
      <c r="H297" s="5" t="s">
        <v>122</v>
      </c>
      <c r="I297" s="5" t="s">
        <v>27</v>
      </c>
      <c r="J297" s="5" t="s">
        <v>65</v>
      </c>
      <c r="K297" s="5" t="s">
        <v>159</v>
      </c>
      <c r="L297" s="7">
        <v>3908.13</v>
      </c>
      <c r="M297" s="5">
        <v>20</v>
      </c>
      <c r="N297" s="7">
        <v>78162.600000000006</v>
      </c>
      <c r="O297" s="8">
        <v>8.5</v>
      </c>
      <c r="P297" s="7">
        <v>71518.78</v>
      </c>
      <c r="Q297" s="8">
        <v>64.599999999999994</v>
      </c>
      <c r="R297" s="7">
        <v>46201.13</v>
      </c>
      <c r="S297" s="5" t="s">
        <v>40</v>
      </c>
    </row>
    <row r="298" spans="1:19" x14ac:dyDescent="0.3">
      <c r="A298" s="1" t="s">
        <v>639</v>
      </c>
      <c r="B298" s="1" t="s">
        <v>555</v>
      </c>
      <c r="C298" s="1" t="s">
        <v>96</v>
      </c>
      <c r="D298" s="1" t="s">
        <v>86</v>
      </c>
      <c r="E298" s="2" t="s">
        <v>125</v>
      </c>
      <c r="F298" s="1" t="s">
        <v>62</v>
      </c>
      <c r="G298" s="1" t="s">
        <v>109</v>
      </c>
      <c r="H298" s="1" t="s">
        <v>189</v>
      </c>
      <c r="I298" s="1" t="s">
        <v>72</v>
      </c>
      <c r="J298" s="1" t="s">
        <v>47</v>
      </c>
      <c r="K298" s="1" t="s">
        <v>111</v>
      </c>
      <c r="L298" s="3">
        <v>639.15</v>
      </c>
      <c r="M298" s="1">
        <v>3</v>
      </c>
      <c r="N298" s="3">
        <v>1917.45</v>
      </c>
      <c r="O298" s="4">
        <v>1</v>
      </c>
      <c r="P298" s="3">
        <v>1898.28</v>
      </c>
      <c r="Q298" s="4">
        <v>60</v>
      </c>
      <c r="R298" s="3">
        <v>1138.97</v>
      </c>
      <c r="S298" s="1" t="s">
        <v>30</v>
      </c>
    </row>
    <row r="299" spans="1:19" x14ac:dyDescent="0.3">
      <c r="A299" s="5" t="s">
        <v>640</v>
      </c>
      <c r="B299" s="5" t="s">
        <v>598</v>
      </c>
      <c r="C299" s="5" t="s">
        <v>33</v>
      </c>
      <c r="D299" s="5" t="s">
        <v>22</v>
      </c>
      <c r="E299" s="6" t="s">
        <v>23</v>
      </c>
      <c r="F299" s="5" t="s">
        <v>24</v>
      </c>
      <c r="G299" s="5" t="s">
        <v>53</v>
      </c>
      <c r="H299" s="5" t="s">
        <v>98</v>
      </c>
      <c r="I299" s="5" t="s">
        <v>55</v>
      </c>
      <c r="J299" s="5" t="s">
        <v>65</v>
      </c>
      <c r="K299" s="5" t="s">
        <v>39</v>
      </c>
      <c r="L299" s="7">
        <v>42072.41</v>
      </c>
      <c r="M299" s="5">
        <v>14</v>
      </c>
      <c r="N299" s="7">
        <v>589013.74</v>
      </c>
      <c r="O299" s="8">
        <v>3</v>
      </c>
      <c r="P299" s="7">
        <v>571343.32999999996</v>
      </c>
      <c r="Q299" s="8">
        <v>23</v>
      </c>
      <c r="R299" s="7">
        <v>131408.97</v>
      </c>
      <c r="S299" s="5" t="s">
        <v>40</v>
      </c>
    </row>
    <row r="300" spans="1:19" x14ac:dyDescent="0.3">
      <c r="A300" s="1" t="s">
        <v>641</v>
      </c>
      <c r="B300" s="1" t="s">
        <v>463</v>
      </c>
      <c r="C300" s="1" t="s">
        <v>59</v>
      </c>
      <c r="D300" s="1" t="s">
        <v>60</v>
      </c>
      <c r="E300" s="2" t="s">
        <v>246</v>
      </c>
      <c r="F300" s="1" t="s">
        <v>52</v>
      </c>
      <c r="G300" s="1" t="s">
        <v>36</v>
      </c>
      <c r="H300" s="1" t="s">
        <v>105</v>
      </c>
      <c r="I300" s="1" t="s">
        <v>47</v>
      </c>
      <c r="J300" s="1" t="s">
        <v>65</v>
      </c>
      <c r="K300" s="1" t="s">
        <v>56</v>
      </c>
      <c r="L300" s="3">
        <v>7938.43</v>
      </c>
      <c r="M300" s="1">
        <v>1</v>
      </c>
      <c r="N300" s="3">
        <v>7938.43</v>
      </c>
      <c r="O300" s="4">
        <v>22</v>
      </c>
      <c r="P300" s="3">
        <v>6191.98</v>
      </c>
      <c r="Q300" s="4">
        <v>29.4</v>
      </c>
      <c r="R300" s="3">
        <v>1820.44</v>
      </c>
      <c r="S300" s="1" t="s">
        <v>40</v>
      </c>
    </row>
    <row r="301" spans="1:19" x14ac:dyDescent="0.3">
      <c r="A301" s="5" t="s">
        <v>642</v>
      </c>
      <c r="B301" s="5" t="s">
        <v>643</v>
      </c>
      <c r="C301" s="5" t="s">
        <v>59</v>
      </c>
      <c r="D301" s="5" t="s">
        <v>60</v>
      </c>
      <c r="E301" s="6" t="s">
        <v>51</v>
      </c>
      <c r="F301" s="5" t="s">
        <v>52</v>
      </c>
      <c r="G301" s="5" t="s">
        <v>25</v>
      </c>
      <c r="H301" s="5" t="s">
        <v>132</v>
      </c>
      <c r="I301" s="5" t="s">
        <v>72</v>
      </c>
      <c r="J301" s="5" t="s">
        <v>65</v>
      </c>
      <c r="K301" s="5" t="s">
        <v>111</v>
      </c>
      <c r="L301" s="7">
        <v>3965.21</v>
      </c>
      <c r="M301" s="5">
        <v>3</v>
      </c>
      <c r="N301" s="7">
        <v>11895.63</v>
      </c>
      <c r="O301" s="8">
        <v>19.8</v>
      </c>
      <c r="P301" s="7">
        <v>9540.2999999999993</v>
      </c>
      <c r="Q301" s="8">
        <v>26.4</v>
      </c>
      <c r="R301" s="7">
        <v>2518.64</v>
      </c>
      <c r="S301" s="5" t="s">
        <v>40</v>
      </c>
    </row>
    <row r="302" spans="1:19" x14ac:dyDescent="0.3">
      <c r="A302" s="1" t="s">
        <v>644</v>
      </c>
      <c r="B302" s="1" t="s">
        <v>330</v>
      </c>
      <c r="C302" s="1" t="s">
        <v>135</v>
      </c>
      <c r="D302" s="1" t="s">
        <v>69</v>
      </c>
      <c r="E302" s="2" t="s">
        <v>155</v>
      </c>
      <c r="F302" s="1" t="s">
        <v>24</v>
      </c>
      <c r="G302" s="1" t="s">
        <v>109</v>
      </c>
      <c r="H302" s="1" t="s">
        <v>189</v>
      </c>
      <c r="I302" s="1" t="s">
        <v>55</v>
      </c>
      <c r="J302" s="1" t="s">
        <v>65</v>
      </c>
      <c r="K302" s="1" t="s">
        <v>48</v>
      </c>
      <c r="L302" s="3">
        <v>11296.5</v>
      </c>
      <c r="M302" s="1">
        <v>16</v>
      </c>
      <c r="N302" s="3">
        <v>180744</v>
      </c>
      <c r="O302" s="4">
        <v>20.5</v>
      </c>
      <c r="P302" s="3">
        <v>143691.48000000001</v>
      </c>
      <c r="Q302" s="4">
        <v>25.9</v>
      </c>
      <c r="R302" s="3">
        <v>37216.089999999997</v>
      </c>
      <c r="S302" s="1" t="s">
        <v>79</v>
      </c>
    </row>
    <row r="303" spans="1:19" x14ac:dyDescent="0.3">
      <c r="A303" s="5" t="s">
        <v>645</v>
      </c>
      <c r="B303" s="5" t="s">
        <v>394</v>
      </c>
      <c r="C303" s="5" t="s">
        <v>75</v>
      </c>
      <c r="D303" s="5" t="s">
        <v>60</v>
      </c>
      <c r="E303" s="6" t="s">
        <v>217</v>
      </c>
      <c r="F303" s="5" t="s">
        <v>62</v>
      </c>
      <c r="G303" s="5" t="s">
        <v>36</v>
      </c>
      <c r="H303" s="5" t="s">
        <v>119</v>
      </c>
      <c r="I303" s="5" t="s">
        <v>27</v>
      </c>
      <c r="J303" s="5" t="s">
        <v>47</v>
      </c>
      <c r="K303" s="5" t="s">
        <v>102</v>
      </c>
      <c r="L303" s="7">
        <v>1623.05</v>
      </c>
      <c r="M303" s="5">
        <v>16</v>
      </c>
      <c r="N303" s="7">
        <v>25968.799999999999</v>
      </c>
      <c r="O303" s="8">
        <v>13.1</v>
      </c>
      <c r="P303" s="7">
        <v>22566.89</v>
      </c>
      <c r="Q303" s="8">
        <v>63</v>
      </c>
      <c r="R303" s="7">
        <v>14217.14</v>
      </c>
      <c r="S303" s="5" t="s">
        <v>40</v>
      </c>
    </row>
    <row r="304" spans="1:19" x14ac:dyDescent="0.3">
      <c r="A304" s="1" t="s">
        <v>646</v>
      </c>
      <c r="B304" s="1" t="s">
        <v>647</v>
      </c>
      <c r="C304" s="1" t="s">
        <v>21</v>
      </c>
      <c r="D304" s="1" t="s">
        <v>22</v>
      </c>
      <c r="E304" s="2" t="s">
        <v>128</v>
      </c>
      <c r="F304" s="1" t="s">
        <v>45</v>
      </c>
      <c r="G304" s="1" t="s">
        <v>25</v>
      </c>
      <c r="H304" s="1" t="s">
        <v>132</v>
      </c>
      <c r="I304" s="1" t="s">
        <v>38</v>
      </c>
      <c r="J304" s="1" t="s">
        <v>65</v>
      </c>
      <c r="K304" s="1" t="s">
        <v>159</v>
      </c>
      <c r="L304" s="3">
        <v>461.83</v>
      </c>
      <c r="M304" s="1">
        <v>23</v>
      </c>
      <c r="N304" s="3">
        <v>10622.09</v>
      </c>
      <c r="O304" s="4">
        <v>0.6</v>
      </c>
      <c r="P304" s="3">
        <v>10558.36</v>
      </c>
      <c r="Q304" s="4">
        <v>35.1</v>
      </c>
      <c r="R304" s="3">
        <v>3705.98</v>
      </c>
      <c r="S304" s="1" t="s">
        <v>40</v>
      </c>
    </row>
    <row r="305" spans="1:19" x14ac:dyDescent="0.3">
      <c r="A305" s="5" t="s">
        <v>648</v>
      </c>
      <c r="B305" s="5" t="s">
        <v>339</v>
      </c>
      <c r="C305" s="5" t="s">
        <v>135</v>
      </c>
      <c r="D305" s="5" t="s">
        <v>69</v>
      </c>
      <c r="E305" s="6" t="s">
        <v>180</v>
      </c>
      <c r="F305" s="5" t="s">
        <v>166</v>
      </c>
      <c r="G305" s="5" t="s">
        <v>25</v>
      </c>
      <c r="H305" s="5" t="s">
        <v>132</v>
      </c>
      <c r="I305" s="5" t="s">
        <v>47</v>
      </c>
      <c r="J305" s="5" t="s">
        <v>65</v>
      </c>
      <c r="K305" s="5" t="s">
        <v>102</v>
      </c>
      <c r="L305" s="7">
        <v>1776.11</v>
      </c>
      <c r="M305" s="5">
        <v>14</v>
      </c>
      <c r="N305" s="7">
        <v>24865.54</v>
      </c>
      <c r="O305" s="8">
        <v>0.1</v>
      </c>
      <c r="P305" s="7">
        <v>24840.67</v>
      </c>
      <c r="Q305" s="8">
        <v>45.8</v>
      </c>
      <c r="R305" s="7">
        <v>11377.03</v>
      </c>
      <c r="S305" s="5" t="s">
        <v>40</v>
      </c>
    </row>
    <row r="306" spans="1:19" x14ac:dyDescent="0.3">
      <c r="A306" s="1" t="s">
        <v>649</v>
      </c>
      <c r="B306" s="1" t="s">
        <v>588</v>
      </c>
      <c r="C306" s="1" t="s">
        <v>135</v>
      </c>
      <c r="D306" s="1" t="s">
        <v>69</v>
      </c>
      <c r="E306" s="2" t="s">
        <v>177</v>
      </c>
      <c r="F306" s="1" t="s">
        <v>166</v>
      </c>
      <c r="G306" s="1" t="s">
        <v>109</v>
      </c>
      <c r="H306" s="1" t="s">
        <v>122</v>
      </c>
      <c r="I306" s="1" t="s">
        <v>55</v>
      </c>
      <c r="J306" s="1" t="s">
        <v>47</v>
      </c>
      <c r="K306" s="1" t="s">
        <v>39</v>
      </c>
      <c r="L306" s="3">
        <v>836.6</v>
      </c>
      <c r="M306" s="1">
        <v>23</v>
      </c>
      <c r="N306" s="3">
        <v>19241.8</v>
      </c>
      <c r="O306" s="4">
        <v>24.1</v>
      </c>
      <c r="P306" s="3">
        <v>14604.53</v>
      </c>
      <c r="Q306" s="4">
        <v>45.2</v>
      </c>
      <c r="R306" s="3">
        <v>6601.25</v>
      </c>
      <c r="S306" s="1" t="s">
        <v>40</v>
      </c>
    </row>
    <row r="307" spans="1:19" x14ac:dyDescent="0.3">
      <c r="A307" s="5" t="s">
        <v>650</v>
      </c>
      <c r="B307" s="5" t="s">
        <v>651</v>
      </c>
      <c r="C307" s="5" t="s">
        <v>68</v>
      </c>
      <c r="D307" s="5" t="s">
        <v>69</v>
      </c>
      <c r="E307" s="6" t="s">
        <v>174</v>
      </c>
      <c r="F307" s="5" t="s">
        <v>45</v>
      </c>
      <c r="G307" s="5" t="s">
        <v>63</v>
      </c>
      <c r="H307" s="5" t="s">
        <v>167</v>
      </c>
      <c r="I307" s="5" t="s">
        <v>27</v>
      </c>
      <c r="J307" s="5" t="s">
        <v>65</v>
      </c>
      <c r="K307" s="5" t="s">
        <v>111</v>
      </c>
      <c r="L307" s="7">
        <v>576.94000000000005</v>
      </c>
      <c r="M307" s="5">
        <v>21</v>
      </c>
      <c r="N307" s="7">
        <v>12115.74</v>
      </c>
      <c r="O307" s="8">
        <v>17.600000000000001</v>
      </c>
      <c r="P307" s="7">
        <v>9983.3700000000008</v>
      </c>
      <c r="Q307" s="8">
        <v>22.5</v>
      </c>
      <c r="R307" s="7">
        <v>2246.2600000000002</v>
      </c>
      <c r="S307" s="5" t="s">
        <v>30</v>
      </c>
    </row>
    <row r="308" spans="1:19" x14ac:dyDescent="0.3">
      <c r="A308" s="1" t="s">
        <v>652</v>
      </c>
      <c r="B308" s="1" t="s">
        <v>653</v>
      </c>
      <c r="C308" s="1" t="s">
        <v>59</v>
      </c>
      <c r="D308" s="1" t="s">
        <v>60</v>
      </c>
      <c r="E308" s="2" t="s">
        <v>346</v>
      </c>
      <c r="F308" s="1" t="s">
        <v>35</v>
      </c>
      <c r="G308" s="1" t="s">
        <v>25</v>
      </c>
      <c r="H308" s="1" t="s">
        <v>132</v>
      </c>
      <c r="I308" s="1" t="s">
        <v>38</v>
      </c>
      <c r="J308" s="1" t="s">
        <v>47</v>
      </c>
      <c r="K308" s="1" t="s">
        <v>29</v>
      </c>
      <c r="L308" s="3">
        <v>36180.49</v>
      </c>
      <c r="M308" s="1">
        <v>17</v>
      </c>
      <c r="N308" s="3">
        <v>615068.32999999996</v>
      </c>
      <c r="O308" s="4">
        <v>20.9</v>
      </c>
      <c r="P308" s="3">
        <v>486519.05</v>
      </c>
      <c r="Q308" s="4">
        <v>37</v>
      </c>
      <c r="R308" s="3">
        <v>180012.05</v>
      </c>
      <c r="S308" s="1" t="s">
        <v>40</v>
      </c>
    </row>
    <row r="309" spans="1:19" x14ac:dyDescent="0.3">
      <c r="A309" s="5" t="s">
        <v>654</v>
      </c>
      <c r="B309" s="5" t="s">
        <v>647</v>
      </c>
      <c r="C309" s="5" t="s">
        <v>21</v>
      </c>
      <c r="D309" s="5" t="s">
        <v>22</v>
      </c>
      <c r="E309" s="6" t="s">
        <v>145</v>
      </c>
      <c r="F309" s="5" t="s">
        <v>62</v>
      </c>
      <c r="G309" s="5" t="s">
        <v>109</v>
      </c>
      <c r="H309" s="5" t="s">
        <v>122</v>
      </c>
      <c r="I309" s="5" t="s">
        <v>38</v>
      </c>
      <c r="J309" s="5" t="s">
        <v>93</v>
      </c>
      <c r="K309" s="5" t="s">
        <v>159</v>
      </c>
      <c r="L309" s="7">
        <v>1937.12</v>
      </c>
      <c r="M309" s="5">
        <v>22</v>
      </c>
      <c r="N309" s="7">
        <v>42616.639999999999</v>
      </c>
      <c r="O309" s="8">
        <v>6.4</v>
      </c>
      <c r="P309" s="7">
        <v>39889.18</v>
      </c>
      <c r="Q309" s="8">
        <v>53.1</v>
      </c>
      <c r="R309" s="7">
        <v>21181.15</v>
      </c>
      <c r="S309" s="5" t="s">
        <v>40</v>
      </c>
    </row>
    <row r="310" spans="1:19" x14ac:dyDescent="0.3">
      <c r="A310" s="1" t="s">
        <v>655</v>
      </c>
      <c r="B310" s="1" t="s">
        <v>95</v>
      </c>
      <c r="C310" s="1" t="s">
        <v>96</v>
      </c>
      <c r="D310" s="1" t="s">
        <v>86</v>
      </c>
      <c r="E310" s="2" t="s">
        <v>128</v>
      </c>
      <c r="F310" s="1" t="s">
        <v>45</v>
      </c>
      <c r="G310" s="1" t="s">
        <v>53</v>
      </c>
      <c r="H310" s="1" t="s">
        <v>98</v>
      </c>
      <c r="I310" s="1" t="s">
        <v>47</v>
      </c>
      <c r="J310" s="1" t="s">
        <v>47</v>
      </c>
      <c r="K310" s="1" t="s">
        <v>159</v>
      </c>
      <c r="L310" s="3">
        <v>116.67</v>
      </c>
      <c r="M310" s="1">
        <v>18</v>
      </c>
      <c r="N310" s="3">
        <v>2100.06</v>
      </c>
      <c r="O310" s="4">
        <v>17</v>
      </c>
      <c r="P310" s="3">
        <v>1743.05</v>
      </c>
      <c r="Q310" s="4">
        <v>26.2</v>
      </c>
      <c r="R310" s="3">
        <v>456.68</v>
      </c>
      <c r="S310" s="1" t="s">
        <v>40</v>
      </c>
    </row>
    <row r="311" spans="1:19" x14ac:dyDescent="0.3">
      <c r="A311" s="5" t="s">
        <v>656</v>
      </c>
      <c r="B311" s="5" t="s">
        <v>84</v>
      </c>
      <c r="C311" s="5" t="s">
        <v>85</v>
      </c>
      <c r="D311" s="5" t="s">
        <v>86</v>
      </c>
      <c r="E311" s="6" t="s">
        <v>279</v>
      </c>
      <c r="F311" s="5" t="s">
        <v>166</v>
      </c>
      <c r="G311" s="5" t="s">
        <v>53</v>
      </c>
      <c r="H311" s="5" t="s">
        <v>98</v>
      </c>
      <c r="I311" s="5" t="s">
        <v>47</v>
      </c>
      <c r="J311" s="5" t="s">
        <v>93</v>
      </c>
      <c r="K311" s="5" t="s">
        <v>159</v>
      </c>
      <c r="L311" s="7">
        <v>3237.86</v>
      </c>
      <c r="M311" s="5">
        <v>20</v>
      </c>
      <c r="N311" s="7">
        <v>64757.2</v>
      </c>
      <c r="O311" s="8">
        <v>0.7</v>
      </c>
      <c r="P311" s="7">
        <v>64303.9</v>
      </c>
      <c r="Q311" s="8">
        <v>52</v>
      </c>
      <c r="R311" s="7">
        <v>33438.03</v>
      </c>
      <c r="S311" s="5" t="s">
        <v>79</v>
      </c>
    </row>
    <row r="312" spans="1:19" x14ac:dyDescent="0.3">
      <c r="A312" s="1" t="s">
        <v>657</v>
      </c>
      <c r="B312" s="1" t="s">
        <v>272</v>
      </c>
      <c r="C312" s="1" t="s">
        <v>131</v>
      </c>
      <c r="D312" s="1" t="s">
        <v>69</v>
      </c>
      <c r="E312" s="2" t="s">
        <v>410</v>
      </c>
      <c r="F312" s="1" t="s">
        <v>166</v>
      </c>
      <c r="G312" s="1" t="s">
        <v>109</v>
      </c>
      <c r="H312" s="1" t="s">
        <v>110</v>
      </c>
      <c r="I312" s="1" t="s">
        <v>55</v>
      </c>
      <c r="J312" s="1" t="s">
        <v>28</v>
      </c>
      <c r="K312" s="1" t="s">
        <v>56</v>
      </c>
      <c r="L312" s="3">
        <v>2387.94</v>
      </c>
      <c r="M312" s="1">
        <v>12</v>
      </c>
      <c r="N312" s="3">
        <v>28655.279999999999</v>
      </c>
      <c r="O312" s="4">
        <v>9.6999999999999993</v>
      </c>
      <c r="P312" s="3">
        <v>25875.72</v>
      </c>
      <c r="Q312" s="4">
        <v>53.4</v>
      </c>
      <c r="R312" s="3">
        <v>13817.63</v>
      </c>
      <c r="S312" s="1" t="s">
        <v>40</v>
      </c>
    </row>
    <row r="313" spans="1:19" x14ac:dyDescent="0.3">
      <c r="A313" s="5" t="s">
        <v>658</v>
      </c>
      <c r="B313" s="5" t="s">
        <v>397</v>
      </c>
      <c r="C313" s="5" t="s">
        <v>96</v>
      </c>
      <c r="D313" s="5" t="s">
        <v>86</v>
      </c>
      <c r="E313" s="6" t="s">
        <v>76</v>
      </c>
      <c r="F313" s="5" t="s">
        <v>45</v>
      </c>
      <c r="G313" s="5" t="s">
        <v>109</v>
      </c>
      <c r="H313" s="5" t="s">
        <v>189</v>
      </c>
      <c r="I313" s="5" t="s">
        <v>47</v>
      </c>
      <c r="J313" s="5" t="s">
        <v>65</v>
      </c>
      <c r="K313" s="5" t="s">
        <v>88</v>
      </c>
      <c r="L313" s="7">
        <v>1209.6500000000001</v>
      </c>
      <c r="M313" s="5">
        <v>9</v>
      </c>
      <c r="N313" s="7">
        <v>10886.85</v>
      </c>
      <c r="O313" s="8">
        <v>15.4</v>
      </c>
      <c r="P313" s="7">
        <v>9210.2800000000007</v>
      </c>
      <c r="Q313" s="8">
        <v>39.5</v>
      </c>
      <c r="R313" s="7">
        <v>3638.06</v>
      </c>
      <c r="S313" s="5" t="s">
        <v>40</v>
      </c>
    </row>
    <row r="314" spans="1:19" x14ac:dyDescent="0.3">
      <c r="A314" s="1" t="s">
        <v>659</v>
      </c>
      <c r="B314" s="1" t="s">
        <v>127</v>
      </c>
      <c r="C314" s="1" t="s">
        <v>85</v>
      </c>
      <c r="D314" s="1" t="s">
        <v>86</v>
      </c>
      <c r="E314" s="2" t="s">
        <v>125</v>
      </c>
      <c r="F314" s="1" t="s">
        <v>62</v>
      </c>
      <c r="G314" s="1" t="s">
        <v>109</v>
      </c>
      <c r="H314" s="1" t="s">
        <v>110</v>
      </c>
      <c r="I314" s="1" t="s">
        <v>47</v>
      </c>
      <c r="J314" s="1" t="s">
        <v>93</v>
      </c>
      <c r="K314" s="1" t="s">
        <v>102</v>
      </c>
      <c r="L314" s="3">
        <v>2881.56</v>
      </c>
      <c r="M314" s="1">
        <v>7</v>
      </c>
      <c r="N314" s="3">
        <v>20170.919999999998</v>
      </c>
      <c r="O314" s="4">
        <v>2.7</v>
      </c>
      <c r="P314" s="3">
        <v>19626.310000000001</v>
      </c>
      <c r="Q314" s="4">
        <v>56.3</v>
      </c>
      <c r="R314" s="3">
        <v>11049.61</v>
      </c>
      <c r="S314" s="1" t="s">
        <v>40</v>
      </c>
    </row>
    <row r="315" spans="1:19" x14ac:dyDescent="0.3">
      <c r="A315" s="5" t="s">
        <v>660</v>
      </c>
      <c r="B315" s="5" t="s">
        <v>661</v>
      </c>
      <c r="C315" s="5" t="s">
        <v>85</v>
      </c>
      <c r="D315" s="5" t="s">
        <v>86</v>
      </c>
      <c r="E315" s="6" t="s">
        <v>184</v>
      </c>
      <c r="F315" s="5" t="s">
        <v>45</v>
      </c>
      <c r="G315" s="5" t="s">
        <v>109</v>
      </c>
      <c r="H315" s="5" t="s">
        <v>152</v>
      </c>
      <c r="I315" s="5" t="s">
        <v>47</v>
      </c>
      <c r="J315" s="5" t="s">
        <v>47</v>
      </c>
      <c r="K315" s="5" t="s">
        <v>39</v>
      </c>
      <c r="L315" s="7">
        <v>995.98</v>
      </c>
      <c r="M315" s="5">
        <v>14</v>
      </c>
      <c r="N315" s="7">
        <v>13943.72</v>
      </c>
      <c r="O315" s="8">
        <v>2.1</v>
      </c>
      <c r="P315" s="7">
        <v>13650.9</v>
      </c>
      <c r="Q315" s="8">
        <v>18.7</v>
      </c>
      <c r="R315" s="7">
        <v>2552.7199999999998</v>
      </c>
      <c r="S315" s="5" t="s">
        <v>40</v>
      </c>
    </row>
    <row r="316" spans="1:19" x14ac:dyDescent="0.3">
      <c r="A316" s="1" t="s">
        <v>662</v>
      </c>
      <c r="B316" s="1" t="s">
        <v>493</v>
      </c>
      <c r="C316" s="1" t="s">
        <v>43</v>
      </c>
      <c r="D316" s="1" t="s">
        <v>22</v>
      </c>
      <c r="E316" s="2" t="s">
        <v>118</v>
      </c>
      <c r="F316" s="1" t="s">
        <v>62</v>
      </c>
      <c r="G316" s="1" t="s">
        <v>25</v>
      </c>
      <c r="H316" s="1" t="s">
        <v>26</v>
      </c>
      <c r="I316" s="1" t="s">
        <v>47</v>
      </c>
      <c r="J316" s="1" t="s">
        <v>28</v>
      </c>
      <c r="K316" s="1" t="s">
        <v>159</v>
      </c>
      <c r="L316" s="3">
        <v>3063.09</v>
      </c>
      <c r="M316" s="1">
        <v>24</v>
      </c>
      <c r="N316" s="3">
        <v>73514.16</v>
      </c>
      <c r="O316" s="4">
        <v>15</v>
      </c>
      <c r="P316" s="3">
        <v>62487.040000000001</v>
      </c>
      <c r="Q316" s="4">
        <v>61.8</v>
      </c>
      <c r="R316" s="3">
        <v>38616.99</v>
      </c>
      <c r="S316" s="1" t="s">
        <v>40</v>
      </c>
    </row>
    <row r="317" spans="1:19" x14ac:dyDescent="0.3">
      <c r="A317" s="5" t="s">
        <v>663</v>
      </c>
      <c r="B317" s="5" t="s">
        <v>598</v>
      </c>
      <c r="C317" s="5" t="s">
        <v>33</v>
      </c>
      <c r="D317" s="5" t="s">
        <v>22</v>
      </c>
      <c r="E317" s="6" t="s">
        <v>410</v>
      </c>
      <c r="F317" s="5" t="s">
        <v>166</v>
      </c>
      <c r="G317" s="5" t="s">
        <v>109</v>
      </c>
      <c r="H317" s="5" t="s">
        <v>189</v>
      </c>
      <c r="I317" s="5" t="s">
        <v>47</v>
      </c>
      <c r="J317" s="5" t="s">
        <v>47</v>
      </c>
      <c r="K317" s="5" t="s">
        <v>88</v>
      </c>
      <c r="L317" s="7">
        <v>4075.97</v>
      </c>
      <c r="M317" s="5">
        <v>13</v>
      </c>
      <c r="N317" s="7">
        <v>52987.61</v>
      </c>
      <c r="O317" s="8">
        <v>6.3</v>
      </c>
      <c r="P317" s="7">
        <v>49649.39</v>
      </c>
      <c r="Q317" s="8">
        <v>52.7</v>
      </c>
      <c r="R317" s="7">
        <v>26165.23</v>
      </c>
      <c r="S317" s="5" t="s">
        <v>40</v>
      </c>
    </row>
    <row r="318" spans="1:19" x14ac:dyDescent="0.3">
      <c r="A318" s="1" t="s">
        <v>664</v>
      </c>
      <c r="B318" s="1" t="s">
        <v>665</v>
      </c>
      <c r="C318" s="1" t="s">
        <v>96</v>
      </c>
      <c r="D318" s="1" t="s">
        <v>86</v>
      </c>
      <c r="E318" s="2" t="s">
        <v>184</v>
      </c>
      <c r="F318" s="1" t="s">
        <v>45</v>
      </c>
      <c r="G318" s="1" t="s">
        <v>36</v>
      </c>
      <c r="H318" s="1" t="s">
        <v>105</v>
      </c>
      <c r="I318" s="1" t="s">
        <v>27</v>
      </c>
      <c r="J318" s="1" t="s">
        <v>93</v>
      </c>
      <c r="K318" s="1" t="s">
        <v>39</v>
      </c>
      <c r="L318" s="3">
        <v>777.96</v>
      </c>
      <c r="M318" s="1">
        <v>11</v>
      </c>
      <c r="N318" s="3">
        <v>8557.56</v>
      </c>
      <c r="O318" s="4">
        <v>20.6</v>
      </c>
      <c r="P318" s="3">
        <v>6794.7</v>
      </c>
      <c r="Q318" s="4">
        <v>18.3</v>
      </c>
      <c r="R318" s="3">
        <v>1243.43</v>
      </c>
      <c r="S318" s="1" t="s">
        <v>40</v>
      </c>
    </row>
    <row r="319" spans="1:19" x14ac:dyDescent="0.3">
      <c r="A319" s="5" t="s">
        <v>666</v>
      </c>
      <c r="B319" s="5" t="s">
        <v>423</v>
      </c>
      <c r="C319" s="5" t="s">
        <v>101</v>
      </c>
      <c r="D319" s="5" t="s">
        <v>60</v>
      </c>
      <c r="E319" s="6" t="s">
        <v>23</v>
      </c>
      <c r="F319" s="5" t="s">
        <v>24</v>
      </c>
      <c r="G319" s="5" t="s">
        <v>36</v>
      </c>
      <c r="H319" s="5" t="s">
        <v>105</v>
      </c>
      <c r="I319" s="5" t="s">
        <v>38</v>
      </c>
      <c r="J319" s="5" t="s">
        <v>28</v>
      </c>
      <c r="K319" s="5" t="s">
        <v>159</v>
      </c>
      <c r="L319" s="7">
        <v>79460.27</v>
      </c>
      <c r="M319" s="5">
        <v>5</v>
      </c>
      <c r="N319" s="7">
        <v>397301.35</v>
      </c>
      <c r="O319" s="8">
        <v>21.2</v>
      </c>
      <c r="P319" s="7">
        <v>313073.46000000002</v>
      </c>
      <c r="Q319" s="8">
        <v>24.8</v>
      </c>
      <c r="R319" s="7">
        <v>77642.22</v>
      </c>
      <c r="S319" s="5" t="s">
        <v>40</v>
      </c>
    </row>
    <row r="320" spans="1:19" x14ac:dyDescent="0.3">
      <c r="A320" s="1" t="s">
        <v>667</v>
      </c>
      <c r="B320" s="1" t="s">
        <v>668</v>
      </c>
      <c r="C320" s="1" t="s">
        <v>43</v>
      </c>
      <c r="D320" s="1" t="s">
        <v>22</v>
      </c>
      <c r="E320" s="2" t="s">
        <v>165</v>
      </c>
      <c r="F320" s="1" t="s">
        <v>166</v>
      </c>
      <c r="G320" s="1" t="s">
        <v>63</v>
      </c>
      <c r="H320" s="1" t="s">
        <v>64</v>
      </c>
      <c r="I320" s="1" t="s">
        <v>72</v>
      </c>
      <c r="J320" s="1" t="s">
        <v>28</v>
      </c>
      <c r="K320" s="1" t="s">
        <v>102</v>
      </c>
      <c r="L320" s="3">
        <v>2918.18</v>
      </c>
      <c r="M320" s="1">
        <v>15</v>
      </c>
      <c r="N320" s="3">
        <v>43772.7</v>
      </c>
      <c r="O320" s="4">
        <v>9.8000000000000007</v>
      </c>
      <c r="P320" s="3">
        <v>39482.980000000003</v>
      </c>
      <c r="Q320" s="4">
        <v>60.2</v>
      </c>
      <c r="R320" s="3">
        <v>23768.75</v>
      </c>
      <c r="S320" s="1" t="s">
        <v>40</v>
      </c>
    </row>
    <row r="321" spans="1:19" x14ac:dyDescent="0.3">
      <c r="A321" s="5" t="s">
        <v>669</v>
      </c>
      <c r="B321" s="5" t="s">
        <v>536</v>
      </c>
      <c r="C321" s="5" t="s">
        <v>43</v>
      </c>
      <c r="D321" s="5" t="s">
        <v>22</v>
      </c>
      <c r="E321" s="6" t="s">
        <v>180</v>
      </c>
      <c r="F321" s="5" t="s">
        <v>166</v>
      </c>
      <c r="G321" s="5" t="s">
        <v>25</v>
      </c>
      <c r="H321" s="5" t="s">
        <v>215</v>
      </c>
      <c r="I321" s="5" t="s">
        <v>72</v>
      </c>
      <c r="J321" s="5" t="s">
        <v>47</v>
      </c>
      <c r="K321" s="5" t="s">
        <v>149</v>
      </c>
      <c r="L321" s="7">
        <v>1046.25</v>
      </c>
      <c r="M321" s="5">
        <v>16</v>
      </c>
      <c r="N321" s="7">
        <v>16740</v>
      </c>
      <c r="O321" s="8">
        <v>23.1</v>
      </c>
      <c r="P321" s="7">
        <v>12873.06</v>
      </c>
      <c r="Q321" s="8">
        <v>58.5</v>
      </c>
      <c r="R321" s="7">
        <v>7530.74</v>
      </c>
      <c r="S321" s="5" t="s">
        <v>112</v>
      </c>
    </row>
    <row r="322" spans="1:19" x14ac:dyDescent="0.3">
      <c r="A322" s="1" t="s">
        <v>670</v>
      </c>
      <c r="B322" s="1" t="s">
        <v>124</v>
      </c>
      <c r="C322" s="1" t="s">
        <v>59</v>
      </c>
      <c r="D322" s="1" t="s">
        <v>60</v>
      </c>
      <c r="E322" s="2" t="s">
        <v>34</v>
      </c>
      <c r="F322" s="1" t="s">
        <v>35</v>
      </c>
      <c r="G322" s="1" t="s">
        <v>36</v>
      </c>
      <c r="H322" s="1" t="s">
        <v>136</v>
      </c>
      <c r="I322" s="1" t="s">
        <v>38</v>
      </c>
      <c r="J322" s="1" t="s">
        <v>47</v>
      </c>
      <c r="K322" s="1" t="s">
        <v>39</v>
      </c>
      <c r="L322" s="3">
        <v>24071.61</v>
      </c>
      <c r="M322" s="1">
        <v>9</v>
      </c>
      <c r="N322" s="3">
        <v>216644.49</v>
      </c>
      <c r="O322" s="4">
        <v>22.3</v>
      </c>
      <c r="P322" s="3">
        <v>168332.77</v>
      </c>
      <c r="Q322" s="4">
        <v>39.5</v>
      </c>
      <c r="R322" s="3">
        <v>66491.44</v>
      </c>
      <c r="S322" s="1" t="s">
        <v>40</v>
      </c>
    </row>
    <row r="323" spans="1:19" x14ac:dyDescent="0.3">
      <c r="A323" s="5" t="s">
        <v>671</v>
      </c>
      <c r="B323" s="5" t="s">
        <v>267</v>
      </c>
      <c r="C323" s="5" t="s">
        <v>33</v>
      </c>
      <c r="D323" s="5" t="s">
        <v>22</v>
      </c>
      <c r="E323" s="6" t="s">
        <v>303</v>
      </c>
      <c r="F323" s="5" t="s">
        <v>62</v>
      </c>
      <c r="G323" s="5" t="s">
        <v>53</v>
      </c>
      <c r="H323" s="5" t="s">
        <v>71</v>
      </c>
      <c r="I323" s="5" t="s">
        <v>27</v>
      </c>
      <c r="J323" s="5" t="s">
        <v>28</v>
      </c>
      <c r="K323" s="5" t="s">
        <v>159</v>
      </c>
      <c r="L323" s="7">
        <v>661.06</v>
      </c>
      <c r="M323" s="5">
        <v>6</v>
      </c>
      <c r="N323" s="7">
        <v>3966.36</v>
      </c>
      <c r="O323" s="8">
        <v>14.3</v>
      </c>
      <c r="P323" s="7">
        <v>3399.17</v>
      </c>
      <c r="Q323" s="8">
        <v>65.900000000000006</v>
      </c>
      <c r="R323" s="7">
        <v>2240.0500000000002</v>
      </c>
      <c r="S323" s="5" t="s">
        <v>40</v>
      </c>
    </row>
    <row r="324" spans="1:19" x14ac:dyDescent="0.3">
      <c r="A324" s="1" t="s">
        <v>672</v>
      </c>
      <c r="B324" s="1" t="s">
        <v>673</v>
      </c>
      <c r="C324" s="1" t="s">
        <v>117</v>
      </c>
      <c r="D324" s="1" t="s">
        <v>86</v>
      </c>
      <c r="E324" s="2" t="s">
        <v>44</v>
      </c>
      <c r="F324" s="1" t="s">
        <v>45</v>
      </c>
      <c r="G324" s="1" t="s">
        <v>25</v>
      </c>
      <c r="H324" s="1" t="s">
        <v>46</v>
      </c>
      <c r="I324" s="1" t="s">
        <v>38</v>
      </c>
      <c r="J324" s="1" t="s">
        <v>93</v>
      </c>
      <c r="K324" s="1" t="s">
        <v>159</v>
      </c>
      <c r="L324" s="3">
        <v>498.12</v>
      </c>
      <c r="M324" s="1">
        <v>9</v>
      </c>
      <c r="N324" s="3">
        <v>4483.08</v>
      </c>
      <c r="O324" s="4">
        <v>24.5</v>
      </c>
      <c r="P324" s="3">
        <v>3384.73</v>
      </c>
      <c r="Q324" s="4">
        <v>24.7</v>
      </c>
      <c r="R324" s="3">
        <v>836.03</v>
      </c>
      <c r="S324" s="1" t="s">
        <v>40</v>
      </c>
    </row>
    <row r="325" spans="1:19" x14ac:dyDescent="0.3">
      <c r="A325" s="5" t="s">
        <v>674</v>
      </c>
      <c r="B325" s="5" t="s">
        <v>675</v>
      </c>
      <c r="C325" s="5" t="s">
        <v>75</v>
      </c>
      <c r="D325" s="5" t="s">
        <v>60</v>
      </c>
      <c r="E325" s="6" t="s">
        <v>155</v>
      </c>
      <c r="F325" s="5" t="s">
        <v>24</v>
      </c>
      <c r="G325" s="5" t="s">
        <v>25</v>
      </c>
      <c r="H325" s="5" t="s">
        <v>132</v>
      </c>
      <c r="I325" s="5" t="s">
        <v>55</v>
      </c>
      <c r="J325" s="5" t="s">
        <v>28</v>
      </c>
      <c r="K325" s="5" t="s">
        <v>102</v>
      </c>
      <c r="L325" s="7">
        <v>57290.52</v>
      </c>
      <c r="M325" s="5">
        <v>10</v>
      </c>
      <c r="N325" s="7">
        <v>572905.19999999995</v>
      </c>
      <c r="O325" s="8">
        <v>20.9</v>
      </c>
      <c r="P325" s="7">
        <v>453168.01</v>
      </c>
      <c r="Q325" s="8">
        <v>29.1</v>
      </c>
      <c r="R325" s="7">
        <v>131871.89000000001</v>
      </c>
      <c r="S325" s="5" t="s">
        <v>40</v>
      </c>
    </row>
    <row r="326" spans="1:19" x14ac:dyDescent="0.3">
      <c r="A326" s="1" t="s">
        <v>676</v>
      </c>
      <c r="B326" s="1" t="s">
        <v>353</v>
      </c>
      <c r="C326" s="1" t="s">
        <v>68</v>
      </c>
      <c r="D326" s="1" t="s">
        <v>69</v>
      </c>
      <c r="E326" s="2" t="s">
        <v>70</v>
      </c>
      <c r="F326" s="1" t="s">
        <v>24</v>
      </c>
      <c r="G326" s="1" t="s">
        <v>109</v>
      </c>
      <c r="H326" s="1" t="s">
        <v>152</v>
      </c>
      <c r="I326" s="1" t="s">
        <v>47</v>
      </c>
      <c r="J326" s="1" t="s">
        <v>28</v>
      </c>
      <c r="K326" s="1" t="s">
        <v>102</v>
      </c>
      <c r="L326" s="3">
        <v>63119.93</v>
      </c>
      <c r="M326" s="1">
        <v>7</v>
      </c>
      <c r="N326" s="3">
        <v>441839.51</v>
      </c>
      <c r="O326" s="4">
        <v>22.8</v>
      </c>
      <c r="P326" s="3">
        <v>341100.1</v>
      </c>
      <c r="Q326" s="4">
        <v>19.8</v>
      </c>
      <c r="R326" s="3">
        <v>67537.820000000007</v>
      </c>
      <c r="S326" s="1" t="s">
        <v>40</v>
      </c>
    </row>
    <row r="327" spans="1:19" x14ac:dyDescent="0.3">
      <c r="A327" s="5" t="s">
        <v>677</v>
      </c>
      <c r="B327" s="5" t="s">
        <v>678</v>
      </c>
      <c r="C327" s="5" t="s">
        <v>68</v>
      </c>
      <c r="D327" s="5" t="s">
        <v>69</v>
      </c>
      <c r="E327" s="6" t="s">
        <v>170</v>
      </c>
      <c r="F327" s="5" t="s">
        <v>52</v>
      </c>
      <c r="G327" s="5" t="s">
        <v>53</v>
      </c>
      <c r="H327" s="5" t="s">
        <v>54</v>
      </c>
      <c r="I327" s="5" t="s">
        <v>38</v>
      </c>
      <c r="J327" s="5" t="s">
        <v>47</v>
      </c>
      <c r="K327" s="5" t="s">
        <v>39</v>
      </c>
      <c r="L327" s="7">
        <v>4001.25</v>
      </c>
      <c r="M327" s="5">
        <v>20</v>
      </c>
      <c r="N327" s="7">
        <v>80025</v>
      </c>
      <c r="O327" s="8">
        <v>7.8</v>
      </c>
      <c r="P327" s="7">
        <v>73783.05</v>
      </c>
      <c r="Q327" s="8">
        <v>30</v>
      </c>
      <c r="R327" s="7">
        <v>22134.92</v>
      </c>
      <c r="S327" s="5" t="s">
        <v>79</v>
      </c>
    </row>
    <row r="328" spans="1:19" x14ac:dyDescent="0.3">
      <c r="A328" s="1" t="s">
        <v>679</v>
      </c>
      <c r="B328" s="1" t="s">
        <v>562</v>
      </c>
      <c r="C328" s="1" t="s">
        <v>85</v>
      </c>
      <c r="D328" s="1" t="s">
        <v>86</v>
      </c>
      <c r="E328" s="2" t="s">
        <v>303</v>
      </c>
      <c r="F328" s="1" t="s">
        <v>62</v>
      </c>
      <c r="G328" s="1" t="s">
        <v>36</v>
      </c>
      <c r="H328" s="1" t="s">
        <v>37</v>
      </c>
      <c r="I328" s="1" t="s">
        <v>47</v>
      </c>
      <c r="J328" s="1" t="s">
        <v>28</v>
      </c>
      <c r="K328" s="1" t="s">
        <v>111</v>
      </c>
      <c r="L328" s="3">
        <v>1857.08</v>
      </c>
      <c r="M328" s="1">
        <v>2</v>
      </c>
      <c r="N328" s="3">
        <v>3714.16</v>
      </c>
      <c r="O328" s="4">
        <v>23</v>
      </c>
      <c r="P328" s="3">
        <v>2859.9</v>
      </c>
      <c r="Q328" s="4">
        <v>60.5</v>
      </c>
      <c r="R328" s="3">
        <v>1730.24</v>
      </c>
      <c r="S328" s="1" t="s">
        <v>40</v>
      </c>
    </row>
    <row r="329" spans="1:19" x14ac:dyDescent="0.3">
      <c r="A329" s="5" t="s">
        <v>680</v>
      </c>
      <c r="B329" s="5" t="s">
        <v>681</v>
      </c>
      <c r="C329" s="5" t="s">
        <v>117</v>
      </c>
      <c r="D329" s="5" t="s">
        <v>86</v>
      </c>
      <c r="E329" s="6" t="s">
        <v>91</v>
      </c>
      <c r="F329" s="5" t="s">
        <v>52</v>
      </c>
      <c r="G329" s="5" t="s">
        <v>109</v>
      </c>
      <c r="H329" s="5" t="s">
        <v>152</v>
      </c>
      <c r="I329" s="5" t="s">
        <v>55</v>
      </c>
      <c r="J329" s="5" t="s">
        <v>65</v>
      </c>
      <c r="K329" s="5" t="s">
        <v>48</v>
      </c>
      <c r="L329" s="7">
        <v>7804</v>
      </c>
      <c r="M329" s="5">
        <v>5</v>
      </c>
      <c r="N329" s="7">
        <v>39020</v>
      </c>
      <c r="O329" s="8">
        <v>16.899999999999999</v>
      </c>
      <c r="P329" s="7">
        <v>32425.62</v>
      </c>
      <c r="Q329" s="8">
        <v>38.6</v>
      </c>
      <c r="R329" s="7">
        <v>12516.29</v>
      </c>
      <c r="S329" s="5" t="s">
        <v>40</v>
      </c>
    </row>
    <row r="330" spans="1:19" x14ac:dyDescent="0.3">
      <c r="A330" s="1" t="s">
        <v>682</v>
      </c>
      <c r="B330" s="1" t="s">
        <v>683</v>
      </c>
      <c r="C330" s="1" t="s">
        <v>85</v>
      </c>
      <c r="D330" s="1" t="s">
        <v>86</v>
      </c>
      <c r="E330" s="2" t="s">
        <v>118</v>
      </c>
      <c r="F330" s="1" t="s">
        <v>62</v>
      </c>
      <c r="G330" s="1" t="s">
        <v>53</v>
      </c>
      <c r="H330" s="1" t="s">
        <v>77</v>
      </c>
      <c r="I330" s="1" t="s">
        <v>27</v>
      </c>
      <c r="J330" s="1" t="s">
        <v>65</v>
      </c>
      <c r="K330" s="1" t="s">
        <v>48</v>
      </c>
      <c r="L330" s="3">
        <v>3459.39</v>
      </c>
      <c r="M330" s="1">
        <v>18</v>
      </c>
      <c r="N330" s="3">
        <v>62269.02</v>
      </c>
      <c r="O330" s="4">
        <v>13.2</v>
      </c>
      <c r="P330" s="3">
        <v>54049.51</v>
      </c>
      <c r="Q330" s="4">
        <v>71.099999999999994</v>
      </c>
      <c r="R330" s="3">
        <v>38429.199999999997</v>
      </c>
      <c r="S330" s="1" t="s">
        <v>30</v>
      </c>
    </row>
    <row r="331" spans="1:19" x14ac:dyDescent="0.3">
      <c r="A331" s="5" t="s">
        <v>684</v>
      </c>
      <c r="B331" s="5" t="s">
        <v>685</v>
      </c>
      <c r="C331" s="5" t="s">
        <v>131</v>
      </c>
      <c r="D331" s="5" t="s">
        <v>69</v>
      </c>
      <c r="E331" s="6" t="s">
        <v>139</v>
      </c>
      <c r="F331" s="5" t="s">
        <v>45</v>
      </c>
      <c r="G331" s="5" t="s">
        <v>53</v>
      </c>
      <c r="H331" s="5" t="s">
        <v>71</v>
      </c>
      <c r="I331" s="5" t="s">
        <v>47</v>
      </c>
      <c r="J331" s="5" t="s">
        <v>28</v>
      </c>
      <c r="K331" s="5" t="s">
        <v>149</v>
      </c>
      <c r="L331" s="7">
        <v>1446.72</v>
      </c>
      <c r="M331" s="5">
        <v>22</v>
      </c>
      <c r="N331" s="7">
        <v>31827.84</v>
      </c>
      <c r="O331" s="8">
        <v>6</v>
      </c>
      <c r="P331" s="7">
        <v>29918.17</v>
      </c>
      <c r="Q331" s="8">
        <v>31</v>
      </c>
      <c r="R331" s="7">
        <v>9274.6299999999992</v>
      </c>
      <c r="S331" s="5" t="s">
        <v>112</v>
      </c>
    </row>
    <row r="332" spans="1:19" x14ac:dyDescent="0.3">
      <c r="A332" s="1" t="s">
        <v>686</v>
      </c>
      <c r="B332" s="1" t="s">
        <v>687</v>
      </c>
      <c r="C332" s="1" t="s">
        <v>68</v>
      </c>
      <c r="D332" s="1" t="s">
        <v>69</v>
      </c>
      <c r="E332" s="2" t="s">
        <v>224</v>
      </c>
      <c r="F332" s="1" t="s">
        <v>166</v>
      </c>
      <c r="G332" s="1" t="s">
        <v>25</v>
      </c>
      <c r="H332" s="1" t="s">
        <v>46</v>
      </c>
      <c r="I332" s="1" t="s">
        <v>72</v>
      </c>
      <c r="J332" s="1" t="s">
        <v>28</v>
      </c>
      <c r="K332" s="1" t="s">
        <v>56</v>
      </c>
      <c r="L332" s="3">
        <v>4813.83</v>
      </c>
      <c r="M332" s="1">
        <v>7</v>
      </c>
      <c r="N332" s="3">
        <v>33696.81</v>
      </c>
      <c r="O332" s="4">
        <v>19.5</v>
      </c>
      <c r="P332" s="3">
        <v>27125.93</v>
      </c>
      <c r="Q332" s="4">
        <v>42.2</v>
      </c>
      <c r="R332" s="3">
        <v>11447.14</v>
      </c>
      <c r="S332" s="1" t="s">
        <v>79</v>
      </c>
    </row>
    <row r="333" spans="1:19" x14ac:dyDescent="0.3">
      <c r="A333" s="5" t="s">
        <v>688</v>
      </c>
      <c r="B333" s="5" t="s">
        <v>382</v>
      </c>
      <c r="C333" s="5" t="s">
        <v>33</v>
      </c>
      <c r="D333" s="5" t="s">
        <v>22</v>
      </c>
      <c r="E333" s="6" t="s">
        <v>184</v>
      </c>
      <c r="F333" s="5" t="s">
        <v>45</v>
      </c>
      <c r="G333" s="5" t="s">
        <v>36</v>
      </c>
      <c r="H333" s="5" t="s">
        <v>119</v>
      </c>
      <c r="I333" s="5" t="s">
        <v>27</v>
      </c>
      <c r="J333" s="5" t="s">
        <v>93</v>
      </c>
      <c r="K333" s="5" t="s">
        <v>88</v>
      </c>
      <c r="L333" s="7">
        <v>490.75</v>
      </c>
      <c r="M333" s="5">
        <v>3</v>
      </c>
      <c r="N333" s="7">
        <v>1472.25</v>
      </c>
      <c r="O333" s="8">
        <v>13</v>
      </c>
      <c r="P333" s="7">
        <v>1280.8599999999999</v>
      </c>
      <c r="Q333" s="8">
        <v>26</v>
      </c>
      <c r="R333" s="7">
        <v>333.02</v>
      </c>
      <c r="S333" s="5" t="s">
        <v>30</v>
      </c>
    </row>
    <row r="334" spans="1:19" x14ac:dyDescent="0.3">
      <c r="A334" s="1" t="s">
        <v>689</v>
      </c>
      <c r="B334" s="1" t="s">
        <v>690</v>
      </c>
      <c r="C334" s="1" t="s">
        <v>33</v>
      </c>
      <c r="D334" s="1" t="s">
        <v>22</v>
      </c>
      <c r="E334" s="2" t="s">
        <v>165</v>
      </c>
      <c r="F334" s="1" t="s">
        <v>166</v>
      </c>
      <c r="G334" s="1" t="s">
        <v>63</v>
      </c>
      <c r="H334" s="1" t="s">
        <v>87</v>
      </c>
      <c r="I334" s="1" t="s">
        <v>38</v>
      </c>
      <c r="J334" s="1" t="s">
        <v>47</v>
      </c>
      <c r="K334" s="1" t="s">
        <v>88</v>
      </c>
      <c r="L334" s="3">
        <v>4841.99</v>
      </c>
      <c r="M334" s="1">
        <v>16</v>
      </c>
      <c r="N334" s="3">
        <v>77471.839999999997</v>
      </c>
      <c r="O334" s="4">
        <v>11.6</v>
      </c>
      <c r="P334" s="3">
        <v>68485.11</v>
      </c>
      <c r="Q334" s="4">
        <v>40.799999999999997</v>
      </c>
      <c r="R334" s="3">
        <v>27941.919999999998</v>
      </c>
      <c r="S334" s="1" t="s">
        <v>40</v>
      </c>
    </row>
    <row r="335" spans="1:19" x14ac:dyDescent="0.3">
      <c r="A335" s="5" t="s">
        <v>691</v>
      </c>
      <c r="B335" s="5" t="s">
        <v>470</v>
      </c>
      <c r="C335" s="5" t="s">
        <v>101</v>
      </c>
      <c r="D335" s="5" t="s">
        <v>60</v>
      </c>
      <c r="E335" s="6" t="s">
        <v>114</v>
      </c>
      <c r="F335" s="5" t="s">
        <v>45</v>
      </c>
      <c r="G335" s="5" t="s">
        <v>53</v>
      </c>
      <c r="H335" s="5" t="s">
        <v>71</v>
      </c>
      <c r="I335" s="5" t="s">
        <v>72</v>
      </c>
      <c r="J335" s="5" t="s">
        <v>65</v>
      </c>
      <c r="K335" s="5" t="s">
        <v>159</v>
      </c>
      <c r="L335" s="7">
        <v>413.96</v>
      </c>
      <c r="M335" s="5">
        <v>12</v>
      </c>
      <c r="N335" s="7">
        <v>4967.5200000000004</v>
      </c>
      <c r="O335" s="8">
        <v>8.6999999999999993</v>
      </c>
      <c r="P335" s="7">
        <v>4535.3500000000004</v>
      </c>
      <c r="Q335" s="8">
        <v>41.7</v>
      </c>
      <c r="R335" s="7">
        <v>1891.24</v>
      </c>
      <c r="S335" s="5" t="s">
        <v>40</v>
      </c>
    </row>
    <row r="336" spans="1:19" x14ac:dyDescent="0.3">
      <c r="A336" s="1" t="s">
        <v>692</v>
      </c>
      <c r="B336" s="1" t="s">
        <v>370</v>
      </c>
      <c r="C336" s="1" t="s">
        <v>68</v>
      </c>
      <c r="D336" s="1" t="s">
        <v>69</v>
      </c>
      <c r="E336" s="2" t="s">
        <v>97</v>
      </c>
      <c r="F336" s="1" t="s">
        <v>35</v>
      </c>
      <c r="G336" s="1" t="s">
        <v>25</v>
      </c>
      <c r="H336" s="1" t="s">
        <v>132</v>
      </c>
      <c r="I336" s="1" t="s">
        <v>47</v>
      </c>
      <c r="J336" s="1" t="s">
        <v>65</v>
      </c>
      <c r="K336" s="1" t="s">
        <v>56</v>
      </c>
      <c r="L336" s="3">
        <v>16100.84</v>
      </c>
      <c r="M336" s="1">
        <v>20</v>
      </c>
      <c r="N336" s="3">
        <v>322016.8</v>
      </c>
      <c r="O336" s="4">
        <v>10.6</v>
      </c>
      <c r="P336" s="3">
        <v>287883.02</v>
      </c>
      <c r="Q336" s="4">
        <v>31.3</v>
      </c>
      <c r="R336" s="3">
        <v>90107.39</v>
      </c>
      <c r="S336" s="1" t="s">
        <v>40</v>
      </c>
    </row>
    <row r="337" spans="1:19" x14ac:dyDescent="0.3">
      <c r="A337" s="5" t="s">
        <v>693</v>
      </c>
      <c r="B337" s="5" t="s">
        <v>288</v>
      </c>
      <c r="C337" s="5" t="s">
        <v>59</v>
      </c>
      <c r="D337" s="5" t="s">
        <v>60</v>
      </c>
      <c r="E337" s="6" t="s">
        <v>76</v>
      </c>
      <c r="F337" s="5" t="s">
        <v>45</v>
      </c>
      <c r="G337" s="5" t="s">
        <v>109</v>
      </c>
      <c r="H337" s="5" t="s">
        <v>189</v>
      </c>
      <c r="I337" s="5" t="s">
        <v>72</v>
      </c>
      <c r="J337" s="5" t="s">
        <v>47</v>
      </c>
      <c r="K337" s="5" t="s">
        <v>48</v>
      </c>
      <c r="L337" s="7">
        <v>1335.94</v>
      </c>
      <c r="M337" s="5">
        <v>11</v>
      </c>
      <c r="N337" s="7">
        <v>14695.34</v>
      </c>
      <c r="O337" s="8">
        <v>22.2</v>
      </c>
      <c r="P337" s="7">
        <v>11432.97</v>
      </c>
      <c r="Q337" s="8">
        <v>23.2</v>
      </c>
      <c r="R337" s="7">
        <v>2652.45</v>
      </c>
      <c r="S337" s="5" t="s">
        <v>79</v>
      </c>
    </row>
    <row r="338" spans="1:19" x14ac:dyDescent="0.3">
      <c r="A338" s="1" t="s">
        <v>694</v>
      </c>
      <c r="B338" s="1" t="s">
        <v>695</v>
      </c>
      <c r="C338" s="1" t="s">
        <v>33</v>
      </c>
      <c r="D338" s="1" t="s">
        <v>22</v>
      </c>
      <c r="E338" s="2" t="s">
        <v>194</v>
      </c>
      <c r="F338" s="1" t="s">
        <v>52</v>
      </c>
      <c r="G338" s="1" t="s">
        <v>53</v>
      </c>
      <c r="H338" s="1" t="s">
        <v>54</v>
      </c>
      <c r="I338" s="1" t="s">
        <v>38</v>
      </c>
      <c r="J338" s="1" t="s">
        <v>65</v>
      </c>
      <c r="K338" s="1" t="s">
        <v>56</v>
      </c>
      <c r="L338" s="3">
        <v>5257.84</v>
      </c>
      <c r="M338" s="1">
        <v>10</v>
      </c>
      <c r="N338" s="3">
        <v>52578.400000000001</v>
      </c>
      <c r="O338" s="4">
        <v>22.5</v>
      </c>
      <c r="P338" s="3">
        <v>40748.26</v>
      </c>
      <c r="Q338" s="4">
        <v>26.8</v>
      </c>
      <c r="R338" s="3">
        <v>10920.53</v>
      </c>
      <c r="S338" s="1" t="s">
        <v>40</v>
      </c>
    </row>
    <row r="339" spans="1:19" x14ac:dyDescent="0.3">
      <c r="A339" s="5" t="s">
        <v>696</v>
      </c>
      <c r="B339" s="5" t="s">
        <v>477</v>
      </c>
      <c r="C339" s="5" t="s">
        <v>21</v>
      </c>
      <c r="D339" s="5" t="s">
        <v>22</v>
      </c>
      <c r="E339" s="6" t="s">
        <v>177</v>
      </c>
      <c r="F339" s="5" t="s">
        <v>166</v>
      </c>
      <c r="G339" s="5" t="s">
        <v>63</v>
      </c>
      <c r="H339" s="5" t="s">
        <v>64</v>
      </c>
      <c r="I339" s="5" t="s">
        <v>55</v>
      </c>
      <c r="J339" s="5" t="s">
        <v>65</v>
      </c>
      <c r="K339" s="5" t="s">
        <v>29</v>
      </c>
      <c r="L339" s="7">
        <v>2287.5500000000002</v>
      </c>
      <c r="M339" s="5">
        <v>21</v>
      </c>
      <c r="N339" s="7">
        <v>48038.55</v>
      </c>
      <c r="O339" s="8">
        <v>0.3</v>
      </c>
      <c r="P339" s="7">
        <v>47894.43</v>
      </c>
      <c r="Q339" s="8">
        <v>61.1</v>
      </c>
      <c r="R339" s="7">
        <v>29263.5</v>
      </c>
      <c r="S339" s="5" t="s">
        <v>40</v>
      </c>
    </row>
    <row r="340" spans="1:19" x14ac:dyDescent="0.3">
      <c r="A340" s="1" t="s">
        <v>697</v>
      </c>
      <c r="B340" s="1" t="s">
        <v>448</v>
      </c>
      <c r="C340" s="1" t="s">
        <v>33</v>
      </c>
      <c r="D340" s="1" t="s">
        <v>22</v>
      </c>
      <c r="E340" s="2" t="s">
        <v>145</v>
      </c>
      <c r="F340" s="1" t="s">
        <v>62</v>
      </c>
      <c r="G340" s="1" t="s">
        <v>63</v>
      </c>
      <c r="H340" s="1" t="s">
        <v>167</v>
      </c>
      <c r="I340" s="1" t="s">
        <v>55</v>
      </c>
      <c r="J340" s="1" t="s">
        <v>93</v>
      </c>
      <c r="K340" s="1" t="s">
        <v>159</v>
      </c>
      <c r="L340" s="3">
        <v>2319.9699999999998</v>
      </c>
      <c r="M340" s="1">
        <v>3</v>
      </c>
      <c r="N340" s="3">
        <v>6959.91</v>
      </c>
      <c r="O340" s="4">
        <v>12</v>
      </c>
      <c r="P340" s="3">
        <v>6124.72</v>
      </c>
      <c r="Q340" s="4">
        <v>55.7</v>
      </c>
      <c r="R340" s="3">
        <v>3411.47</v>
      </c>
      <c r="S340" s="1" t="s">
        <v>40</v>
      </c>
    </row>
    <row r="341" spans="1:19" x14ac:dyDescent="0.3">
      <c r="A341" s="5" t="s">
        <v>698</v>
      </c>
      <c r="B341" s="5" t="s">
        <v>219</v>
      </c>
      <c r="C341" s="5" t="s">
        <v>101</v>
      </c>
      <c r="D341" s="5" t="s">
        <v>60</v>
      </c>
      <c r="E341" s="6" t="s">
        <v>358</v>
      </c>
      <c r="F341" s="5" t="s">
        <v>35</v>
      </c>
      <c r="G341" s="5" t="s">
        <v>63</v>
      </c>
      <c r="H341" s="5" t="s">
        <v>64</v>
      </c>
      <c r="I341" s="5" t="s">
        <v>55</v>
      </c>
      <c r="J341" s="5" t="s">
        <v>93</v>
      </c>
      <c r="K341" s="5" t="s">
        <v>111</v>
      </c>
      <c r="L341" s="7">
        <v>23764.080000000002</v>
      </c>
      <c r="M341" s="5">
        <v>19</v>
      </c>
      <c r="N341" s="7">
        <v>451517.52</v>
      </c>
      <c r="O341" s="8">
        <v>6.2</v>
      </c>
      <c r="P341" s="7">
        <v>423523.43</v>
      </c>
      <c r="Q341" s="8">
        <v>48.6</v>
      </c>
      <c r="R341" s="7">
        <v>205832.39</v>
      </c>
      <c r="S341" s="5" t="s">
        <v>79</v>
      </c>
    </row>
    <row r="342" spans="1:19" x14ac:dyDescent="0.3">
      <c r="A342" s="1" t="s">
        <v>699</v>
      </c>
      <c r="B342" s="1" t="s">
        <v>501</v>
      </c>
      <c r="C342" s="1" t="s">
        <v>68</v>
      </c>
      <c r="D342" s="1" t="s">
        <v>69</v>
      </c>
      <c r="E342" s="2" t="s">
        <v>320</v>
      </c>
      <c r="F342" s="1" t="s">
        <v>24</v>
      </c>
      <c r="G342" s="1" t="s">
        <v>25</v>
      </c>
      <c r="H342" s="1" t="s">
        <v>215</v>
      </c>
      <c r="I342" s="1" t="s">
        <v>47</v>
      </c>
      <c r="J342" s="1" t="s">
        <v>93</v>
      </c>
      <c r="K342" s="1" t="s">
        <v>88</v>
      </c>
      <c r="L342" s="3">
        <v>84715.58</v>
      </c>
      <c r="M342" s="1">
        <v>10</v>
      </c>
      <c r="N342" s="3">
        <v>847155.8</v>
      </c>
      <c r="O342" s="4">
        <v>20.3</v>
      </c>
      <c r="P342" s="3">
        <v>675183.17</v>
      </c>
      <c r="Q342" s="4">
        <v>25.5</v>
      </c>
      <c r="R342" s="3">
        <v>172171.71</v>
      </c>
      <c r="S342" s="1" t="s">
        <v>40</v>
      </c>
    </row>
    <row r="343" spans="1:19" x14ac:dyDescent="0.3">
      <c r="A343" s="5" t="s">
        <v>700</v>
      </c>
      <c r="B343" s="5" t="s">
        <v>495</v>
      </c>
      <c r="C343" s="5" t="s">
        <v>101</v>
      </c>
      <c r="D343" s="5" t="s">
        <v>60</v>
      </c>
      <c r="E343" s="6" t="s">
        <v>82</v>
      </c>
      <c r="F343" s="5" t="s">
        <v>24</v>
      </c>
      <c r="G343" s="5" t="s">
        <v>53</v>
      </c>
      <c r="H343" s="5" t="s">
        <v>71</v>
      </c>
      <c r="I343" s="5" t="s">
        <v>38</v>
      </c>
      <c r="J343" s="5" t="s">
        <v>28</v>
      </c>
      <c r="K343" s="5" t="s">
        <v>39</v>
      </c>
      <c r="L343" s="7">
        <v>45660.41</v>
      </c>
      <c r="M343" s="5">
        <v>12</v>
      </c>
      <c r="N343" s="7">
        <v>547924.92000000004</v>
      </c>
      <c r="O343" s="8">
        <v>0.8</v>
      </c>
      <c r="P343" s="7">
        <v>543541.52</v>
      </c>
      <c r="Q343" s="8">
        <v>14.6</v>
      </c>
      <c r="R343" s="7">
        <v>79357.06</v>
      </c>
      <c r="S343" s="5" t="s">
        <v>79</v>
      </c>
    </row>
    <row r="344" spans="1:19" x14ac:dyDescent="0.3">
      <c r="A344" s="1" t="s">
        <v>701</v>
      </c>
      <c r="B344" s="1" t="s">
        <v>702</v>
      </c>
      <c r="C344" s="1" t="s">
        <v>85</v>
      </c>
      <c r="D344" s="1" t="s">
        <v>86</v>
      </c>
      <c r="E344" s="2" t="s">
        <v>91</v>
      </c>
      <c r="F344" s="1" t="s">
        <v>52</v>
      </c>
      <c r="G344" s="1" t="s">
        <v>53</v>
      </c>
      <c r="H344" s="1" t="s">
        <v>98</v>
      </c>
      <c r="I344" s="1" t="s">
        <v>55</v>
      </c>
      <c r="J344" s="1" t="s">
        <v>28</v>
      </c>
      <c r="K344" s="1" t="s">
        <v>78</v>
      </c>
      <c r="L344" s="3">
        <v>2572.4299999999998</v>
      </c>
      <c r="M344" s="1">
        <v>7</v>
      </c>
      <c r="N344" s="3">
        <v>18007.009999999998</v>
      </c>
      <c r="O344" s="4">
        <v>0.3</v>
      </c>
      <c r="P344" s="3">
        <v>17952.990000000002</v>
      </c>
      <c r="Q344" s="4">
        <v>36.4</v>
      </c>
      <c r="R344" s="3">
        <v>6534.89</v>
      </c>
      <c r="S344" s="1" t="s">
        <v>40</v>
      </c>
    </row>
    <row r="345" spans="1:19" x14ac:dyDescent="0.3">
      <c r="A345" s="5" t="s">
        <v>703</v>
      </c>
      <c r="B345" s="5" t="s">
        <v>461</v>
      </c>
      <c r="C345" s="5" t="s">
        <v>117</v>
      </c>
      <c r="D345" s="5" t="s">
        <v>86</v>
      </c>
      <c r="E345" s="6" t="s">
        <v>279</v>
      </c>
      <c r="F345" s="5" t="s">
        <v>166</v>
      </c>
      <c r="G345" s="5" t="s">
        <v>109</v>
      </c>
      <c r="H345" s="5" t="s">
        <v>110</v>
      </c>
      <c r="I345" s="5" t="s">
        <v>55</v>
      </c>
      <c r="J345" s="5" t="s">
        <v>65</v>
      </c>
      <c r="K345" s="5" t="s">
        <v>78</v>
      </c>
      <c r="L345" s="7">
        <v>1321.86</v>
      </c>
      <c r="M345" s="5">
        <v>25</v>
      </c>
      <c r="N345" s="7">
        <v>33046.5</v>
      </c>
      <c r="O345" s="8">
        <v>15.2</v>
      </c>
      <c r="P345" s="7">
        <v>28023.43</v>
      </c>
      <c r="Q345" s="8">
        <v>41.5</v>
      </c>
      <c r="R345" s="7">
        <v>11629.72</v>
      </c>
      <c r="S345" s="5" t="s">
        <v>112</v>
      </c>
    </row>
    <row r="346" spans="1:19" x14ac:dyDescent="0.3">
      <c r="A346" s="1" t="s">
        <v>704</v>
      </c>
      <c r="B346" s="1" t="s">
        <v>407</v>
      </c>
      <c r="C346" s="1" t="s">
        <v>59</v>
      </c>
      <c r="D346" s="1" t="s">
        <v>60</v>
      </c>
      <c r="E346" s="2" t="s">
        <v>61</v>
      </c>
      <c r="F346" s="1" t="s">
        <v>62</v>
      </c>
      <c r="G346" s="1" t="s">
        <v>25</v>
      </c>
      <c r="H346" s="1" t="s">
        <v>26</v>
      </c>
      <c r="I346" s="1" t="s">
        <v>55</v>
      </c>
      <c r="J346" s="1" t="s">
        <v>65</v>
      </c>
      <c r="K346" s="1" t="s">
        <v>56</v>
      </c>
      <c r="L346" s="3">
        <v>1875.03</v>
      </c>
      <c r="M346" s="1">
        <v>8</v>
      </c>
      <c r="N346" s="3">
        <v>15000.24</v>
      </c>
      <c r="O346" s="4">
        <v>11.7</v>
      </c>
      <c r="P346" s="3">
        <v>13245.21</v>
      </c>
      <c r="Q346" s="4">
        <v>52.7</v>
      </c>
      <c r="R346" s="3">
        <v>6980.23</v>
      </c>
      <c r="S346" s="1" t="s">
        <v>112</v>
      </c>
    </row>
    <row r="347" spans="1:19" x14ac:dyDescent="0.3">
      <c r="A347" s="5" t="s">
        <v>705</v>
      </c>
      <c r="B347" s="5" t="s">
        <v>596</v>
      </c>
      <c r="C347" s="5" t="s">
        <v>68</v>
      </c>
      <c r="D347" s="5" t="s">
        <v>69</v>
      </c>
      <c r="E347" s="6" t="s">
        <v>128</v>
      </c>
      <c r="F347" s="5" t="s">
        <v>45</v>
      </c>
      <c r="G347" s="5" t="s">
        <v>36</v>
      </c>
      <c r="H347" s="5" t="s">
        <v>37</v>
      </c>
      <c r="I347" s="5" t="s">
        <v>55</v>
      </c>
      <c r="J347" s="5" t="s">
        <v>28</v>
      </c>
      <c r="K347" s="5" t="s">
        <v>56</v>
      </c>
      <c r="L347" s="7">
        <v>481.87</v>
      </c>
      <c r="M347" s="5">
        <v>3</v>
      </c>
      <c r="N347" s="7">
        <v>1445.61</v>
      </c>
      <c r="O347" s="8">
        <v>19</v>
      </c>
      <c r="P347" s="7">
        <v>1170.94</v>
      </c>
      <c r="Q347" s="8">
        <v>22.9</v>
      </c>
      <c r="R347" s="7">
        <v>268.14999999999998</v>
      </c>
      <c r="S347" s="5" t="s">
        <v>40</v>
      </c>
    </row>
    <row r="348" spans="1:19" x14ac:dyDescent="0.3">
      <c r="A348" s="1" t="s">
        <v>706</v>
      </c>
      <c r="B348" s="1" t="s">
        <v>288</v>
      </c>
      <c r="C348" s="1" t="s">
        <v>59</v>
      </c>
      <c r="D348" s="1" t="s">
        <v>60</v>
      </c>
      <c r="E348" s="2" t="s">
        <v>177</v>
      </c>
      <c r="F348" s="1" t="s">
        <v>166</v>
      </c>
      <c r="G348" s="1" t="s">
        <v>25</v>
      </c>
      <c r="H348" s="1" t="s">
        <v>26</v>
      </c>
      <c r="I348" s="1" t="s">
        <v>27</v>
      </c>
      <c r="J348" s="1" t="s">
        <v>65</v>
      </c>
      <c r="K348" s="1" t="s">
        <v>149</v>
      </c>
      <c r="L348" s="3">
        <v>4680.8900000000003</v>
      </c>
      <c r="M348" s="1">
        <v>5</v>
      </c>
      <c r="N348" s="3">
        <v>23404.45</v>
      </c>
      <c r="O348" s="4">
        <v>8.6</v>
      </c>
      <c r="P348" s="3">
        <v>21391.67</v>
      </c>
      <c r="Q348" s="4">
        <v>45.4</v>
      </c>
      <c r="R348" s="3">
        <v>9711.82</v>
      </c>
      <c r="S348" s="1" t="s">
        <v>40</v>
      </c>
    </row>
    <row r="349" spans="1:19" x14ac:dyDescent="0.3">
      <c r="A349" s="5" t="s">
        <v>707</v>
      </c>
      <c r="B349" s="5" t="s">
        <v>339</v>
      </c>
      <c r="C349" s="5" t="s">
        <v>135</v>
      </c>
      <c r="D349" s="5" t="s">
        <v>69</v>
      </c>
      <c r="E349" s="6" t="s">
        <v>184</v>
      </c>
      <c r="F349" s="5" t="s">
        <v>45</v>
      </c>
      <c r="G349" s="5" t="s">
        <v>25</v>
      </c>
      <c r="H349" s="5" t="s">
        <v>215</v>
      </c>
      <c r="I349" s="5" t="s">
        <v>38</v>
      </c>
      <c r="J349" s="5" t="s">
        <v>47</v>
      </c>
      <c r="K349" s="5" t="s">
        <v>78</v>
      </c>
      <c r="L349" s="7">
        <v>153.06</v>
      </c>
      <c r="M349" s="5">
        <v>8</v>
      </c>
      <c r="N349" s="7">
        <v>1224.48</v>
      </c>
      <c r="O349" s="8">
        <v>12.1</v>
      </c>
      <c r="P349" s="7">
        <v>1076.32</v>
      </c>
      <c r="Q349" s="8">
        <v>28.6</v>
      </c>
      <c r="R349" s="7">
        <v>307.83</v>
      </c>
      <c r="S349" s="5" t="s">
        <v>112</v>
      </c>
    </row>
    <row r="350" spans="1:19" x14ac:dyDescent="0.3">
      <c r="A350" s="1" t="s">
        <v>708</v>
      </c>
      <c r="B350" s="1" t="s">
        <v>258</v>
      </c>
      <c r="C350" s="1" t="s">
        <v>85</v>
      </c>
      <c r="D350" s="1" t="s">
        <v>86</v>
      </c>
      <c r="E350" s="2" t="s">
        <v>217</v>
      </c>
      <c r="F350" s="1" t="s">
        <v>62</v>
      </c>
      <c r="G350" s="1" t="s">
        <v>25</v>
      </c>
      <c r="H350" s="1" t="s">
        <v>26</v>
      </c>
      <c r="I350" s="1" t="s">
        <v>47</v>
      </c>
      <c r="J350" s="1" t="s">
        <v>93</v>
      </c>
      <c r="K350" s="1" t="s">
        <v>149</v>
      </c>
      <c r="L350" s="3">
        <v>2586.29</v>
      </c>
      <c r="M350" s="1">
        <v>2</v>
      </c>
      <c r="N350" s="3">
        <v>5172.58</v>
      </c>
      <c r="O350" s="4">
        <v>15.9</v>
      </c>
      <c r="P350" s="3">
        <v>4350.1400000000003</v>
      </c>
      <c r="Q350" s="4">
        <v>64.900000000000006</v>
      </c>
      <c r="R350" s="3">
        <v>2823.24</v>
      </c>
      <c r="S350" s="1" t="s">
        <v>40</v>
      </c>
    </row>
    <row r="351" spans="1:19" x14ac:dyDescent="0.3">
      <c r="A351" s="5" t="s">
        <v>709</v>
      </c>
      <c r="B351" s="5" t="s">
        <v>604</v>
      </c>
      <c r="C351" s="5" t="s">
        <v>101</v>
      </c>
      <c r="D351" s="5" t="s">
        <v>60</v>
      </c>
      <c r="E351" s="6" t="s">
        <v>155</v>
      </c>
      <c r="F351" s="5" t="s">
        <v>24</v>
      </c>
      <c r="G351" s="5" t="s">
        <v>25</v>
      </c>
      <c r="H351" s="5" t="s">
        <v>46</v>
      </c>
      <c r="I351" s="5" t="s">
        <v>27</v>
      </c>
      <c r="J351" s="5" t="s">
        <v>93</v>
      </c>
      <c r="K351" s="5" t="s">
        <v>102</v>
      </c>
      <c r="L351" s="7">
        <v>83612.160000000003</v>
      </c>
      <c r="M351" s="5">
        <v>4</v>
      </c>
      <c r="N351" s="7">
        <v>334448.64000000001</v>
      </c>
      <c r="O351" s="8">
        <v>1.9</v>
      </c>
      <c r="P351" s="7">
        <v>328094.12</v>
      </c>
      <c r="Q351" s="8">
        <v>22</v>
      </c>
      <c r="R351" s="7">
        <v>72180.710000000006</v>
      </c>
      <c r="S351" s="5" t="s">
        <v>40</v>
      </c>
    </row>
    <row r="352" spans="1:19" x14ac:dyDescent="0.3">
      <c r="A352" s="1" t="s">
        <v>710</v>
      </c>
      <c r="B352" s="1" t="s">
        <v>489</v>
      </c>
      <c r="C352" s="1" t="s">
        <v>75</v>
      </c>
      <c r="D352" s="1" t="s">
        <v>60</v>
      </c>
      <c r="E352" s="2" t="s">
        <v>44</v>
      </c>
      <c r="F352" s="1" t="s">
        <v>45</v>
      </c>
      <c r="G352" s="1" t="s">
        <v>25</v>
      </c>
      <c r="H352" s="1" t="s">
        <v>46</v>
      </c>
      <c r="I352" s="1" t="s">
        <v>55</v>
      </c>
      <c r="J352" s="1" t="s">
        <v>28</v>
      </c>
      <c r="K352" s="1" t="s">
        <v>56</v>
      </c>
      <c r="L352" s="3">
        <v>899.39</v>
      </c>
      <c r="M352" s="1">
        <v>6</v>
      </c>
      <c r="N352" s="3">
        <v>5396.34</v>
      </c>
      <c r="O352" s="4">
        <v>3.6</v>
      </c>
      <c r="P352" s="3">
        <v>5202.07</v>
      </c>
      <c r="Q352" s="4">
        <v>26.2</v>
      </c>
      <c r="R352" s="3">
        <v>1362.94</v>
      </c>
      <c r="S352" s="1" t="s">
        <v>30</v>
      </c>
    </row>
    <row r="353" spans="1:19" x14ac:dyDescent="0.3">
      <c r="A353" s="5" t="s">
        <v>711</v>
      </c>
      <c r="B353" s="5" t="s">
        <v>712</v>
      </c>
      <c r="C353" s="5" t="s">
        <v>101</v>
      </c>
      <c r="D353" s="5" t="s">
        <v>60</v>
      </c>
      <c r="E353" s="6" t="s">
        <v>180</v>
      </c>
      <c r="F353" s="5" t="s">
        <v>166</v>
      </c>
      <c r="G353" s="5" t="s">
        <v>63</v>
      </c>
      <c r="H353" s="5" t="s">
        <v>167</v>
      </c>
      <c r="I353" s="5" t="s">
        <v>27</v>
      </c>
      <c r="J353" s="5" t="s">
        <v>47</v>
      </c>
      <c r="K353" s="5" t="s">
        <v>111</v>
      </c>
      <c r="L353" s="7">
        <v>567.79999999999995</v>
      </c>
      <c r="M353" s="5">
        <v>24</v>
      </c>
      <c r="N353" s="7">
        <v>13627.2</v>
      </c>
      <c r="O353" s="8">
        <v>14.6</v>
      </c>
      <c r="P353" s="7">
        <v>11637.63</v>
      </c>
      <c r="Q353" s="8">
        <v>50.8</v>
      </c>
      <c r="R353" s="7">
        <v>5911.92</v>
      </c>
      <c r="S353" s="5" t="s">
        <v>112</v>
      </c>
    </row>
    <row r="354" spans="1:19" x14ac:dyDescent="0.3">
      <c r="A354" s="1" t="s">
        <v>713</v>
      </c>
      <c r="B354" s="1" t="s">
        <v>714</v>
      </c>
      <c r="C354" s="1" t="s">
        <v>96</v>
      </c>
      <c r="D354" s="1" t="s">
        <v>86</v>
      </c>
      <c r="E354" s="2" t="s">
        <v>165</v>
      </c>
      <c r="F354" s="1" t="s">
        <v>166</v>
      </c>
      <c r="G354" s="1" t="s">
        <v>53</v>
      </c>
      <c r="H354" s="1" t="s">
        <v>77</v>
      </c>
      <c r="I354" s="1" t="s">
        <v>72</v>
      </c>
      <c r="J354" s="1" t="s">
        <v>47</v>
      </c>
      <c r="K354" s="1" t="s">
        <v>39</v>
      </c>
      <c r="L354" s="3">
        <v>3030.7</v>
      </c>
      <c r="M354" s="1">
        <v>17</v>
      </c>
      <c r="N354" s="3">
        <v>51521.9</v>
      </c>
      <c r="O354" s="4">
        <v>22.4</v>
      </c>
      <c r="P354" s="3">
        <v>39980.99</v>
      </c>
      <c r="Q354" s="4">
        <v>45.1</v>
      </c>
      <c r="R354" s="3">
        <v>18031.43</v>
      </c>
      <c r="S354" s="1" t="s">
        <v>40</v>
      </c>
    </row>
    <row r="355" spans="1:19" x14ac:dyDescent="0.3">
      <c r="A355" s="5" t="s">
        <v>715</v>
      </c>
      <c r="B355" s="5" t="s">
        <v>716</v>
      </c>
      <c r="C355" s="5" t="s">
        <v>96</v>
      </c>
      <c r="D355" s="5" t="s">
        <v>86</v>
      </c>
      <c r="E355" s="6" t="s">
        <v>180</v>
      </c>
      <c r="F355" s="5" t="s">
        <v>166</v>
      </c>
      <c r="G355" s="5" t="s">
        <v>36</v>
      </c>
      <c r="H355" s="5" t="s">
        <v>136</v>
      </c>
      <c r="I355" s="5" t="s">
        <v>47</v>
      </c>
      <c r="J355" s="5" t="s">
        <v>65</v>
      </c>
      <c r="K355" s="5" t="s">
        <v>111</v>
      </c>
      <c r="L355" s="7">
        <v>1526.1</v>
      </c>
      <c r="M355" s="5">
        <v>21</v>
      </c>
      <c r="N355" s="7">
        <v>32048.1</v>
      </c>
      <c r="O355" s="8">
        <v>9.1</v>
      </c>
      <c r="P355" s="7">
        <v>29131.72</v>
      </c>
      <c r="Q355" s="8">
        <v>40.4</v>
      </c>
      <c r="R355" s="7">
        <v>11769.21</v>
      </c>
      <c r="S355" s="5" t="s">
        <v>112</v>
      </c>
    </row>
    <row r="356" spans="1:19" x14ac:dyDescent="0.3">
      <c r="A356" s="1" t="s">
        <v>717</v>
      </c>
      <c r="B356" s="1" t="s">
        <v>557</v>
      </c>
      <c r="C356" s="1" t="s">
        <v>101</v>
      </c>
      <c r="D356" s="1" t="s">
        <v>60</v>
      </c>
      <c r="E356" s="2" t="s">
        <v>346</v>
      </c>
      <c r="F356" s="1" t="s">
        <v>35</v>
      </c>
      <c r="G356" s="1" t="s">
        <v>25</v>
      </c>
      <c r="H356" s="1" t="s">
        <v>26</v>
      </c>
      <c r="I356" s="1" t="s">
        <v>72</v>
      </c>
      <c r="J356" s="1" t="s">
        <v>47</v>
      </c>
      <c r="K356" s="1" t="s">
        <v>29</v>
      </c>
      <c r="L356" s="3">
        <v>7635.45</v>
      </c>
      <c r="M356" s="1">
        <v>3</v>
      </c>
      <c r="N356" s="3">
        <v>22906.35</v>
      </c>
      <c r="O356" s="4">
        <v>17.100000000000001</v>
      </c>
      <c r="P356" s="3">
        <v>18989.36</v>
      </c>
      <c r="Q356" s="4">
        <v>41.7</v>
      </c>
      <c r="R356" s="3">
        <v>7918.56</v>
      </c>
      <c r="S356" s="1" t="s">
        <v>79</v>
      </c>
    </row>
    <row r="357" spans="1:19" x14ac:dyDescent="0.3">
      <c r="A357" s="5" t="s">
        <v>718</v>
      </c>
      <c r="B357" s="5" t="s">
        <v>448</v>
      </c>
      <c r="C357" s="5" t="s">
        <v>33</v>
      </c>
      <c r="D357" s="5" t="s">
        <v>22</v>
      </c>
      <c r="E357" s="6" t="s">
        <v>410</v>
      </c>
      <c r="F357" s="5" t="s">
        <v>166</v>
      </c>
      <c r="G357" s="5" t="s">
        <v>36</v>
      </c>
      <c r="H357" s="5" t="s">
        <v>105</v>
      </c>
      <c r="I357" s="5" t="s">
        <v>47</v>
      </c>
      <c r="J357" s="5" t="s">
        <v>93</v>
      </c>
      <c r="K357" s="5" t="s">
        <v>56</v>
      </c>
      <c r="L357" s="7">
        <v>1008.84</v>
      </c>
      <c r="M357" s="5">
        <v>24</v>
      </c>
      <c r="N357" s="7">
        <v>24212.16</v>
      </c>
      <c r="O357" s="8">
        <v>22.1</v>
      </c>
      <c r="P357" s="7">
        <v>18861.27</v>
      </c>
      <c r="Q357" s="8">
        <v>48.1</v>
      </c>
      <c r="R357" s="7">
        <v>9072.27</v>
      </c>
      <c r="S357" s="5" t="s">
        <v>40</v>
      </c>
    </row>
    <row r="358" spans="1:19" x14ac:dyDescent="0.3">
      <c r="A358" s="1" t="s">
        <v>719</v>
      </c>
      <c r="B358" s="1" t="s">
        <v>720</v>
      </c>
      <c r="C358" s="1" t="s">
        <v>33</v>
      </c>
      <c r="D358" s="1" t="s">
        <v>22</v>
      </c>
      <c r="E358" s="2" t="s">
        <v>128</v>
      </c>
      <c r="F358" s="1" t="s">
        <v>45</v>
      </c>
      <c r="G358" s="1" t="s">
        <v>63</v>
      </c>
      <c r="H358" s="1" t="s">
        <v>167</v>
      </c>
      <c r="I358" s="1" t="s">
        <v>47</v>
      </c>
      <c r="J358" s="1" t="s">
        <v>47</v>
      </c>
      <c r="K358" s="1" t="s">
        <v>159</v>
      </c>
      <c r="L358" s="3">
        <v>1196.82</v>
      </c>
      <c r="M358" s="1">
        <v>6</v>
      </c>
      <c r="N358" s="3">
        <v>7180.92</v>
      </c>
      <c r="O358" s="4">
        <v>12.6</v>
      </c>
      <c r="P358" s="3">
        <v>6276.12</v>
      </c>
      <c r="Q358" s="4">
        <v>40.1</v>
      </c>
      <c r="R358" s="3">
        <v>2516.7199999999998</v>
      </c>
      <c r="S358" s="1" t="s">
        <v>40</v>
      </c>
    </row>
    <row r="359" spans="1:19" x14ac:dyDescent="0.3">
      <c r="A359" s="5" t="s">
        <v>721</v>
      </c>
      <c r="B359" s="5" t="s">
        <v>243</v>
      </c>
      <c r="C359" s="5" t="s">
        <v>96</v>
      </c>
      <c r="D359" s="5" t="s">
        <v>86</v>
      </c>
      <c r="E359" s="6" t="s">
        <v>114</v>
      </c>
      <c r="F359" s="5" t="s">
        <v>45</v>
      </c>
      <c r="G359" s="5" t="s">
        <v>36</v>
      </c>
      <c r="H359" s="5" t="s">
        <v>105</v>
      </c>
      <c r="I359" s="5" t="s">
        <v>38</v>
      </c>
      <c r="J359" s="5" t="s">
        <v>28</v>
      </c>
      <c r="K359" s="5" t="s">
        <v>111</v>
      </c>
      <c r="L359" s="7">
        <v>272.36</v>
      </c>
      <c r="M359" s="5">
        <v>23</v>
      </c>
      <c r="N359" s="7">
        <v>6264.28</v>
      </c>
      <c r="O359" s="8">
        <v>8.3000000000000007</v>
      </c>
      <c r="P359" s="7">
        <v>5744.34</v>
      </c>
      <c r="Q359" s="8">
        <v>37.5</v>
      </c>
      <c r="R359" s="7">
        <v>2154.13</v>
      </c>
      <c r="S359" s="5" t="s">
        <v>30</v>
      </c>
    </row>
    <row r="360" spans="1:19" x14ac:dyDescent="0.3">
      <c r="A360" s="1" t="s">
        <v>722</v>
      </c>
      <c r="B360" s="1" t="s">
        <v>584</v>
      </c>
      <c r="C360" s="1" t="s">
        <v>75</v>
      </c>
      <c r="D360" s="1" t="s">
        <v>60</v>
      </c>
      <c r="E360" s="2" t="s">
        <v>206</v>
      </c>
      <c r="F360" s="1" t="s">
        <v>52</v>
      </c>
      <c r="G360" s="1" t="s">
        <v>63</v>
      </c>
      <c r="H360" s="1" t="s">
        <v>92</v>
      </c>
      <c r="I360" s="1" t="s">
        <v>38</v>
      </c>
      <c r="J360" s="1" t="s">
        <v>65</v>
      </c>
      <c r="K360" s="1" t="s">
        <v>149</v>
      </c>
      <c r="L360" s="3">
        <v>5351.17</v>
      </c>
      <c r="M360" s="1">
        <v>13</v>
      </c>
      <c r="N360" s="3">
        <v>69565.210000000006</v>
      </c>
      <c r="O360" s="4">
        <v>21.6</v>
      </c>
      <c r="P360" s="3">
        <v>54539.12</v>
      </c>
      <c r="Q360" s="4">
        <v>30.9</v>
      </c>
      <c r="R360" s="3">
        <v>16852.59</v>
      </c>
      <c r="S360" s="1" t="s">
        <v>40</v>
      </c>
    </row>
    <row r="361" spans="1:19" x14ac:dyDescent="0.3">
      <c r="A361" s="5" t="s">
        <v>723</v>
      </c>
      <c r="B361" s="5" t="s">
        <v>212</v>
      </c>
      <c r="C361" s="5" t="s">
        <v>96</v>
      </c>
      <c r="D361" s="5" t="s">
        <v>86</v>
      </c>
      <c r="E361" s="6" t="s">
        <v>358</v>
      </c>
      <c r="F361" s="5" t="s">
        <v>35</v>
      </c>
      <c r="G361" s="5" t="s">
        <v>63</v>
      </c>
      <c r="H361" s="5" t="s">
        <v>167</v>
      </c>
      <c r="I361" s="5" t="s">
        <v>47</v>
      </c>
      <c r="J361" s="5" t="s">
        <v>93</v>
      </c>
      <c r="K361" s="5" t="s">
        <v>48</v>
      </c>
      <c r="L361" s="7">
        <v>8178.48</v>
      </c>
      <c r="M361" s="5">
        <v>17</v>
      </c>
      <c r="N361" s="7">
        <v>139034.16</v>
      </c>
      <c r="O361" s="8">
        <v>16.100000000000001</v>
      </c>
      <c r="P361" s="7">
        <v>116649.66</v>
      </c>
      <c r="Q361" s="8">
        <v>38.700000000000003</v>
      </c>
      <c r="R361" s="7">
        <v>45143.42</v>
      </c>
      <c r="S361" s="5" t="s">
        <v>40</v>
      </c>
    </row>
    <row r="362" spans="1:19" x14ac:dyDescent="0.3">
      <c r="A362" s="1" t="s">
        <v>724</v>
      </c>
      <c r="B362" s="1" t="s">
        <v>725</v>
      </c>
      <c r="C362" s="1" t="s">
        <v>101</v>
      </c>
      <c r="D362" s="1" t="s">
        <v>60</v>
      </c>
      <c r="E362" s="2" t="s">
        <v>213</v>
      </c>
      <c r="F362" s="1" t="s">
        <v>62</v>
      </c>
      <c r="G362" s="1" t="s">
        <v>53</v>
      </c>
      <c r="H362" s="1" t="s">
        <v>54</v>
      </c>
      <c r="I362" s="1" t="s">
        <v>27</v>
      </c>
      <c r="J362" s="1" t="s">
        <v>28</v>
      </c>
      <c r="K362" s="1" t="s">
        <v>39</v>
      </c>
      <c r="L362" s="3">
        <v>928.1</v>
      </c>
      <c r="M362" s="1">
        <v>24</v>
      </c>
      <c r="N362" s="3">
        <v>22274.400000000001</v>
      </c>
      <c r="O362" s="4">
        <v>25</v>
      </c>
      <c r="P362" s="3">
        <v>16705.8</v>
      </c>
      <c r="Q362" s="4">
        <v>65.3</v>
      </c>
      <c r="R362" s="3">
        <v>10908.89</v>
      </c>
      <c r="S362" s="1" t="s">
        <v>40</v>
      </c>
    </row>
    <row r="363" spans="1:19" x14ac:dyDescent="0.3">
      <c r="A363" s="5" t="s">
        <v>726</v>
      </c>
      <c r="B363" s="5" t="s">
        <v>501</v>
      </c>
      <c r="C363" s="5" t="s">
        <v>68</v>
      </c>
      <c r="D363" s="5" t="s">
        <v>69</v>
      </c>
      <c r="E363" s="6" t="s">
        <v>44</v>
      </c>
      <c r="F363" s="5" t="s">
        <v>45</v>
      </c>
      <c r="G363" s="5" t="s">
        <v>63</v>
      </c>
      <c r="H363" s="5" t="s">
        <v>92</v>
      </c>
      <c r="I363" s="5" t="s">
        <v>72</v>
      </c>
      <c r="J363" s="5" t="s">
        <v>93</v>
      </c>
      <c r="K363" s="5" t="s">
        <v>102</v>
      </c>
      <c r="L363" s="7">
        <v>560.42999999999995</v>
      </c>
      <c r="M363" s="5">
        <v>21</v>
      </c>
      <c r="N363" s="7">
        <v>11769.03</v>
      </c>
      <c r="O363" s="8">
        <v>1.3</v>
      </c>
      <c r="P363" s="7">
        <v>11616.03</v>
      </c>
      <c r="Q363" s="8">
        <v>36.1</v>
      </c>
      <c r="R363" s="7">
        <v>4193.3900000000003</v>
      </c>
      <c r="S363" s="5" t="s">
        <v>40</v>
      </c>
    </row>
    <row r="364" spans="1:19" x14ac:dyDescent="0.3">
      <c r="A364" s="1" t="s">
        <v>727</v>
      </c>
      <c r="B364" s="1" t="s">
        <v>258</v>
      </c>
      <c r="C364" s="1" t="s">
        <v>85</v>
      </c>
      <c r="D364" s="1" t="s">
        <v>86</v>
      </c>
      <c r="E364" s="2" t="s">
        <v>303</v>
      </c>
      <c r="F364" s="1" t="s">
        <v>62</v>
      </c>
      <c r="G364" s="1" t="s">
        <v>109</v>
      </c>
      <c r="H364" s="1" t="s">
        <v>189</v>
      </c>
      <c r="I364" s="1" t="s">
        <v>38</v>
      </c>
      <c r="J364" s="1" t="s">
        <v>93</v>
      </c>
      <c r="K364" s="1" t="s">
        <v>102</v>
      </c>
      <c r="L364" s="3">
        <v>2597.2399999999998</v>
      </c>
      <c r="M364" s="1">
        <v>3</v>
      </c>
      <c r="N364" s="3">
        <v>7791.72</v>
      </c>
      <c r="O364" s="4">
        <v>11.6</v>
      </c>
      <c r="P364" s="3">
        <v>6887.88</v>
      </c>
      <c r="Q364" s="4">
        <v>64.900000000000006</v>
      </c>
      <c r="R364" s="3">
        <v>4470.2299999999996</v>
      </c>
      <c r="S364" s="1" t="s">
        <v>40</v>
      </c>
    </row>
    <row r="365" spans="1:19" x14ac:dyDescent="0.3">
      <c r="A365" s="5" t="s">
        <v>728</v>
      </c>
      <c r="B365" s="5" t="s">
        <v>315</v>
      </c>
      <c r="C365" s="5" t="s">
        <v>75</v>
      </c>
      <c r="D365" s="5" t="s">
        <v>60</v>
      </c>
      <c r="E365" s="6" t="s">
        <v>224</v>
      </c>
      <c r="F365" s="5" t="s">
        <v>166</v>
      </c>
      <c r="G365" s="5" t="s">
        <v>109</v>
      </c>
      <c r="H365" s="5" t="s">
        <v>152</v>
      </c>
      <c r="I365" s="5" t="s">
        <v>55</v>
      </c>
      <c r="J365" s="5" t="s">
        <v>28</v>
      </c>
      <c r="K365" s="5" t="s">
        <v>88</v>
      </c>
      <c r="L365" s="7">
        <v>2059.67</v>
      </c>
      <c r="M365" s="5">
        <v>15</v>
      </c>
      <c r="N365" s="7">
        <v>30895.05</v>
      </c>
      <c r="O365" s="8">
        <v>13.3</v>
      </c>
      <c r="P365" s="7">
        <v>26786.01</v>
      </c>
      <c r="Q365" s="8">
        <v>40.6</v>
      </c>
      <c r="R365" s="7">
        <v>10875.12</v>
      </c>
      <c r="S365" s="5" t="s">
        <v>40</v>
      </c>
    </row>
    <row r="366" spans="1:19" x14ac:dyDescent="0.3">
      <c r="A366" s="1" t="s">
        <v>729</v>
      </c>
      <c r="B366" s="1" t="s">
        <v>730</v>
      </c>
      <c r="C366" s="1" t="s">
        <v>101</v>
      </c>
      <c r="D366" s="1" t="s">
        <v>60</v>
      </c>
      <c r="E366" s="2" t="s">
        <v>165</v>
      </c>
      <c r="F366" s="1" t="s">
        <v>166</v>
      </c>
      <c r="G366" s="1" t="s">
        <v>36</v>
      </c>
      <c r="H366" s="1" t="s">
        <v>105</v>
      </c>
      <c r="I366" s="1" t="s">
        <v>55</v>
      </c>
      <c r="J366" s="1" t="s">
        <v>65</v>
      </c>
      <c r="K366" s="1" t="s">
        <v>78</v>
      </c>
      <c r="L366" s="3">
        <v>1465.37</v>
      </c>
      <c r="M366" s="1">
        <v>10</v>
      </c>
      <c r="N366" s="3">
        <v>14653.7</v>
      </c>
      <c r="O366" s="4">
        <v>2</v>
      </c>
      <c r="P366" s="3">
        <v>14360.63</v>
      </c>
      <c r="Q366" s="4">
        <v>45.5</v>
      </c>
      <c r="R366" s="3">
        <v>6534.09</v>
      </c>
      <c r="S366" s="1" t="s">
        <v>40</v>
      </c>
    </row>
    <row r="367" spans="1:19" x14ac:dyDescent="0.3">
      <c r="A367" s="5" t="s">
        <v>731</v>
      </c>
      <c r="B367" s="5" t="s">
        <v>732</v>
      </c>
      <c r="C367" s="5" t="s">
        <v>101</v>
      </c>
      <c r="D367" s="5" t="s">
        <v>60</v>
      </c>
      <c r="E367" s="6" t="s">
        <v>165</v>
      </c>
      <c r="F367" s="5" t="s">
        <v>166</v>
      </c>
      <c r="G367" s="5" t="s">
        <v>36</v>
      </c>
      <c r="H367" s="5" t="s">
        <v>37</v>
      </c>
      <c r="I367" s="5" t="s">
        <v>55</v>
      </c>
      <c r="J367" s="5" t="s">
        <v>28</v>
      </c>
      <c r="K367" s="5" t="s">
        <v>39</v>
      </c>
      <c r="L367" s="7">
        <v>939.65</v>
      </c>
      <c r="M367" s="5">
        <v>25</v>
      </c>
      <c r="N367" s="7">
        <v>23491.25</v>
      </c>
      <c r="O367" s="8">
        <v>12.9</v>
      </c>
      <c r="P367" s="7">
        <v>20460.88</v>
      </c>
      <c r="Q367" s="8">
        <v>49.4</v>
      </c>
      <c r="R367" s="7">
        <v>10107.67</v>
      </c>
      <c r="S367" s="5" t="s">
        <v>112</v>
      </c>
    </row>
    <row r="368" spans="1:19" x14ac:dyDescent="0.3">
      <c r="A368" s="1" t="s">
        <v>733</v>
      </c>
      <c r="B368" s="1" t="s">
        <v>582</v>
      </c>
      <c r="C368" s="1" t="s">
        <v>131</v>
      </c>
      <c r="D368" s="1" t="s">
        <v>69</v>
      </c>
      <c r="E368" s="2" t="s">
        <v>70</v>
      </c>
      <c r="F368" s="1" t="s">
        <v>24</v>
      </c>
      <c r="G368" s="1" t="s">
        <v>63</v>
      </c>
      <c r="H368" s="1" t="s">
        <v>92</v>
      </c>
      <c r="I368" s="1" t="s">
        <v>38</v>
      </c>
      <c r="J368" s="1" t="s">
        <v>65</v>
      </c>
      <c r="K368" s="1" t="s">
        <v>29</v>
      </c>
      <c r="L368" s="3">
        <v>54020.36</v>
      </c>
      <c r="M368" s="1">
        <v>16</v>
      </c>
      <c r="N368" s="3">
        <v>864325.76</v>
      </c>
      <c r="O368" s="4">
        <v>3.2</v>
      </c>
      <c r="P368" s="3">
        <v>836667.34</v>
      </c>
      <c r="Q368" s="4">
        <v>15.6</v>
      </c>
      <c r="R368" s="3">
        <v>130520.11</v>
      </c>
      <c r="S368" s="1" t="s">
        <v>40</v>
      </c>
    </row>
    <row r="369" spans="1:19" x14ac:dyDescent="0.3">
      <c r="A369" s="5" t="s">
        <v>734</v>
      </c>
      <c r="B369" s="5" t="s">
        <v>501</v>
      </c>
      <c r="C369" s="5" t="s">
        <v>68</v>
      </c>
      <c r="D369" s="5" t="s">
        <v>69</v>
      </c>
      <c r="E369" s="6" t="s">
        <v>306</v>
      </c>
      <c r="F369" s="5" t="s">
        <v>35</v>
      </c>
      <c r="G369" s="5" t="s">
        <v>36</v>
      </c>
      <c r="H369" s="5" t="s">
        <v>119</v>
      </c>
      <c r="I369" s="5" t="s">
        <v>47</v>
      </c>
      <c r="J369" s="5" t="s">
        <v>47</v>
      </c>
      <c r="K369" s="5" t="s">
        <v>111</v>
      </c>
      <c r="L369" s="7">
        <v>12511.69</v>
      </c>
      <c r="M369" s="5">
        <v>5</v>
      </c>
      <c r="N369" s="7">
        <v>62558.45</v>
      </c>
      <c r="O369" s="8">
        <v>9.9</v>
      </c>
      <c r="P369" s="7">
        <v>56365.16</v>
      </c>
      <c r="Q369" s="8">
        <v>29.7</v>
      </c>
      <c r="R369" s="7">
        <v>16740.45</v>
      </c>
      <c r="S369" s="5" t="s">
        <v>40</v>
      </c>
    </row>
    <row r="370" spans="1:19" x14ac:dyDescent="0.3">
      <c r="A370" s="1" t="s">
        <v>735</v>
      </c>
      <c r="B370" s="1" t="s">
        <v>736</v>
      </c>
      <c r="C370" s="1" t="s">
        <v>21</v>
      </c>
      <c r="D370" s="1" t="s">
        <v>22</v>
      </c>
      <c r="E370" s="2" t="s">
        <v>34</v>
      </c>
      <c r="F370" s="1" t="s">
        <v>35</v>
      </c>
      <c r="G370" s="1" t="s">
        <v>25</v>
      </c>
      <c r="H370" s="1" t="s">
        <v>26</v>
      </c>
      <c r="I370" s="1" t="s">
        <v>72</v>
      </c>
      <c r="J370" s="1" t="s">
        <v>93</v>
      </c>
      <c r="K370" s="1" t="s">
        <v>149</v>
      </c>
      <c r="L370" s="3">
        <v>20881.71</v>
      </c>
      <c r="M370" s="1">
        <v>17</v>
      </c>
      <c r="N370" s="3">
        <v>354989.07</v>
      </c>
      <c r="O370" s="4">
        <v>6.7</v>
      </c>
      <c r="P370" s="3">
        <v>331204.8</v>
      </c>
      <c r="Q370" s="4">
        <v>49.5</v>
      </c>
      <c r="R370" s="3">
        <v>163946.38</v>
      </c>
      <c r="S370" s="1" t="s">
        <v>40</v>
      </c>
    </row>
    <row r="371" spans="1:19" x14ac:dyDescent="0.3">
      <c r="A371" s="5" t="s">
        <v>737</v>
      </c>
      <c r="B371" s="5" t="s">
        <v>433</v>
      </c>
      <c r="C371" s="5" t="s">
        <v>131</v>
      </c>
      <c r="D371" s="5" t="s">
        <v>69</v>
      </c>
      <c r="E371" s="6" t="s">
        <v>108</v>
      </c>
      <c r="F371" s="5" t="s">
        <v>35</v>
      </c>
      <c r="G371" s="5" t="s">
        <v>63</v>
      </c>
      <c r="H371" s="5" t="s">
        <v>92</v>
      </c>
      <c r="I371" s="5" t="s">
        <v>72</v>
      </c>
      <c r="J371" s="5" t="s">
        <v>65</v>
      </c>
      <c r="K371" s="5" t="s">
        <v>149</v>
      </c>
      <c r="L371" s="7">
        <v>33551.9</v>
      </c>
      <c r="M371" s="5">
        <v>9</v>
      </c>
      <c r="N371" s="7">
        <v>301967.09999999998</v>
      </c>
      <c r="O371" s="8">
        <v>1.1000000000000001</v>
      </c>
      <c r="P371" s="7">
        <v>298645.46000000002</v>
      </c>
      <c r="Q371" s="8">
        <v>30.7</v>
      </c>
      <c r="R371" s="7">
        <v>91684.160000000003</v>
      </c>
      <c r="S371" s="5" t="s">
        <v>40</v>
      </c>
    </row>
    <row r="372" spans="1:19" x14ac:dyDescent="0.3">
      <c r="A372" s="1" t="s">
        <v>738</v>
      </c>
      <c r="B372" s="1" t="s">
        <v>739</v>
      </c>
      <c r="C372" s="1" t="s">
        <v>101</v>
      </c>
      <c r="D372" s="1" t="s">
        <v>60</v>
      </c>
      <c r="E372" s="2" t="s">
        <v>306</v>
      </c>
      <c r="F372" s="1" t="s">
        <v>35</v>
      </c>
      <c r="G372" s="1" t="s">
        <v>53</v>
      </c>
      <c r="H372" s="1" t="s">
        <v>54</v>
      </c>
      <c r="I372" s="1" t="s">
        <v>38</v>
      </c>
      <c r="J372" s="1" t="s">
        <v>93</v>
      </c>
      <c r="K372" s="1" t="s">
        <v>88</v>
      </c>
      <c r="L372" s="3">
        <v>42797.18</v>
      </c>
      <c r="M372" s="1">
        <v>12</v>
      </c>
      <c r="N372" s="3">
        <v>513566.16</v>
      </c>
      <c r="O372" s="4">
        <v>23.3</v>
      </c>
      <c r="P372" s="3">
        <v>393905.24</v>
      </c>
      <c r="Q372" s="4">
        <v>30.3</v>
      </c>
      <c r="R372" s="3">
        <v>119353.29</v>
      </c>
      <c r="S372" s="1" t="s">
        <v>40</v>
      </c>
    </row>
    <row r="373" spans="1:19" x14ac:dyDescent="0.3">
      <c r="A373" s="5" t="s">
        <v>740</v>
      </c>
      <c r="B373" s="5" t="s">
        <v>741</v>
      </c>
      <c r="C373" s="5" t="s">
        <v>68</v>
      </c>
      <c r="D373" s="5" t="s">
        <v>69</v>
      </c>
      <c r="E373" s="6" t="s">
        <v>279</v>
      </c>
      <c r="F373" s="5" t="s">
        <v>166</v>
      </c>
      <c r="G373" s="5" t="s">
        <v>25</v>
      </c>
      <c r="H373" s="5" t="s">
        <v>215</v>
      </c>
      <c r="I373" s="5" t="s">
        <v>27</v>
      </c>
      <c r="J373" s="5" t="s">
        <v>28</v>
      </c>
      <c r="K373" s="5" t="s">
        <v>111</v>
      </c>
      <c r="L373" s="7">
        <v>1252.8900000000001</v>
      </c>
      <c r="M373" s="5">
        <v>14</v>
      </c>
      <c r="N373" s="7">
        <v>17540.46</v>
      </c>
      <c r="O373" s="8">
        <v>10.1</v>
      </c>
      <c r="P373" s="7">
        <v>15768.87</v>
      </c>
      <c r="Q373" s="8">
        <v>60.4</v>
      </c>
      <c r="R373" s="7">
        <v>9524.4</v>
      </c>
      <c r="S373" s="5" t="s">
        <v>40</v>
      </c>
    </row>
    <row r="374" spans="1:19" x14ac:dyDescent="0.3">
      <c r="A374" s="1" t="s">
        <v>742</v>
      </c>
      <c r="B374" s="1" t="s">
        <v>743</v>
      </c>
      <c r="C374" s="1" t="s">
        <v>75</v>
      </c>
      <c r="D374" s="1" t="s">
        <v>60</v>
      </c>
      <c r="E374" s="2" t="s">
        <v>256</v>
      </c>
      <c r="F374" s="1" t="s">
        <v>166</v>
      </c>
      <c r="G374" s="1" t="s">
        <v>53</v>
      </c>
      <c r="H374" s="1" t="s">
        <v>71</v>
      </c>
      <c r="I374" s="1" t="s">
        <v>38</v>
      </c>
      <c r="J374" s="1" t="s">
        <v>28</v>
      </c>
      <c r="K374" s="1" t="s">
        <v>48</v>
      </c>
      <c r="L374" s="3">
        <v>916.77</v>
      </c>
      <c r="M374" s="1">
        <v>10</v>
      </c>
      <c r="N374" s="3">
        <v>9167.7000000000007</v>
      </c>
      <c r="O374" s="4">
        <v>12.9</v>
      </c>
      <c r="P374" s="3">
        <v>7985.07</v>
      </c>
      <c r="Q374" s="4">
        <v>49.6</v>
      </c>
      <c r="R374" s="3">
        <v>3960.59</v>
      </c>
      <c r="S374" s="1" t="s">
        <v>40</v>
      </c>
    </row>
    <row r="375" spans="1:19" x14ac:dyDescent="0.3">
      <c r="A375" s="5" t="s">
        <v>744</v>
      </c>
      <c r="B375" s="5" t="s">
        <v>104</v>
      </c>
      <c r="C375" s="5" t="s">
        <v>59</v>
      </c>
      <c r="D375" s="5" t="s">
        <v>60</v>
      </c>
      <c r="E375" s="6" t="s">
        <v>174</v>
      </c>
      <c r="F375" s="5" t="s">
        <v>45</v>
      </c>
      <c r="G375" s="5" t="s">
        <v>63</v>
      </c>
      <c r="H375" s="5" t="s">
        <v>87</v>
      </c>
      <c r="I375" s="5" t="s">
        <v>38</v>
      </c>
      <c r="J375" s="5" t="s">
        <v>93</v>
      </c>
      <c r="K375" s="5" t="s">
        <v>39</v>
      </c>
      <c r="L375" s="7">
        <v>373.2</v>
      </c>
      <c r="M375" s="5">
        <v>14</v>
      </c>
      <c r="N375" s="7">
        <v>5224.8</v>
      </c>
      <c r="O375" s="8">
        <v>5.9</v>
      </c>
      <c r="P375" s="7">
        <v>4916.54</v>
      </c>
      <c r="Q375" s="8">
        <v>40.9</v>
      </c>
      <c r="R375" s="7">
        <v>2010.86</v>
      </c>
      <c r="S375" s="5" t="s">
        <v>79</v>
      </c>
    </row>
    <row r="376" spans="1:19" x14ac:dyDescent="0.3">
      <c r="A376" s="1" t="s">
        <v>745</v>
      </c>
      <c r="B376" s="1" t="s">
        <v>409</v>
      </c>
      <c r="C376" s="1" t="s">
        <v>101</v>
      </c>
      <c r="D376" s="1" t="s">
        <v>60</v>
      </c>
      <c r="E376" s="2" t="s">
        <v>256</v>
      </c>
      <c r="F376" s="1" t="s">
        <v>166</v>
      </c>
      <c r="G376" s="1" t="s">
        <v>63</v>
      </c>
      <c r="H376" s="1" t="s">
        <v>87</v>
      </c>
      <c r="I376" s="1" t="s">
        <v>55</v>
      </c>
      <c r="J376" s="1" t="s">
        <v>93</v>
      </c>
      <c r="K376" s="1" t="s">
        <v>159</v>
      </c>
      <c r="L376" s="3">
        <v>2533.65</v>
      </c>
      <c r="M376" s="1">
        <v>2</v>
      </c>
      <c r="N376" s="3">
        <v>5067.3</v>
      </c>
      <c r="O376" s="4">
        <v>25</v>
      </c>
      <c r="P376" s="3">
        <v>3800.48</v>
      </c>
      <c r="Q376" s="4">
        <v>52</v>
      </c>
      <c r="R376" s="3">
        <v>1976.25</v>
      </c>
      <c r="S376" s="1" t="s">
        <v>40</v>
      </c>
    </row>
    <row r="377" spans="1:19" x14ac:dyDescent="0.3">
      <c r="A377" s="5" t="s">
        <v>746</v>
      </c>
      <c r="B377" s="5" t="s">
        <v>747</v>
      </c>
      <c r="C377" s="5" t="s">
        <v>59</v>
      </c>
      <c r="D377" s="5" t="s">
        <v>60</v>
      </c>
      <c r="E377" s="6" t="s">
        <v>91</v>
      </c>
      <c r="F377" s="5" t="s">
        <v>52</v>
      </c>
      <c r="G377" s="5" t="s">
        <v>25</v>
      </c>
      <c r="H377" s="5" t="s">
        <v>132</v>
      </c>
      <c r="I377" s="5" t="s">
        <v>55</v>
      </c>
      <c r="J377" s="5" t="s">
        <v>93</v>
      </c>
      <c r="K377" s="5" t="s">
        <v>102</v>
      </c>
      <c r="L377" s="7">
        <v>1085.1500000000001</v>
      </c>
      <c r="M377" s="5">
        <v>22</v>
      </c>
      <c r="N377" s="7">
        <v>23873.3</v>
      </c>
      <c r="O377" s="8">
        <v>5</v>
      </c>
      <c r="P377" s="7">
        <v>22679.63</v>
      </c>
      <c r="Q377" s="8">
        <v>23.3</v>
      </c>
      <c r="R377" s="7">
        <v>5284.35</v>
      </c>
      <c r="S377" s="5" t="s">
        <v>40</v>
      </c>
    </row>
    <row r="378" spans="1:19" x14ac:dyDescent="0.3">
      <c r="A378" s="1" t="s">
        <v>748</v>
      </c>
      <c r="B378" s="1" t="s">
        <v>749</v>
      </c>
      <c r="C378" s="1" t="s">
        <v>96</v>
      </c>
      <c r="D378" s="1" t="s">
        <v>86</v>
      </c>
      <c r="E378" s="2" t="s">
        <v>246</v>
      </c>
      <c r="F378" s="1" t="s">
        <v>52</v>
      </c>
      <c r="G378" s="1" t="s">
        <v>109</v>
      </c>
      <c r="H378" s="1" t="s">
        <v>189</v>
      </c>
      <c r="I378" s="1" t="s">
        <v>38</v>
      </c>
      <c r="J378" s="1" t="s">
        <v>93</v>
      </c>
      <c r="K378" s="1" t="s">
        <v>56</v>
      </c>
      <c r="L378" s="3">
        <v>6335.26</v>
      </c>
      <c r="M378" s="1">
        <v>22</v>
      </c>
      <c r="N378" s="3">
        <v>139375.72</v>
      </c>
      <c r="O378" s="4">
        <v>23.9</v>
      </c>
      <c r="P378" s="3">
        <v>106064.92</v>
      </c>
      <c r="Q378" s="4">
        <v>25.7</v>
      </c>
      <c r="R378" s="3">
        <v>27258.68</v>
      </c>
      <c r="S378" s="1" t="s">
        <v>40</v>
      </c>
    </row>
    <row r="379" spans="1:19" x14ac:dyDescent="0.3">
      <c r="A379" s="5" t="s">
        <v>750</v>
      </c>
      <c r="B379" s="5" t="s">
        <v>751</v>
      </c>
      <c r="C379" s="5" t="s">
        <v>75</v>
      </c>
      <c r="D379" s="5" t="s">
        <v>60</v>
      </c>
      <c r="E379" s="6" t="s">
        <v>177</v>
      </c>
      <c r="F379" s="5" t="s">
        <v>166</v>
      </c>
      <c r="G379" s="5" t="s">
        <v>53</v>
      </c>
      <c r="H379" s="5" t="s">
        <v>54</v>
      </c>
      <c r="I379" s="5" t="s">
        <v>38</v>
      </c>
      <c r="J379" s="5" t="s">
        <v>47</v>
      </c>
      <c r="K379" s="5" t="s">
        <v>48</v>
      </c>
      <c r="L379" s="7">
        <v>334.58</v>
      </c>
      <c r="M379" s="5">
        <v>17</v>
      </c>
      <c r="N379" s="7">
        <v>5687.86</v>
      </c>
      <c r="O379" s="8">
        <v>3.4</v>
      </c>
      <c r="P379" s="7">
        <v>5494.47</v>
      </c>
      <c r="Q379" s="8">
        <v>47.3</v>
      </c>
      <c r="R379" s="7">
        <v>2598.88</v>
      </c>
      <c r="S379" s="5" t="s">
        <v>40</v>
      </c>
    </row>
    <row r="380" spans="1:19" x14ac:dyDescent="0.3">
      <c r="A380" s="1" t="s">
        <v>752</v>
      </c>
      <c r="B380" s="1" t="s">
        <v>753</v>
      </c>
      <c r="C380" s="1" t="s">
        <v>96</v>
      </c>
      <c r="D380" s="1" t="s">
        <v>86</v>
      </c>
      <c r="E380" s="2" t="s">
        <v>246</v>
      </c>
      <c r="F380" s="1" t="s">
        <v>52</v>
      </c>
      <c r="G380" s="1" t="s">
        <v>36</v>
      </c>
      <c r="H380" s="1" t="s">
        <v>105</v>
      </c>
      <c r="I380" s="1" t="s">
        <v>72</v>
      </c>
      <c r="J380" s="1" t="s">
        <v>47</v>
      </c>
      <c r="K380" s="1" t="s">
        <v>48</v>
      </c>
      <c r="L380" s="3">
        <v>1228.3900000000001</v>
      </c>
      <c r="M380" s="1">
        <v>18</v>
      </c>
      <c r="N380" s="3">
        <v>22111.02</v>
      </c>
      <c r="O380" s="4">
        <v>14.6</v>
      </c>
      <c r="P380" s="3">
        <v>18882.810000000001</v>
      </c>
      <c r="Q380" s="4">
        <v>23.6</v>
      </c>
      <c r="R380" s="3">
        <v>4456.34</v>
      </c>
      <c r="S380" s="1" t="s">
        <v>40</v>
      </c>
    </row>
    <row r="381" spans="1:19" x14ac:dyDescent="0.3">
      <c r="A381" s="5" t="s">
        <v>754</v>
      </c>
      <c r="B381" s="5" t="s">
        <v>755</v>
      </c>
      <c r="C381" s="5" t="s">
        <v>33</v>
      </c>
      <c r="D381" s="5" t="s">
        <v>22</v>
      </c>
      <c r="E381" s="6" t="s">
        <v>320</v>
      </c>
      <c r="F381" s="5" t="s">
        <v>24</v>
      </c>
      <c r="G381" s="5" t="s">
        <v>63</v>
      </c>
      <c r="H381" s="5" t="s">
        <v>64</v>
      </c>
      <c r="I381" s="5" t="s">
        <v>72</v>
      </c>
      <c r="J381" s="5" t="s">
        <v>93</v>
      </c>
      <c r="K381" s="5" t="s">
        <v>111</v>
      </c>
      <c r="L381" s="7">
        <v>12174.32</v>
      </c>
      <c r="M381" s="5">
        <v>14</v>
      </c>
      <c r="N381" s="7">
        <v>170440.48</v>
      </c>
      <c r="O381" s="8">
        <v>17</v>
      </c>
      <c r="P381" s="7">
        <v>141465.60000000001</v>
      </c>
      <c r="Q381" s="8">
        <v>20.399999999999999</v>
      </c>
      <c r="R381" s="7">
        <v>28858.98</v>
      </c>
      <c r="S381" s="5" t="s">
        <v>40</v>
      </c>
    </row>
    <row r="382" spans="1:19" x14ac:dyDescent="0.3">
      <c r="A382" s="1" t="s">
        <v>756</v>
      </c>
      <c r="B382" s="1" t="s">
        <v>757</v>
      </c>
      <c r="C382" s="1" t="s">
        <v>75</v>
      </c>
      <c r="D382" s="1" t="s">
        <v>60</v>
      </c>
      <c r="E382" s="2" t="s">
        <v>194</v>
      </c>
      <c r="F382" s="1" t="s">
        <v>52</v>
      </c>
      <c r="G382" s="1" t="s">
        <v>63</v>
      </c>
      <c r="H382" s="1" t="s">
        <v>167</v>
      </c>
      <c r="I382" s="1" t="s">
        <v>55</v>
      </c>
      <c r="J382" s="1" t="s">
        <v>93</v>
      </c>
      <c r="K382" s="1" t="s">
        <v>149</v>
      </c>
      <c r="L382" s="3">
        <v>2646.96</v>
      </c>
      <c r="M382" s="1">
        <v>3</v>
      </c>
      <c r="N382" s="3">
        <v>7940.88</v>
      </c>
      <c r="O382" s="4">
        <v>8.1999999999999993</v>
      </c>
      <c r="P382" s="3">
        <v>7289.73</v>
      </c>
      <c r="Q382" s="4">
        <v>24.3</v>
      </c>
      <c r="R382" s="3">
        <v>1771.4</v>
      </c>
      <c r="S382" s="1" t="s">
        <v>40</v>
      </c>
    </row>
    <row r="383" spans="1:19" x14ac:dyDescent="0.3">
      <c r="A383" s="5" t="s">
        <v>758</v>
      </c>
      <c r="B383" s="5" t="s">
        <v>489</v>
      </c>
      <c r="C383" s="5" t="s">
        <v>75</v>
      </c>
      <c r="D383" s="5" t="s">
        <v>60</v>
      </c>
      <c r="E383" s="6" t="s">
        <v>139</v>
      </c>
      <c r="F383" s="5" t="s">
        <v>45</v>
      </c>
      <c r="G383" s="5" t="s">
        <v>109</v>
      </c>
      <c r="H383" s="5" t="s">
        <v>122</v>
      </c>
      <c r="I383" s="5" t="s">
        <v>38</v>
      </c>
      <c r="J383" s="5" t="s">
        <v>28</v>
      </c>
      <c r="K383" s="5" t="s">
        <v>29</v>
      </c>
      <c r="L383" s="7">
        <v>306.73</v>
      </c>
      <c r="M383" s="5">
        <v>23</v>
      </c>
      <c r="N383" s="7">
        <v>7054.79</v>
      </c>
      <c r="O383" s="8">
        <v>22.8</v>
      </c>
      <c r="P383" s="7">
        <v>5446.3</v>
      </c>
      <c r="Q383" s="8">
        <v>27.1</v>
      </c>
      <c r="R383" s="7">
        <v>1475.95</v>
      </c>
      <c r="S383" s="5" t="s">
        <v>40</v>
      </c>
    </row>
    <row r="384" spans="1:19" x14ac:dyDescent="0.3">
      <c r="A384" s="1" t="s">
        <v>759</v>
      </c>
      <c r="B384" s="1" t="s">
        <v>557</v>
      </c>
      <c r="C384" s="1" t="s">
        <v>101</v>
      </c>
      <c r="D384" s="1" t="s">
        <v>60</v>
      </c>
      <c r="E384" s="2" t="s">
        <v>114</v>
      </c>
      <c r="F384" s="1" t="s">
        <v>45</v>
      </c>
      <c r="G384" s="1" t="s">
        <v>36</v>
      </c>
      <c r="H384" s="1" t="s">
        <v>37</v>
      </c>
      <c r="I384" s="1" t="s">
        <v>38</v>
      </c>
      <c r="J384" s="1" t="s">
        <v>93</v>
      </c>
      <c r="K384" s="1" t="s">
        <v>88</v>
      </c>
      <c r="L384" s="3">
        <v>275.10000000000002</v>
      </c>
      <c r="M384" s="1">
        <v>1</v>
      </c>
      <c r="N384" s="3">
        <v>275.10000000000002</v>
      </c>
      <c r="O384" s="4">
        <v>11.8</v>
      </c>
      <c r="P384" s="3">
        <v>242.64</v>
      </c>
      <c r="Q384" s="4">
        <v>39.4</v>
      </c>
      <c r="R384" s="3">
        <v>95.6</v>
      </c>
      <c r="S384" s="1" t="s">
        <v>40</v>
      </c>
    </row>
    <row r="385" spans="1:19" x14ac:dyDescent="0.3">
      <c r="A385" s="5" t="s">
        <v>760</v>
      </c>
      <c r="B385" s="5" t="s">
        <v>251</v>
      </c>
      <c r="C385" s="5" t="s">
        <v>85</v>
      </c>
      <c r="D385" s="5" t="s">
        <v>86</v>
      </c>
      <c r="E385" s="6" t="s">
        <v>224</v>
      </c>
      <c r="F385" s="5" t="s">
        <v>166</v>
      </c>
      <c r="G385" s="5" t="s">
        <v>109</v>
      </c>
      <c r="H385" s="5" t="s">
        <v>152</v>
      </c>
      <c r="I385" s="5" t="s">
        <v>38</v>
      </c>
      <c r="J385" s="5" t="s">
        <v>47</v>
      </c>
      <c r="K385" s="5" t="s">
        <v>111</v>
      </c>
      <c r="L385" s="7">
        <v>1881.06</v>
      </c>
      <c r="M385" s="5">
        <v>9</v>
      </c>
      <c r="N385" s="7">
        <v>16929.54</v>
      </c>
      <c r="O385" s="8">
        <v>6.7</v>
      </c>
      <c r="P385" s="7">
        <v>15795.26</v>
      </c>
      <c r="Q385" s="8">
        <v>46.1</v>
      </c>
      <c r="R385" s="7">
        <v>7281.61</v>
      </c>
      <c r="S385" s="5" t="s">
        <v>40</v>
      </c>
    </row>
    <row r="386" spans="1:19" x14ac:dyDescent="0.3">
      <c r="A386" s="1" t="s">
        <v>761</v>
      </c>
      <c r="B386" s="1" t="s">
        <v>540</v>
      </c>
      <c r="C386" s="1" t="s">
        <v>68</v>
      </c>
      <c r="D386" s="1" t="s">
        <v>69</v>
      </c>
      <c r="E386" s="2" t="s">
        <v>224</v>
      </c>
      <c r="F386" s="1" t="s">
        <v>166</v>
      </c>
      <c r="G386" s="1" t="s">
        <v>63</v>
      </c>
      <c r="H386" s="1" t="s">
        <v>167</v>
      </c>
      <c r="I386" s="1" t="s">
        <v>55</v>
      </c>
      <c r="J386" s="1" t="s">
        <v>93</v>
      </c>
      <c r="K386" s="1" t="s">
        <v>56</v>
      </c>
      <c r="L386" s="3">
        <v>334.09</v>
      </c>
      <c r="M386" s="1">
        <v>23</v>
      </c>
      <c r="N386" s="3">
        <v>7684.07</v>
      </c>
      <c r="O386" s="4">
        <v>19.899999999999999</v>
      </c>
      <c r="P386" s="3">
        <v>6154.94</v>
      </c>
      <c r="Q386" s="4">
        <v>42.8</v>
      </c>
      <c r="R386" s="3">
        <v>2634.31</v>
      </c>
      <c r="S386" s="1" t="s">
        <v>112</v>
      </c>
    </row>
    <row r="387" spans="1:19" x14ac:dyDescent="0.3">
      <c r="A387" s="5" t="s">
        <v>762</v>
      </c>
      <c r="B387" s="5" t="s">
        <v>763</v>
      </c>
      <c r="C387" s="5" t="s">
        <v>59</v>
      </c>
      <c r="D387" s="5" t="s">
        <v>60</v>
      </c>
      <c r="E387" s="6" t="s">
        <v>224</v>
      </c>
      <c r="F387" s="5" t="s">
        <v>166</v>
      </c>
      <c r="G387" s="5" t="s">
        <v>36</v>
      </c>
      <c r="H387" s="5" t="s">
        <v>136</v>
      </c>
      <c r="I387" s="5" t="s">
        <v>47</v>
      </c>
      <c r="J387" s="5" t="s">
        <v>47</v>
      </c>
      <c r="K387" s="5" t="s">
        <v>78</v>
      </c>
      <c r="L387" s="7">
        <v>3827.52</v>
      </c>
      <c r="M387" s="5">
        <v>5</v>
      </c>
      <c r="N387" s="7">
        <v>19137.599999999999</v>
      </c>
      <c r="O387" s="8">
        <v>15.6</v>
      </c>
      <c r="P387" s="7">
        <v>16152.13</v>
      </c>
      <c r="Q387" s="8">
        <v>43.6</v>
      </c>
      <c r="R387" s="7">
        <v>7042.33</v>
      </c>
      <c r="S387" s="5" t="s">
        <v>40</v>
      </c>
    </row>
    <row r="388" spans="1:19" x14ac:dyDescent="0.3">
      <c r="A388" s="1" t="s">
        <v>764</v>
      </c>
      <c r="B388" s="1" t="s">
        <v>228</v>
      </c>
      <c r="C388" s="1" t="s">
        <v>33</v>
      </c>
      <c r="D388" s="1" t="s">
        <v>22</v>
      </c>
      <c r="E388" s="2" t="s">
        <v>23</v>
      </c>
      <c r="F388" s="1" t="s">
        <v>24</v>
      </c>
      <c r="G388" s="1" t="s">
        <v>53</v>
      </c>
      <c r="H388" s="1" t="s">
        <v>98</v>
      </c>
      <c r="I388" s="1" t="s">
        <v>55</v>
      </c>
      <c r="J388" s="1" t="s">
        <v>93</v>
      </c>
      <c r="K388" s="1" t="s">
        <v>29</v>
      </c>
      <c r="L388" s="3">
        <v>47110.82</v>
      </c>
      <c r="M388" s="1">
        <v>11</v>
      </c>
      <c r="N388" s="3">
        <v>518219.02</v>
      </c>
      <c r="O388" s="4">
        <v>0.5</v>
      </c>
      <c r="P388" s="3">
        <v>515627.92</v>
      </c>
      <c r="Q388" s="4">
        <v>23.7</v>
      </c>
      <c r="R388" s="3">
        <v>122203.82</v>
      </c>
      <c r="S388" s="1" t="s">
        <v>40</v>
      </c>
    </row>
    <row r="389" spans="1:19" x14ac:dyDescent="0.3">
      <c r="A389" s="5" t="s">
        <v>765</v>
      </c>
      <c r="B389" s="5" t="s">
        <v>364</v>
      </c>
      <c r="C389" s="5" t="s">
        <v>59</v>
      </c>
      <c r="D389" s="5" t="s">
        <v>60</v>
      </c>
      <c r="E389" s="6" t="s">
        <v>174</v>
      </c>
      <c r="F389" s="5" t="s">
        <v>45</v>
      </c>
      <c r="G389" s="5" t="s">
        <v>53</v>
      </c>
      <c r="H389" s="5" t="s">
        <v>54</v>
      </c>
      <c r="I389" s="5" t="s">
        <v>72</v>
      </c>
      <c r="J389" s="5" t="s">
        <v>28</v>
      </c>
      <c r="K389" s="5" t="s">
        <v>88</v>
      </c>
      <c r="L389" s="7">
        <v>350.26</v>
      </c>
      <c r="M389" s="5">
        <v>8</v>
      </c>
      <c r="N389" s="7">
        <v>2802.08</v>
      </c>
      <c r="O389" s="8">
        <v>18.2</v>
      </c>
      <c r="P389" s="7">
        <v>2292.1</v>
      </c>
      <c r="Q389" s="8">
        <v>35.6</v>
      </c>
      <c r="R389" s="7">
        <v>815.99</v>
      </c>
      <c r="S389" s="5" t="s">
        <v>40</v>
      </c>
    </row>
    <row r="390" spans="1:19" x14ac:dyDescent="0.3">
      <c r="A390" s="1" t="s">
        <v>766</v>
      </c>
      <c r="B390" s="1" t="s">
        <v>219</v>
      </c>
      <c r="C390" s="1" t="s">
        <v>101</v>
      </c>
      <c r="D390" s="1" t="s">
        <v>60</v>
      </c>
      <c r="E390" s="2" t="s">
        <v>256</v>
      </c>
      <c r="F390" s="1" t="s">
        <v>166</v>
      </c>
      <c r="G390" s="1" t="s">
        <v>25</v>
      </c>
      <c r="H390" s="1" t="s">
        <v>132</v>
      </c>
      <c r="I390" s="1" t="s">
        <v>27</v>
      </c>
      <c r="J390" s="1" t="s">
        <v>28</v>
      </c>
      <c r="K390" s="1" t="s">
        <v>29</v>
      </c>
      <c r="L390" s="3">
        <v>579.94000000000005</v>
      </c>
      <c r="M390" s="1">
        <v>1</v>
      </c>
      <c r="N390" s="3">
        <v>579.94000000000005</v>
      </c>
      <c r="O390" s="4">
        <v>1.7</v>
      </c>
      <c r="P390" s="3">
        <v>570.08000000000004</v>
      </c>
      <c r="Q390" s="4">
        <v>61.4</v>
      </c>
      <c r="R390" s="3">
        <v>350.03</v>
      </c>
      <c r="S390" s="1" t="s">
        <v>40</v>
      </c>
    </row>
    <row r="391" spans="1:19" x14ac:dyDescent="0.3">
      <c r="A391" s="5" t="s">
        <v>767</v>
      </c>
      <c r="B391" s="5" t="s">
        <v>747</v>
      </c>
      <c r="C391" s="5" t="s">
        <v>59</v>
      </c>
      <c r="D391" s="5" t="s">
        <v>60</v>
      </c>
      <c r="E391" s="6" t="s">
        <v>320</v>
      </c>
      <c r="F391" s="5" t="s">
        <v>24</v>
      </c>
      <c r="G391" s="5" t="s">
        <v>109</v>
      </c>
      <c r="H391" s="5" t="s">
        <v>122</v>
      </c>
      <c r="I391" s="5" t="s">
        <v>27</v>
      </c>
      <c r="J391" s="5" t="s">
        <v>47</v>
      </c>
      <c r="K391" s="5" t="s">
        <v>39</v>
      </c>
      <c r="L391" s="7">
        <v>36272.129999999997</v>
      </c>
      <c r="M391" s="5">
        <v>5</v>
      </c>
      <c r="N391" s="7">
        <v>181360.65</v>
      </c>
      <c r="O391" s="8">
        <v>10.8</v>
      </c>
      <c r="P391" s="7">
        <v>161773.70000000001</v>
      </c>
      <c r="Q391" s="8">
        <v>31.3</v>
      </c>
      <c r="R391" s="7">
        <v>50635.17</v>
      </c>
      <c r="S391" s="5" t="s">
        <v>40</v>
      </c>
    </row>
    <row r="392" spans="1:19" x14ac:dyDescent="0.3">
      <c r="A392" s="1" t="s">
        <v>768</v>
      </c>
      <c r="B392" s="1" t="s">
        <v>339</v>
      </c>
      <c r="C392" s="1" t="s">
        <v>135</v>
      </c>
      <c r="D392" s="1" t="s">
        <v>69</v>
      </c>
      <c r="E392" s="2" t="s">
        <v>148</v>
      </c>
      <c r="F392" s="1" t="s">
        <v>52</v>
      </c>
      <c r="G392" s="1" t="s">
        <v>109</v>
      </c>
      <c r="H392" s="1" t="s">
        <v>122</v>
      </c>
      <c r="I392" s="1" t="s">
        <v>72</v>
      </c>
      <c r="J392" s="1" t="s">
        <v>93</v>
      </c>
      <c r="K392" s="1" t="s">
        <v>78</v>
      </c>
      <c r="L392" s="3">
        <v>6443.9</v>
      </c>
      <c r="M392" s="1">
        <v>23</v>
      </c>
      <c r="N392" s="3">
        <v>148209.70000000001</v>
      </c>
      <c r="O392" s="4">
        <v>5.3</v>
      </c>
      <c r="P392" s="3">
        <v>140354.59</v>
      </c>
      <c r="Q392" s="4">
        <v>43.3</v>
      </c>
      <c r="R392" s="3">
        <v>60773.54</v>
      </c>
      <c r="S392" s="1" t="s">
        <v>40</v>
      </c>
    </row>
    <row r="393" spans="1:19" x14ac:dyDescent="0.3">
      <c r="A393" s="5" t="s">
        <v>769</v>
      </c>
      <c r="B393" s="5" t="s">
        <v>770</v>
      </c>
      <c r="C393" s="5" t="s">
        <v>85</v>
      </c>
      <c r="D393" s="5" t="s">
        <v>86</v>
      </c>
      <c r="E393" s="6" t="s">
        <v>279</v>
      </c>
      <c r="F393" s="5" t="s">
        <v>166</v>
      </c>
      <c r="G393" s="5" t="s">
        <v>36</v>
      </c>
      <c r="H393" s="5" t="s">
        <v>136</v>
      </c>
      <c r="I393" s="5" t="s">
        <v>47</v>
      </c>
      <c r="J393" s="5" t="s">
        <v>47</v>
      </c>
      <c r="K393" s="5" t="s">
        <v>111</v>
      </c>
      <c r="L393" s="7">
        <v>3800.84</v>
      </c>
      <c r="M393" s="5">
        <v>8</v>
      </c>
      <c r="N393" s="7">
        <v>30406.720000000001</v>
      </c>
      <c r="O393" s="8">
        <v>22.9</v>
      </c>
      <c r="P393" s="7">
        <v>23443.58</v>
      </c>
      <c r="Q393" s="8">
        <v>42.4</v>
      </c>
      <c r="R393" s="7">
        <v>9940.08</v>
      </c>
      <c r="S393" s="5" t="s">
        <v>40</v>
      </c>
    </row>
    <row r="394" spans="1:19" x14ac:dyDescent="0.3">
      <c r="A394" s="1" t="s">
        <v>771</v>
      </c>
      <c r="B394" s="1" t="s">
        <v>278</v>
      </c>
      <c r="C394" s="1" t="s">
        <v>43</v>
      </c>
      <c r="D394" s="1" t="s">
        <v>22</v>
      </c>
      <c r="E394" s="2" t="s">
        <v>224</v>
      </c>
      <c r="F394" s="1" t="s">
        <v>166</v>
      </c>
      <c r="G394" s="1" t="s">
        <v>63</v>
      </c>
      <c r="H394" s="1" t="s">
        <v>87</v>
      </c>
      <c r="I394" s="1" t="s">
        <v>55</v>
      </c>
      <c r="J394" s="1" t="s">
        <v>65</v>
      </c>
      <c r="K394" s="1" t="s">
        <v>48</v>
      </c>
      <c r="L394" s="3">
        <v>2334.62</v>
      </c>
      <c r="M394" s="1">
        <v>7</v>
      </c>
      <c r="N394" s="3">
        <v>16342.34</v>
      </c>
      <c r="O394" s="4">
        <v>18.5</v>
      </c>
      <c r="P394" s="3">
        <v>13319.01</v>
      </c>
      <c r="Q394" s="4">
        <v>52.4</v>
      </c>
      <c r="R394" s="3">
        <v>6979.16</v>
      </c>
      <c r="S394" s="1" t="s">
        <v>40</v>
      </c>
    </row>
    <row r="395" spans="1:19" x14ac:dyDescent="0.3">
      <c r="A395" s="5" t="s">
        <v>772</v>
      </c>
      <c r="B395" s="5" t="s">
        <v>557</v>
      </c>
      <c r="C395" s="5" t="s">
        <v>101</v>
      </c>
      <c r="D395" s="5" t="s">
        <v>60</v>
      </c>
      <c r="E395" s="6" t="s">
        <v>174</v>
      </c>
      <c r="F395" s="5" t="s">
        <v>45</v>
      </c>
      <c r="G395" s="5" t="s">
        <v>53</v>
      </c>
      <c r="H395" s="5" t="s">
        <v>77</v>
      </c>
      <c r="I395" s="5" t="s">
        <v>27</v>
      </c>
      <c r="J395" s="5" t="s">
        <v>47</v>
      </c>
      <c r="K395" s="5" t="s">
        <v>48</v>
      </c>
      <c r="L395" s="7">
        <v>292.31</v>
      </c>
      <c r="M395" s="5">
        <v>11</v>
      </c>
      <c r="N395" s="7">
        <v>3215.41</v>
      </c>
      <c r="O395" s="8">
        <v>2.2999999999999998</v>
      </c>
      <c r="P395" s="7">
        <v>3141.46</v>
      </c>
      <c r="Q395" s="8">
        <v>36</v>
      </c>
      <c r="R395" s="7">
        <v>1130.93</v>
      </c>
      <c r="S395" s="5" t="s">
        <v>79</v>
      </c>
    </row>
    <row r="396" spans="1:19" x14ac:dyDescent="0.3">
      <c r="A396" s="1" t="s">
        <v>773</v>
      </c>
      <c r="B396" s="1" t="s">
        <v>550</v>
      </c>
      <c r="C396" s="1" t="s">
        <v>33</v>
      </c>
      <c r="D396" s="1" t="s">
        <v>22</v>
      </c>
      <c r="E396" s="2" t="s">
        <v>139</v>
      </c>
      <c r="F396" s="1" t="s">
        <v>45</v>
      </c>
      <c r="G396" s="1" t="s">
        <v>63</v>
      </c>
      <c r="H396" s="1" t="s">
        <v>64</v>
      </c>
      <c r="I396" s="1" t="s">
        <v>38</v>
      </c>
      <c r="J396" s="1" t="s">
        <v>47</v>
      </c>
      <c r="K396" s="1" t="s">
        <v>102</v>
      </c>
      <c r="L396" s="3">
        <v>734.06</v>
      </c>
      <c r="M396" s="1">
        <v>15</v>
      </c>
      <c r="N396" s="3">
        <v>11010.9</v>
      </c>
      <c r="O396" s="4">
        <v>9.3000000000000007</v>
      </c>
      <c r="P396" s="3">
        <v>9986.89</v>
      </c>
      <c r="Q396" s="4">
        <v>27.2</v>
      </c>
      <c r="R396" s="3">
        <v>2716.43</v>
      </c>
      <c r="S396" s="1" t="s">
        <v>40</v>
      </c>
    </row>
    <row r="397" spans="1:19" x14ac:dyDescent="0.3">
      <c r="A397" s="5" t="s">
        <v>774</v>
      </c>
      <c r="B397" s="5" t="s">
        <v>775</v>
      </c>
      <c r="C397" s="5" t="s">
        <v>43</v>
      </c>
      <c r="D397" s="5" t="s">
        <v>22</v>
      </c>
      <c r="E397" s="6" t="s">
        <v>306</v>
      </c>
      <c r="F397" s="5" t="s">
        <v>35</v>
      </c>
      <c r="G397" s="5" t="s">
        <v>109</v>
      </c>
      <c r="H397" s="5" t="s">
        <v>110</v>
      </c>
      <c r="I397" s="5" t="s">
        <v>27</v>
      </c>
      <c r="J397" s="5" t="s">
        <v>93</v>
      </c>
      <c r="K397" s="5" t="s">
        <v>102</v>
      </c>
      <c r="L397" s="7">
        <v>33567.46</v>
      </c>
      <c r="M397" s="5">
        <v>24</v>
      </c>
      <c r="N397" s="7">
        <v>805619.04</v>
      </c>
      <c r="O397" s="8">
        <v>20.399999999999999</v>
      </c>
      <c r="P397" s="7">
        <v>641272.76</v>
      </c>
      <c r="Q397" s="8">
        <v>50.9</v>
      </c>
      <c r="R397" s="7">
        <v>326407.83</v>
      </c>
      <c r="S397" s="5" t="s">
        <v>112</v>
      </c>
    </row>
    <row r="398" spans="1:19" x14ac:dyDescent="0.3">
      <c r="A398" s="1" t="s">
        <v>776</v>
      </c>
      <c r="B398" s="1" t="s">
        <v>777</v>
      </c>
      <c r="C398" s="1" t="s">
        <v>117</v>
      </c>
      <c r="D398" s="1" t="s">
        <v>86</v>
      </c>
      <c r="E398" s="2" t="s">
        <v>76</v>
      </c>
      <c r="F398" s="1" t="s">
        <v>45</v>
      </c>
      <c r="G398" s="1" t="s">
        <v>53</v>
      </c>
      <c r="H398" s="1" t="s">
        <v>71</v>
      </c>
      <c r="I398" s="1" t="s">
        <v>47</v>
      </c>
      <c r="J398" s="1" t="s">
        <v>93</v>
      </c>
      <c r="K398" s="1" t="s">
        <v>48</v>
      </c>
      <c r="L398" s="3">
        <v>609.66999999999996</v>
      </c>
      <c r="M398" s="1">
        <v>14</v>
      </c>
      <c r="N398" s="3">
        <v>8535.3799999999992</v>
      </c>
      <c r="O398" s="4">
        <v>4.4000000000000004</v>
      </c>
      <c r="P398" s="3">
        <v>8159.82</v>
      </c>
      <c r="Q398" s="4">
        <v>19</v>
      </c>
      <c r="R398" s="3">
        <v>1550.37</v>
      </c>
      <c r="S398" s="1" t="s">
        <v>40</v>
      </c>
    </row>
    <row r="399" spans="1:19" x14ac:dyDescent="0.3">
      <c r="A399" s="5" t="s">
        <v>778</v>
      </c>
      <c r="B399" s="5" t="s">
        <v>200</v>
      </c>
      <c r="C399" s="5" t="s">
        <v>43</v>
      </c>
      <c r="D399" s="5" t="s">
        <v>22</v>
      </c>
      <c r="E399" s="6" t="s">
        <v>306</v>
      </c>
      <c r="F399" s="5" t="s">
        <v>35</v>
      </c>
      <c r="G399" s="5" t="s">
        <v>25</v>
      </c>
      <c r="H399" s="5" t="s">
        <v>215</v>
      </c>
      <c r="I399" s="5" t="s">
        <v>47</v>
      </c>
      <c r="J399" s="5" t="s">
        <v>47</v>
      </c>
      <c r="K399" s="5" t="s">
        <v>29</v>
      </c>
      <c r="L399" s="7">
        <v>13453.87</v>
      </c>
      <c r="M399" s="5">
        <v>11</v>
      </c>
      <c r="N399" s="7">
        <v>147992.57</v>
      </c>
      <c r="O399" s="8">
        <v>18.8</v>
      </c>
      <c r="P399" s="7">
        <v>120169.97</v>
      </c>
      <c r="Q399" s="8">
        <v>35.299999999999997</v>
      </c>
      <c r="R399" s="7">
        <v>42420</v>
      </c>
      <c r="S399" s="5" t="s">
        <v>40</v>
      </c>
    </row>
    <row r="400" spans="1:19" x14ac:dyDescent="0.3">
      <c r="A400" s="1" t="s">
        <v>779</v>
      </c>
      <c r="B400" s="1" t="s">
        <v>780</v>
      </c>
      <c r="C400" s="1" t="s">
        <v>117</v>
      </c>
      <c r="D400" s="1" t="s">
        <v>86</v>
      </c>
      <c r="E400" s="2" t="s">
        <v>410</v>
      </c>
      <c r="F400" s="1" t="s">
        <v>166</v>
      </c>
      <c r="G400" s="1" t="s">
        <v>109</v>
      </c>
      <c r="H400" s="1" t="s">
        <v>122</v>
      </c>
      <c r="I400" s="1" t="s">
        <v>38</v>
      </c>
      <c r="J400" s="1" t="s">
        <v>28</v>
      </c>
      <c r="K400" s="1" t="s">
        <v>88</v>
      </c>
      <c r="L400" s="3">
        <v>1464.69</v>
      </c>
      <c r="M400" s="1">
        <v>1</v>
      </c>
      <c r="N400" s="3">
        <v>1464.69</v>
      </c>
      <c r="O400" s="4">
        <v>15.8</v>
      </c>
      <c r="P400" s="3">
        <v>1233.27</v>
      </c>
      <c r="Q400" s="4">
        <v>55.4</v>
      </c>
      <c r="R400" s="3">
        <v>683.23</v>
      </c>
      <c r="S400" s="1" t="s">
        <v>79</v>
      </c>
    </row>
    <row r="401" spans="1:19" x14ac:dyDescent="0.3">
      <c r="A401" s="5" t="s">
        <v>781</v>
      </c>
      <c r="B401" s="5" t="s">
        <v>20</v>
      </c>
      <c r="C401" s="5" t="s">
        <v>21</v>
      </c>
      <c r="D401" s="5" t="s">
        <v>22</v>
      </c>
      <c r="E401" s="6" t="s">
        <v>170</v>
      </c>
      <c r="F401" s="5" t="s">
        <v>52</v>
      </c>
      <c r="G401" s="5" t="s">
        <v>53</v>
      </c>
      <c r="H401" s="5" t="s">
        <v>71</v>
      </c>
      <c r="I401" s="5" t="s">
        <v>55</v>
      </c>
      <c r="J401" s="5" t="s">
        <v>65</v>
      </c>
      <c r="K401" s="5" t="s">
        <v>159</v>
      </c>
      <c r="L401" s="7">
        <v>4197.1000000000004</v>
      </c>
      <c r="M401" s="5">
        <v>12</v>
      </c>
      <c r="N401" s="7">
        <v>50365.2</v>
      </c>
      <c r="O401" s="8">
        <v>12.5</v>
      </c>
      <c r="P401" s="7">
        <v>44069.55</v>
      </c>
      <c r="Q401" s="8">
        <v>34.1</v>
      </c>
      <c r="R401" s="7">
        <v>15027.72</v>
      </c>
      <c r="S401" s="5" t="s">
        <v>40</v>
      </c>
    </row>
    <row r="402" spans="1:19" x14ac:dyDescent="0.3">
      <c r="A402" s="1" t="s">
        <v>782</v>
      </c>
      <c r="B402" s="1" t="s">
        <v>675</v>
      </c>
      <c r="C402" s="1" t="s">
        <v>75</v>
      </c>
      <c r="D402" s="1" t="s">
        <v>60</v>
      </c>
      <c r="E402" s="2" t="s">
        <v>246</v>
      </c>
      <c r="F402" s="1" t="s">
        <v>52</v>
      </c>
      <c r="G402" s="1" t="s">
        <v>25</v>
      </c>
      <c r="H402" s="1" t="s">
        <v>46</v>
      </c>
      <c r="I402" s="1" t="s">
        <v>47</v>
      </c>
      <c r="J402" s="1" t="s">
        <v>47</v>
      </c>
      <c r="K402" s="1" t="s">
        <v>29</v>
      </c>
      <c r="L402" s="3">
        <v>1645.44</v>
      </c>
      <c r="M402" s="1">
        <v>16</v>
      </c>
      <c r="N402" s="3">
        <v>26327.040000000001</v>
      </c>
      <c r="O402" s="4">
        <v>22.3</v>
      </c>
      <c r="P402" s="3">
        <v>20456.11</v>
      </c>
      <c r="Q402" s="4">
        <v>23</v>
      </c>
      <c r="R402" s="3">
        <v>4704.91</v>
      </c>
      <c r="S402" s="1" t="s">
        <v>79</v>
      </c>
    </row>
    <row r="403" spans="1:19" x14ac:dyDescent="0.3">
      <c r="A403" s="5" t="s">
        <v>783</v>
      </c>
      <c r="B403" s="5" t="s">
        <v>596</v>
      </c>
      <c r="C403" s="5" t="s">
        <v>68</v>
      </c>
      <c r="D403" s="5" t="s">
        <v>69</v>
      </c>
      <c r="E403" s="6" t="s">
        <v>155</v>
      </c>
      <c r="F403" s="5" t="s">
        <v>24</v>
      </c>
      <c r="G403" s="5" t="s">
        <v>25</v>
      </c>
      <c r="H403" s="5" t="s">
        <v>46</v>
      </c>
      <c r="I403" s="5" t="s">
        <v>72</v>
      </c>
      <c r="J403" s="5" t="s">
        <v>28</v>
      </c>
      <c r="K403" s="5" t="s">
        <v>56</v>
      </c>
      <c r="L403" s="7">
        <v>62270.35</v>
      </c>
      <c r="M403" s="5">
        <v>13</v>
      </c>
      <c r="N403" s="7">
        <v>809514.55</v>
      </c>
      <c r="O403" s="8">
        <v>7.9</v>
      </c>
      <c r="P403" s="7">
        <v>745562.9</v>
      </c>
      <c r="Q403" s="8">
        <v>24.2</v>
      </c>
      <c r="R403" s="7">
        <v>180426.22</v>
      </c>
      <c r="S403" s="5" t="s">
        <v>40</v>
      </c>
    </row>
    <row r="404" spans="1:19" x14ac:dyDescent="0.3">
      <c r="A404" s="1" t="s">
        <v>784</v>
      </c>
      <c r="B404" s="1" t="s">
        <v>785</v>
      </c>
      <c r="C404" s="1" t="s">
        <v>96</v>
      </c>
      <c r="D404" s="1" t="s">
        <v>86</v>
      </c>
      <c r="E404" s="2" t="s">
        <v>224</v>
      </c>
      <c r="F404" s="1" t="s">
        <v>166</v>
      </c>
      <c r="G404" s="1" t="s">
        <v>36</v>
      </c>
      <c r="H404" s="1" t="s">
        <v>119</v>
      </c>
      <c r="I404" s="1" t="s">
        <v>38</v>
      </c>
      <c r="J404" s="1" t="s">
        <v>93</v>
      </c>
      <c r="K404" s="1" t="s">
        <v>56</v>
      </c>
      <c r="L404" s="3">
        <v>4327.97</v>
      </c>
      <c r="M404" s="1">
        <v>23</v>
      </c>
      <c r="N404" s="3">
        <v>99543.31</v>
      </c>
      <c r="O404" s="4">
        <v>0.8</v>
      </c>
      <c r="P404" s="3">
        <v>98746.96</v>
      </c>
      <c r="Q404" s="4">
        <v>49.5</v>
      </c>
      <c r="R404" s="3">
        <v>48879.75</v>
      </c>
      <c r="S404" s="1" t="s">
        <v>40</v>
      </c>
    </row>
    <row r="405" spans="1:19" x14ac:dyDescent="0.3">
      <c r="A405" s="5" t="s">
        <v>786</v>
      </c>
      <c r="B405" s="5" t="s">
        <v>787</v>
      </c>
      <c r="C405" s="5" t="s">
        <v>135</v>
      </c>
      <c r="D405" s="5" t="s">
        <v>69</v>
      </c>
      <c r="E405" s="6" t="s">
        <v>256</v>
      </c>
      <c r="F405" s="5" t="s">
        <v>166</v>
      </c>
      <c r="G405" s="5" t="s">
        <v>109</v>
      </c>
      <c r="H405" s="5" t="s">
        <v>110</v>
      </c>
      <c r="I405" s="5" t="s">
        <v>55</v>
      </c>
      <c r="J405" s="5" t="s">
        <v>28</v>
      </c>
      <c r="K405" s="5" t="s">
        <v>39</v>
      </c>
      <c r="L405" s="7">
        <v>818.02</v>
      </c>
      <c r="M405" s="5">
        <v>22</v>
      </c>
      <c r="N405" s="7">
        <v>17996.439999999999</v>
      </c>
      <c r="O405" s="8">
        <v>7.7</v>
      </c>
      <c r="P405" s="7">
        <v>16610.71</v>
      </c>
      <c r="Q405" s="8">
        <v>53.6</v>
      </c>
      <c r="R405" s="7">
        <v>8903.34</v>
      </c>
      <c r="S405" s="5" t="s">
        <v>79</v>
      </c>
    </row>
    <row r="406" spans="1:19" x14ac:dyDescent="0.3">
      <c r="A406" s="1" t="s">
        <v>788</v>
      </c>
      <c r="B406" s="1" t="s">
        <v>226</v>
      </c>
      <c r="C406" s="1" t="s">
        <v>101</v>
      </c>
      <c r="D406" s="1" t="s">
        <v>60</v>
      </c>
      <c r="E406" s="2" t="s">
        <v>44</v>
      </c>
      <c r="F406" s="1" t="s">
        <v>45</v>
      </c>
      <c r="G406" s="1" t="s">
        <v>63</v>
      </c>
      <c r="H406" s="1" t="s">
        <v>87</v>
      </c>
      <c r="I406" s="1" t="s">
        <v>72</v>
      </c>
      <c r="J406" s="1" t="s">
        <v>47</v>
      </c>
      <c r="K406" s="1" t="s">
        <v>39</v>
      </c>
      <c r="L406" s="3">
        <v>1056.27</v>
      </c>
      <c r="M406" s="1">
        <v>3</v>
      </c>
      <c r="N406" s="3">
        <v>3168.81</v>
      </c>
      <c r="O406" s="4">
        <v>4.7</v>
      </c>
      <c r="P406" s="3">
        <v>3019.88</v>
      </c>
      <c r="Q406" s="4">
        <v>26.2</v>
      </c>
      <c r="R406" s="3">
        <v>791.21</v>
      </c>
      <c r="S406" s="1" t="s">
        <v>40</v>
      </c>
    </row>
    <row r="407" spans="1:19" x14ac:dyDescent="0.3">
      <c r="A407" s="5" t="s">
        <v>789</v>
      </c>
      <c r="B407" s="5" t="s">
        <v>790</v>
      </c>
      <c r="C407" s="5" t="s">
        <v>117</v>
      </c>
      <c r="D407" s="5" t="s">
        <v>86</v>
      </c>
      <c r="E407" s="6" t="s">
        <v>44</v>
      </c>
      <c r="F407" s="5" t="s">
        <v>45</v>
      </c>
      <c r="G407" s="5" t="s">
        <v>63</v>
      </c>
      <c r="H407" s="5" t="s">
        <v>92</v>
      </c>
      <c r="I407" s="5" t="s">
        <v>38</v>
      </c>
      <c r="J407" s="5" t="s">
        <v>93</v>
      </c>
      <c r="K407" s="5" t="s">
        <v>56</v>
      </c>
      <c r="L407" s="7">
        <v>802.18</v>
      </c>
      <c r="M407" s="5">
        <v>14</v>
      </c>
      <c r="N407" s="7">
        <v>11230.52</v>
      </c>
      <c r="O407" s="8">
        <v>16.100000000000001</v>
      </c>
      <c r="P407" s="7">
        <v>9422.41</v>
      </c>
      <c r="Q407" s="8">
        <v>34.6</v>
      </c>
      <c r="R407" s="7">
        <v>3260.15</v>
      </c>
      <c r="S407" s="5" t="s">
        <v>40</v>
      </c>
    </row>
    <row r="408" spans="1:19" x14ac:dyDescent="0.3">
      <c r="A408" s="1" t="s">
        <v>791</v>
      </c>
      <c r="B408" s="1" t="s">
        <v>243</v>
      </c>
      <c r="C408" s="1" t="s">
        <v>96</v>
      </c>
      <c r="D408" s="1" t="s">
        <v>86</v>
      </c>
      <c r="E408" s="2" t="s">
        <v>194</v>
      </c>
      <c r="F408" s="1" t="s">
        <v>52</v>
      </c>
      <c r="G408" s="1" t="s">
        <v>25</v>
      </c>
      <c r="H408" s="1" t="s">
        <v>26</v>
      </c>
      <c r="I408" s="1" t="s">
        <v>55</v>
      </c>
      <c r="J408" s="1" t="s">
        <v>28</v>
      </c>
      <c r="K408" s="1" t="s">
        <v>48</v>
      </c>
      <c r="L408" s="3">
        <v>2193.81</v>
      </c>
      <c r="M408" s="1">
        <v>21</v>
      </c>
      <c r="N408" s="3">
        <v>46070.01</v>
      </c>
      <c r="O408" s="4">
        <v>24.4</v>
      </c>
      <c r="P408" s="3">
        <v>34828.93</v>
      </c>
      <c r="Q408" s="4">
        <v>44.8</v>
      </c>
      <c r="R408" s="3">
        <v>15603.36</v>
      </c>
      <c r="S408" s="1" t="s">
        <v>40</v>
      </c>
    </row>
    <row r="409" spans="1:19" x14ac:dyDescent="0.3">
      <c r="A409" s="5" t="s">
        <v>792</v>
      </c>
      <c r="B409" s="5" t="s">
        <v>630</v>
      </c>
      <c r="C409" s="5" t="s">
        <v>101</v>
      </c>
      <c r="D409" s="5" t="s">
        <v>60</v>
      </c>
      <c r="E409" s="6" t="s">
        <v>201</v>
      </c>
      <c r="F409" s="5" t="s">
        <v>24</v>
      </c>
      <c r="G409" s="5" t="s">
        <v>25</v>
      </c>
      <c r="H409" s="5" t="s">
        <v>132</v>
      </c>
      <c r="I409" s="5" t="s">
        <v>55</v>
      </c>
      <c r="J409" s="5" t="s">
        <v>93</v>
      </c>
      <c r="K409" s="5" t="s">
        <v>48</v>
      </c>
      <c r="L409" s="7">
        <v>62956.94</v>
      </c>
      <c r="M409" s="5">
        <v>14</v>
      </c>
      <c r="N409" s="7">
        <v>881397.16</v>
      </c>
      <c r="O409" s="8">
        <v>9.1</v>
      </c>
      <c r="P409" s="7">
        <v>801190.02</v>
      </c>
      <c r="Q409" s="8">
        <v>28.2</v>
      </c>
      <c r="R409" s="7">
        <v>225935.59</v>
      </c>
      <c r="S409" s="5" t="s">
        <v>40</v>
      </c>
    </row>
    <row r="410" spans="1:19" x14ac:dyDescent="0.3">
      <c r="A410" s="1" t="s">
        <v>793</v>
      </c>
      <c r="B410" s="1" t="s">
        <v>397</v>
      </c>
      <c r="C410" s="1" t="s">
        <v>96</v>
      </c>
      <c r="D410" s="1" t="s">
        <v>86</v>
      </c>
      <c r="E410" s="2" t="s">
        <v>170</v>
      </c>
      <c r="F410" s="1" t="s">
        <v>52</v>
      </c>
      <c r="G410" s="1" t="s">
        <v>25</v>
      </c>
      <c r="H410" s="1" t="s">
        <v>215</v>
      </c>
      <c r="I410" s="1" t="s">
        <v>55</v>
      </c>
      <c r="J410" s="1" t="s">
        <v>65</v>
      </c>
      <c r="K410" s="1" t="s">
        <v>149</v>
      </c>
      <c r="L410" s="3">
        <v>5373.97</v>
      </c>
      <c r="M410" s="1">
        <v>21</v>
      </c>
      <c r="N410" s="3">
        <v>112853.37</v>
      </c>
      <c r="O410" s="4">
        <v>13.8</v>
      </c>
      <c r="P410" s="3">
        <v>97279.6</v>
      </c>
      <c r="Q410" s="4">
        <v>28.1</v>
      </c>
      <c r="R410" s="3">
        <v>27335.57</v>
      </c>
      <c r="S410" s="1" t="s">
        <v>112</v>
      </c>
    </row>
    <row r="411" spans="1:19" x14ac:dyDescent="0.3">
      <c r="A411" s="5" t="s">
        <v>794</v>
      </c>
      <c r="B411" s="5" t="s">
        <v>592</v>
      </c>
      <c r="C411" s="5" t="s">
        <v>131</v>
      </c>
      <c r="D411" s="5" t="s">
        <v>69</v>
      </c>
      <c r="E411" s="6" t="s">
        <v>125</v>
      </c>
      <c r="F411" s="5" t="s">
        <v>62</v>
      </c>
      <c r="G411" s="5" t="s">
        <v>36</v>
      </c>
      <c r="H411" s="5" t="s">
        <v>136</v>
      </c>
      <c r="I411" s="5" t="s">
        <v>38</v>
      </c>
      <c r="J411" s="5" t="s">
        <v>47</v>
      </c>
      <c r="K411" s="5" t="s">
        <v>111</v>
      </c>
      <c r="L411" s="7">
        <v>1339.67</v>
      </c>
      <c r="M411" s="5">
        <v>17</v>
      </c>
      <c r="N411" s="7">
        <v>22774.39</v>
      </c>
      <c r="O411" s="8">
        <v>16.899999999999999</v>
      </c>
      <c r="P411" s="7">
        <v>18925.52</v>
      </c>
      <c r="Q411" s="8">
        <v>55.7</v>
      </c>
      <c r="R411" s="7">
        <v>10541.51</v>
      </c>
      <c r="S411" s="5" t="s">
        <v>40</v>
      </c>
    </row>
    <row r="412" spans="1:19" x14ac:dyDescent="0.3">
      <c r="A412" s="1" t="s">
        <v>795</v>
      </c>
      <c r="B412" s="1" t="s">
        <v>515</v>
      </c>
      <c r="C412" s="1" t="s">
        <v>21</v>
      </c>
      <c r="D412" s="1" t="s">
        <v>22</v>
      </c>
      <c r="E412" s="2" t="s">
        <v>170</v>
      </c>
      <c r="F412" s="1" t="s">
        <v>52</v>
      </c>
      <c r="G412" s="1" t="s">
        <v>109</v>
      </c>
      <c r="H412" s="1" t="s">
        <v>189</v>
      </c>
      <c r="I412" s="1" t="s">
        <v>27</v>
      </c>
      <c r="J412" s="1" t="s">
        <v>28</v>
      </c>
      <c r="K412" s="1" t="s">
        <v>159</v>
      </c>
      <c r="L412" s="3">
        <v>8100.15</v>
      </c>
      <c r="M412" s="1">
        <v>6</v>
      </c>
      <c r="N412" s="3">
        <v>48600.9</v>
      </c>
      <c r="O412" s="4">
        <v>1.7</v>
      </c>
      <c r="P412" s="3">
        <v>47774.68</v>
      </c>
      <c r="Q412" s="4">
        <v>44.2</v>
      </c>
      <c r="R412" s="3">
        <v>21116.41</v>
      </c>
      <c r="S412" s="1" t="s">
        <v>40</v>
      </c>
    </row>
    <row r="413" spans="1:19" x14ac:dyDescent="0.3">
      <c r="A413" s="5" t="s">
        <v>796</v>
      </c>
      <c r="B413" s="5" t="s">
        <v>594</v>
      </c>
      <c r="C413" s="5" t="s">
        <v>33</v>
      </c>
      <c r="D413" s="5" t="s">
        <v>22</v>
      </c>
      <c r="E413" s="6" t="s">
        <v>148</v>
      </c>
      <c r="F413" s="5" t="s">
        <v>52</v>
      </c>
      <c r="G413" s="5" t="s">
        <v>25</v>
      </c>
      <c r="H413" s="5" t="s">
        <v>132</v>
      </c>
      <c r="I413" s="5" t="s">
        <v>47</v>
      </c>
      <c r="J413" s="5" t="s">
        <v>47</v>
      </c>
      <c r="K413" s="5" t="s">
        <v>39</v>
      </c>
      <c r="L413" s="7">
        <v>3378.48</v>
      </c>
      <c r="M413" s="5">
        <v>13</v>
      </c>
      <c r="N413" s="7">
        <v>43920.24</v>
      </c>
      <c r="O413" s="8">
        <v>7.2</v>
      </c>
      <c r="P413" s="7">
        <v>40757.980000000003</v>
      </c>
      <c r="Q413" s="8">
        <v>30.8</v>
      </c>
      <c r="R413" s="7">
        <v>12553.46</v>
      </c>
      <c r="S413" s="5" t="s">
        <v>40</v>
      </c>
    </row>
    <row r="414" spans="1:19" x14ac:dyDescent="0.3">
      <c r="A414" s="1" t="s">
        <v>797</v>
      </c>
      <c r="B414" s="1" t="s">
        <v>798</v>
      </c>
      <c r="C414" s="1" t="s">
        <v>117</v>
      </c>
      <c r="D414" s="1" t="s">
        <v>86</v>
      </c>
      <c r="E414" s="2" t="s">
        <v>118</v>
      </c>
      <c r="F414" s="1" t="s">
        <v>62</v>
      </c>
      <c r="G414" s="1" t="s">
        <v>63</v>
      </c>
      <c r="H414" s="1" t="s">
        <v>87</v>
      </c>
      <c r="I414" s="1" t="s">
        <v>72</v>
      </c>
      <c r="J414" s="1" t="s">
        <v>47</v>
      </c>
      <c r="K414" s="1" t="s">
        <v>149</v>
      </c>
      <c r="L414" s="3">
        <v>2372.02</v>
      </c>
      <c r="M414" s="1">
        <v>23</v>
      </c>
      <c r="N414" s="3">
        <v>54556.46</v>
      </c>
      <c r="O414" s="4">
        <v>7.3</v>
      </c>
      <c r="P414" s="3">
        <v>50573.84</v>
      </c>
      <c r="Q414" s="4">
        <v>56.8</v>
      </c>
      <c r="R414" s="3">
        <v>28725.94</v>
      </c>
      <c r="S414" s="1" t="s">
        <v>40</v>
      </c>
    </row>
    <row r="415" spans="1:19" x14ac:dyDescent="0.3">
      <c r="A415" s="5" t="s">
        <v>799</v>
      </c>
      <c r="B415" s="5" t="s">
        <v>800</v>
      </c>
      <c r="C415" s="5" t="s">
        <v>59</v>
      </c>
      <c r="D415" s="5" t="s">
        <v>60</v>
      </c>
      <c r="E415" s="6" t="s">
        <v>279</v>
      </c>
      <c r="F415" s="5" t="s">
        <v>166</v>
      </c>
      <c r="G415" s="5" t="s">
        <v>109</v>
      </c>
      <c r="H415" s="5" t="s">
        <v>152</v>
      </c>
      <c r="I415" s="5" t="s">
        <v>38</v>
      </c>
      <c r="J415" s="5" t="s">
        <v>93</v>
      </c>
      <c r="K415" s="5" t="s">
        <v>102</v>
      </c>
      <c r="L415" s="7">
        <v>1361.71</v>
      </c>
      <c r="M415" s="5">
        <v>18</v>
      </c>
      <c r="N415" s="7">
        <v>24510.78</v>
      </c>
      <c r="O415" s="8">
        <v>19.7</v>
      </c>
      <c r="P415" s="7">
        <v>19682.16</v>
      </c>
      <c r="Q415" s="8">
        <v>59.5</v>
      </c>
      <c r="R415" s="7">
        <v>11710.89</v>
      </c>
      <c r="S415" s="5" t="s">
        <v>40</v>
      </c>
    </row>
    <row r="416" spans="1:19" x14ac:dyDescent="0.3">
      <c r="A416" s="1" t="s">
        <v>801</v>
      </c>
      <c r="B416" s="1" t="s">
        <v>523</v>
      </c>
      <c r="C416" s="1" t="s">
        <v>43</v>
      </c>
      <c r="D416" s="1" t="s">
        <v>22</v>
      </c>
      <c r="E416" s="2" t="s">
        <v>410</v>
      </c>
      <c r="F416" s="1" t="s">
        <v>166</v>
      </c>
      <c r="G416" s="1" t="s">
        <v>109</v>
      </c>
      <c r="H416" s="1" t="s">
        <v>152</v>
      </c>
      <c r="I416" s="1" t="s">
        <v>38</v>
      </c>
      <c r="J416" s="1" t="s">
        <v>28</v>
      </c>
      <c r="K416" s="1" t="s">
        <v>29</v>
      </c>
      <c r="L416" s="3">
        <v>4929.1000000000004</v>
      </c>
      <c r="M416" s="1">
        <v>14</v>
      </c>
      <c r="N416" s="3">
        <v>69007.399999999994</v>
      </c>
      <c r="O416" s="4">
        <v>14.1</v>
      </c>
      <c r="P416" s="3">
        <v>59277.36</v>
      </c>
      <c r="Q416" s="4">
        <v>40.9</v>
      </c>
      <c r="R416" s="3">
        <v>24244.44</v>
      </c>
      <c r="S416" s="1" t="s">
        <v>40</v>
      </c>
    </row>
    <row r="417" spans="1:19" x14ac:dyDescent="0.3">
      <c r="A417" s="5" t="s">
        <v>802</v>
      </c>
      <c r="B417" s="5" t="s">
        <v>391</v>
      </c>
      <c r="C417" s="5" t="s">
        <v>21</v>
      </c>
      <c r="D417" s="5" t="s">
        <v>22</v>
      </c>
      <c r="E417" s="6" t="s">
        <v>206</v>
      </c>
      <c r="F417" s="5" t="s">
        <v>52</v>
      </c>
      <c r="G417" s="5" t="s">
        <v>25</v>
      </c>
      <c r="H417" s="5" t="s">
        <v>215</v>
      </c>
      <c r="I417" s="5" t="s">
        <v>47</v>
      </c>
      <c r="J417" s="5" t="s">
        <v>93</v>
      </c>
      <c r="K417" s="5" t="s">
        <v>102</v>
      </c>
      <c r="L417" s="7">
        <v>6869.73</v>
      </c>
      <c r="M417" s="5">
        <v>7</v>
      </c>
      <c r="N417" s="7">
        <v>48088.11</v>
      </c>
      <c r="O417" s="8">
        <v>1</v>
      </c>
      <c r="P417" s="7">
        <v>47607.23</v>
      </c>
      <c r="Q417" s="8">
        <v>45.1</v>
      </c>
      <c r="R417" s="7">
        <v>21470.86</v>
      </c>
      <c r="S417" s="5" t="s">
        <v>40</v>
      </c>
    </row>
    <row r="418" spans="1:19" x14ac:dyDescent="0.3">
      <c r="A418" s="1" t="s">
        <v>803</v>
      </c>
      <c r="B418" s="1" t="s">
        <v>421</v>
      </c>
      <c r="C418" s="1" t="s">
        <v>21</v>
      </c>
      <c r="D418" s="1" t="s">
        <v>22</v>
      </c>
      <c r="E418" s="2" t="s">
        <v>201</v>
      </c>
      <c r="F418" s="1" t="s">
        <v>24</v>
      </c>
      <c r="G418" s="1" t="s">
        <v>63</v>
      </c>
      <c r="H418" s="1" t="s">
        <v>87</v>
      </c>
      <c r="I418" s="1" t="s">
        <v>55</v>
      </c>
      <c r="J418" s="1" t="s">
        <v>65</v>
      </c>
      <c r="K418" s="1" t="s">
        <v>149</v>
      </c>
      <c r="L418" s="3">
        <v>61380.55</v>
      </c>
      <c r="M418" s="1">
        <v>19</v>
      </c>
      <c r="N418" s="3">
        <v>1166230.45</v>
      </c>
      <c r="O418" s="4">
        <v>6</v>
      </c>
      <c r="P418" s="3">
        <v>1096256.6200000001</v>
      </c>
      <c r="Q418" s="4">
        <v>28.4</v>
      </c>
      <c r="R418" s="3">
        <v>311336.88</v>
      </c>
      <c r="S418" s="1" t="s">
        <v>40</v>
      </c>
    </row>
    <row r="419" spans="1:19" x14ac:dyDescent="0.3">
      <c r="A419" s="5" t="s">
        <v>804</v>
      </c>
      <c r="B419" s="5" t="s">
        <v>805</v>
      </c>
      <c r="C419" s="5" t="s">
        <v>131</v>
      </c>
      <c r="D419" s="5" t="s">
        <v>69</v>
      </c>
      <c r="E419" s="6" t="s">
        <v>145</v>
      </c>
      <c r="F419" s="5" t="s">
        <v>62</v>
      </c>
      <c r="G419" s="5" t="s">
        <v>36</v>
      </c>
      <c r="H419" s="5" t="s">
        <v>37</v>
      </c>
      <c r="I419" s="5" t="s">
        <v>72</v>
      </c>
      <c r="J419" s="5" t="s">
        <v>28</v>
      </c>
      <c r="K419" s="5" t="s">
        <v>159</v>
      </c>
      <c r="L419" s="7">
        <v>1408.64</v>
      </c>
      <c r="M419" s="5">
        <v>21</v>
      </c>
      <c r="N419" s="7">
        <v>29581.439999999999</v>
      </c>
      <c r="O419" s="8">
        <v>6.8</v>
      </c>
      <c r="P419" s="7">
        <v>27569.9</v>
      </c>
      <c r="Q419" s="8">
        <v>70.5</v>
      </c>
      <c r="R419" s="7">
        <v>19436.78</v>
      </c>
      <c r="S419" s="5" t="s">
        <v>40</v>
      </c>
    </row>
    <row r="420" spans="1:19" x14ac:dyDescent="0.3">
      <c r="A420" s="1" t="s">
        <v>806</v>
      </c>
      <c r="B420" s="1" t="s">
        <v>807</v>
      </c>
      <c r="C420" s="1" t="s">
        <v>117</v>
      </c>
      <c r="D420" s="1" t="s">
        <v>86</v>
      </c>
      <c r="E420" s="2" t="s">
        <v>256</v>
      </c>
      <c r="F420" s="1" t="s">
        <v>166</v>
      </c>
      <c r="G420" s="1" t="s">
        <v>25</v>
      </c>
      <c r="H420" s="1" t="s">
        <v>215</v>
      </c>
      <c r="I420" s="1" t="s">
        <v>47</v>
      </c>
      <c r="J420" s="1" t="s">
        <v>47</v>
      </c>
      <c r="K420" s="1" t="s">
        <v>149</v>
      </c>
      <c r="L420" s="3">
        <v>1959.97</v>
      </c>
      <c r="M420" s="1">
        <v>18</v>
      </c>
      <c r="N420" s="3">
        <v>35279.46</v>
      </c>
      <c r="O420" s="4">
        <v>17.3</v>
      </c>
      <c r="P420" s="3">
        <v>29176.11</v>
      </c>
      <c r="Q420" s="4">
        <v>59</v>
      </c>
      <c r="R420" s="3">
        <v>17213.900000000001</v>
      </c>
      <c r="S420" s="1" t="s">
        <v>40</v>
      </c>
    </row>
    <row r="421" spans="1:19" x14ac:dyDescent="0.3">
      <c r="A421" s="5" t="s">
        <v>808</v>
      </c>
      <c r="B421" s="5" t="s">
        <v>336</v>
      </c>
      <c r="C421" s="5" t="s">
        <v>59</v>
      </c>
      <c r="D421" s="5" t="s">
        <v>60</v>
      </c>
      <c r="E421" s="6" t="s">
        <v>358</v>
      </c>
      <c r="F421" s="5" t="s">
        <v>35</v>
      </c>
      <c r="G421" s="5" t="s">
        <v>25</v>
      </c>
      <c r="H421" s="5" t="s">
        <v>215</v>
      </c>
      <c r="I421" s="5" t="s">
        <v>47</v>
      </c>
      <c r="J421" s="5" t="s">
        <v>65</v>
      </c>
      <c r="K421" s="5" t="s">
        <v>102</v>
      </c>
      <c r="L421" s="7">
        <v>9789.93</v>
      </c>
      <c r="M421" s="5">
        <v>24</v>
      </c>
      <c r="N421" s="7">
        <v>234958.32</v>
      </c>
      <c r="O421" s="8">
        <v>5.3</v>
      </c>
      <c r="P421" s="7">
        <v>222505.53</v>
      </c>
      <c r="Q421" s="8">
        <v>33.4</v>
      </c>
      <c r="R421" s="7">
        <v>74316.850000000006</v>
      </c>
      <c r="S421" s="5" t="s">
        <v>40</v>
      </c>
    </row>
    <row r="422" spans="1:19" x14ac:dyDescent="0.3">
      <c r="A422" s="1" t="s">
        <v>809</v>
      </c>
      <c r="B422" s="1" t="s">
        <v>651</v>
      </c>
      <c r="C422" s="1" t="s">
        <v>68</v>
      </c>
      <c r="D422" s="1" t="s">
        <v>69</v>
      </c>
      <c r="E422" s="2" t="s">
        <v>61</v>
      </c>
      <c r="F422" s="1" t="s">
        <v>62</v>
      </c>
      <c r="G422" s="1" t="s">
        <v>109</v>
      </c>
      <c r="H422" s="1" t="s">
        <v>189</v>
      </c>
      <c r="I422" s="1" t="s">
        <v>27</v>
      </c>
      <c r="J422" s="1" t="s">
        <v>28</v>
      </c>
      <c r="K422" s="1" t="s">
        <v>102</v>
      </c>
      <c r="L422" s="3">
        <v>1536.53</v>
      </c>
      <c r="M422" s="1">
        <v>6</v>
      </c>
      <c r="N422" s="3">
        <v>9219.18</v>
      </c>
      <c r="O422" s="4">
        <v>11.6</v>
      </c>
      <c r="P422" s="3">
        <v>8149.76</v>
      </c>
      <c r="Q422" s="4">
        <v>59.8</v>
      </c>
      <c r="R422" s="3">
        <v>4873.5600000000004</v>
      </c>
      <c r="S422" s="1" t="s">
        <v>30</v>
      </c>
    </row>
    <row r="423" spans="1:19" x14ac:dyDescent="0.3">
      <c r="A423" s="5" t="s">
        <v>810</v>
      </c>
      <c r="B423" s="5" t="s">
        <v>58</v>
      </c>
      <c r="C423" s="5" t="s">
        <v>59</v>
      </c>
      <c r="D423" s="5" t="s">
        <v>60</v>
      </c>
      <c r="E423" s="6" t="s">
        <v>91</v>
      </c>
      <c r="F423" s="5" t="s">
        <v>52</v>
      </c>
      <c r="G423" s="5" t="s">
        <v>25</v>
      </c>
      <c r="H423" s="5" t="s">
        <v>215</v>
      </c>
      <c r="I423" s="5" t="s">
        <v>38</v>
      </c>
      <c r="J423" s="5" t="s">
        <v>93</v>
      </c>
      <c r="K423" s="5" t="s">
        <v>88</v>
      </c>
      <c r="L423" s="7">
        <v>3297.04</v>
      </c>
      <c r="M423" s="5">
        <v>16</v>
      </c>
      <c r="N423" s="7">
        <v>52752.639999999999</v>
      </c>
      <c r="O423" s="8">
        <v>21.6</v>
      </c>
      <c r="P423" s="7">
        <v>41358.07</v>
      </c>
      <c r="Q423" s="8">
        <v>47.3</v>
      </c>
      <c r="R423" s="7">
        <v>19562.37</v>
      </c>
      <c r="S423" s="5" t="s">
        <v>40</v>
      </c>
    </row>
    <row r="424" spans="1:19" x14ac:dyDescent="0.3">
      <c r="A424" s="1" t="s">
        <v>811</v>
      </c>
      <c r="B424" s="1" t="s">
        <v>475</v>
      </c>
      <c r="C424" s="1" t="s">
        <v>117</v>
      </c>
      <c r="D424" s="1" t="s">
        <v>86</v>
      </c>
      <c r="E424" s="2" t="s">
        <v>139</v>
      </c>
      <c r="F424" s="1" t="s">
        <v>45</v>
      </c>
      <c r="G424" s="1" t="s">
        <v>36</v>
      </c>
      <c r="H424" s="1" t="s">
        <v>105</v>
      </c>
      <c r="I424" s="1" t="s">
        <v>72</v>
      </c>
      <c r="J424" s="1" t="s">
        <v>93</v>
      </c>
      <c r="K424" s="1" t="s">
        <v>39</v>
      </c>
      <c r="L424" s="3">
        <v>684.22</v>
      </c>
      <c r="M424" s="1">
        <v>13</v>
      </c>
      <c r="N424" s="3">
        <v>8894.86</v>
      </c>
      <c r="O424" s="4">
        <v>3.5</v>
      </c>
      <c r="P424" s="3">
        <v>8583.5400000000009</v>
      </c>
      <c r="Q424" s="4">
        <v>18.2</v>
      </c>
      <c r="R424" s="3">
        <v>1562.2</v>
      </c>
      <c r="S424" s="1" t="s">
        <v>40</v>
      </c>
    </row>
    <row r="425" spans="1:19" x14ac:dyDescent="0.3">
      <c r="A425" s="5" t="s">
        <v>812</v>
      </c>
      <c r="B425" s="5" t="s">
        <v>330</v>
      </c>
      <c r="C425" s="5" t="s">
        <v>135</v>
      </c>
      <c r="D425" s="5" t="s">
        <v>69</v>
      </c>
      <c r="E425" s="6" t="s">
        <v>91</v>
      </c>
      <c r="F425" s="5" t="s">
        <v>52</v>
      </c>
      <c r="G425" s="5" t="s">
        <v>25</v>
      </c>
      <c r="H425" s="5" t="s">
        <v>132</v>
      </c>
      <c r="I425" s="5" t="s">
        <v>27</v>
      </c>
      <c r="J425" s="5" t="s">
        <v>65</v>
      </c>
      <c r="K425" s="5" t="s">
        <v>39</v>
      </c>
      <c r="L425" s="7">
        <v>980</v>
      </c>
      <c r="M425" s="5">
        <v>7</v>
      </c>
      <c r="N425" s="7">
        <v>6860</v>
      </c>
      <c r="O425" s="8">
        <v>8.1999999999999993</v>
      </c>
      <c r="P425" s="7">
        <v>6297.48</v>
      </c>
      <c r="Q425" s="8">
        <v>28.8</v>
      </c>
      <c r="R425" s="7">
        <v>1813.67</v>
      </c>
      <c r="S425" s="5" t="s">
        <v>40</v>
      </c>
    </row>
    <row r="426" spans="1:19" x14ac:dyDescent="0.3">
      <c r="A426" s="1" t="s">
        <v>813</v>
      </c>
      <c r="B426" s="1" t="s">
        <v>814</v>
      </c>
      <c r="C426" s="1" t="s">
        <v>131</v>
      </c>
      <c r="D426" s="1" t="s">
        <v>69</v>
      </c>
      <c r="E426" s="2" t="s">
        <v>125</v>
      </c>
      <c r="F426" s="1" t="s">
        <v>62</v>
      </c>
      <c r="G426" s="1" t="s">
        <v>53</v>
      </c>
      <c r="H426" s="1" t="s">
        <v>71</v>
      </c>
      <c r="I426" s="1" t="s">
        <v>38</v>
      </c>
      <c r="J426" s="1" t="s">
        <v>65</v>
      </c>
      <c r="K426" s="1" t="s">
        <v>48</v>
      </c>
      <c r="L426" s="3">
        <v>2615.56</v>
      </c>
      <c r="M426" s="1">
        <v>25</v>
      </c>
      <c r="N426" s="3">
        <v>65389</v>
      </c>
      <c r="O426" s="4">
        <v>23.9</v>
      </c>
      <c r="P426" s="3">
        <v>49761.03</v>
      </c>
      <c r="Q426" s="4">
        <v>51.4</v>
      </c>
      <c r="R426" s="3">
        <v>25577.17</v>
      </c>
      <c r="S426" s="1" t="s">
        <v>40</v>
      </c>
    </row>
    <row r="427" spans="1:19" x14ac:dyDescent="0.3">
      <c r="A427" s="5" t="s">
        <v>815</v>
      </c>
      <c r="B427" s="5" t="s">
        <v>730</v>
      </c>
      <c r="C427" s="5" t="s">
        <v>101</v>
      </c>
      <c r="D427" s="5" t="s">
        <v>60</v>
      </c>
      <c r="E427" s="6" t="s">
        <v>170</v>
      </c>
      <c r="F427" s="5" t="s">
        <v>52</v>
      </c>
      <c r="G427" s="5" t="s">
        <v>109</v>
      </c>
      <c r="H427" s="5" t="s">
        <v>152</v>
      </c>
      <c r="I427" s="5" t="s">
        <v>47</v>
      </c>
      <c r="J427" s="5" t="s">
        <v>28</v>
      </c>
      <c r="K427" s="5" t="s">
        <v>159</v>
      </c>
      <c r="L427" s="7">
        <v>783.92</v>
      </c>
      <c r="M427" s="5">
        <v>21</v>
      </c>
      <c r="N427" s="7">
        <v>16462.32</v>
      </c>
      <c r="O427" s="8">
        <v>24.7</v>
      </c>
      <c r="P427" s="7">
        <v>12396.13</v>
      </c>
      <c r="Q427" s="8">
        <v>38.299999999999997</v>
      </c>
      <c r="R427" s="7">
        <v>4747.72</v>
      </c>
      <c r="S427" s="5" t="s">
        <v>112</v>
      </c>
    </row>
    <row r="428" spans="1:19" x14ac:dyDescent="0.3">
      <c r="A428" s="1" t="s">
        <v>816</v>
      </c>
      <c r="B428" s="1" t="s">
        <v>643</v>
      </c>
      <c r="C428" s="1" t="s">
        <v>59</v>
      </c>
      <c r="D428" s="1" t="s">
        <v>60</v>
      </c>
      <c r="E428" s="2" t="s">
        <v>158</v>
      </c>
      <c r="F428" s="1" t="s">
        <v>35</v>
      </c>
      <c r="G428" s="1" t="s">
        <v>25</v>
      </c>
      <c r="H428" s="1" t="s">
        <v>215</v>
      </c>
      <c r="I428" s="1" t="s">
        <v>55</v>
      </c>
      <c r="J428" s="1" t="s">
        <v>28</v>
      </c>
      <c r="K428" s="1" t="s">
        <v>48</v>
      </c>
      <c r="L428" s="3">
        <v>21709.599999999999</v>
      </c>
      <c r="M428" s="1">
        <v>1</v>
      </c>
      <c r="N428" s="3">
        <v>21709.599999999999</v>
      </c>
      <c r="O428" s="4">
        <v>6.7</v>
      </c>
      <c r="P428" s="3">
        <v>20255.060000000001</v>
      </c>
      <c r="Q428" s="4">
        <v>33.200000000000003</v>
      </c>
      <c r="R428" s="3">
        <v>6724.68</v>
      </c>
      <c r="S428" s="1" t="s">
        <v>30</v>
      </c>
    </row>
    <row r="429" spans="1:19" x14ac:dyDescent="0.3">
      <c r="A429" s="5" t="s">
        <v>817</v>
      </c>
      <c r="B429" s="5" t="s">
        <v>203</v>
      </c>
      <c r="C429" s="5" t="s">
        <v>96</v>
      </c>
      <c r="D429" s="5" t="s">
        <v>86</v>
      </c>
      <c r="E429" s="6" t="s">
        <v>174</v>
      </c>
      <c r="F429" s="5" t="s">
        <v>45</v>
      </c>
      <c r="G429" s="5" t="s">
        <v>109</v>
      </c>
      <c r="H429" s="5" t="s">
        <v>110</v>
      </c>
      <c r="I429" s="5" t="s">
        <v>38</v>
      </c>
      <c r="J429" s="5" t="s">
        <v>93</v>
      </c>
      <c r="K429" s="5" t="s">
        <v>29</v>
      </c>
      <c r="L429" s="7">
        <v>253.53</v>
      </c>
      <c r="M429" s="5">
        <v>25</v>
      </c>
      <c r="N429" s="7">
        <v>6338.25</v>
      </c>
      <c r="O429" s="8">
        <v>2.2999999999999998</v>
      </c>
      <c r="P429" s="7">
        <v>6192.47</v>
      </c>
      <c r="Q429" s="8">
        <v>34.200000000000003</v>
      </c>
      <c r="R429" s="7">
        <v>2117.8200000000002</v>
      </c>
      <c r="S429" s="5" t="s">
        <v>40</v>
      </c>
    </row>
    <row r="430" spans="1:19" x14ac:dyDescent="0.3">
      <c r="A430" s="1" t="s">
        <v>818</v>
      </c>
      <c r="B430" s="1" t="s">
        <v>819</v>
      </c>
      <c r="C430" s="1" t="s">
        <v>117</v>
      </c>
      <c r="D430" s="1" t="s">
        <v>86</v>
      </c>
      <c r="E430" s="2" t="s">
        <v>158</v>
      </c>
      <c r="F430" s="1" t="s">
        <v>35</v>
      </c>
      <c r="G430" s="1" t="s">
        <v>36</v>
      </c>
      <c r="H430" s="1" t="s">
        <v>105</v>
      </c>
      <c r="I430" s="1" t="s">
        <v>72</v>
      </c>
      <c r="J430" s="1" t="s">
        <v>47</v>
      </c>
      <c r="K430" s="1" t="s">
        <v>39</v>
      </c>
      <c r="L430" s="3">
        <v>9941.34</v>
      </c>
      <c r="M430" s="1">
        <v>7</v>
      </c>
      <c r="N430" s="3">
        <v>69589.38</v>
      </c>
      <c r="O430" s="4">
        <v>7.6</v>
      </c>
      <c r="P430" s="3">
        <v>64300.59</v>
      </c>
      <c r="Q430" s="4">
        <v>46</v>
      </c>
      <c r="R430" s="3">
        <v>29578.27</v>
      </c>
      <c r="S430" s="1" t="s">
        <v>30</v>
      </c>
    </row>
    <row r="431" spans="1:19" x14ac:dyDescent="0.3">
      <c r="A431" s="5" t="s">
        <v>820</v>
      </c>
      <c r="B431" s="5" t="s">
        <v>821</v>
      </c>
      <c r="C431" s="5" t="s">
        <v>33</v>
      </c>
      <c r="D431" s="5" t="s">
        <v>22</v>
      </c>
      <c r="E431" s="6" t="s">
        <v>155</v>
      </c>
      <c r="F431" s="5" t="s">
        <v>24</v>
      </c>
      <c r="G431" s="5" t="s">
        <v>63</v>
      </c>
      <c r="H431" s="5" t="s">
        <v>64</v>
      </c>
      <c r="I431" s="5" t="s">
        <v>55</v>
      </c>
      <c r="J431" s="5" t="s">
        <v>47</v>
      </c>
      <c r="K431" s="5" t="s">
        <v>29</v>
      </c>
      <c r="L431" s="7">
        <v>79060.94</v>
      </c>
      <c r="M431" s="5">
        <v>16</v>
      </c>
      <c r="N431" s="7">
        <v>1264975.04</v>
      </c>
      <c r="O431" s="8">
        <v>10.7</v>
      </c>
      <c r="P431" s="7">
        <v>1129622.71</v>
      </c>
      <c r="Q431" s="8">
        <v>13.5</v>
      </c>
      <c r="R431" s="7">
        <v>152499.07</v>
      </c>
      <c r="S431" s="5" t="s">
        <v>30</v>
      </c>
    </row>
    <row r="432" spans="1:19" x14ac:dyDescent="0.3">
      <c r="A432" s="1" t="s">
        <v>822</v>
      </c>
      <c r="B432" s="1" t="s">
        <v>437</v>
      </c>
      <c r="C432" s="1" t="s">
        <v>85</v>
      </c>
      <c r="D432" s="1" t="s">
        <v>86</v>
      </c>
      <c r="E432" s="2" t="s">
        <v>148</v>
      </c>
      <c r="F432" s="1" t="s">
        <v>52</v>
      </c>
      <c r="G432" s="1" t="s">
        <v>63</v>
      </c>
      <c r="H432" s="1" t="s">
        <v>64</v>
      </c>
      <c r="I432" s="1" t="s">
        <v>27</v>
      </c>
      <c r="J432" s="1" t="s">
        <v>93</v>
      </c>
      <c r="K432" s="1" t="s">
        <v>56</v>
      </c>
      <c r="L432" s="3">
        <v>2835.5</v>
      </c>
      <c r="M432" s="1">
        <v>12</v>
      </c>
      <c r="N432" s="3">
        <v>34026</v>
      </c>
      <c r="O432" s="4">
        <v>20.9</v>
      </c>
      <c r="P432" s="3">
        <v>26914.57</v>
      </c>
      <c r="Q432" s="4">
        <v>37.1</v>
      </c>
      <c r="R432" s="3">
        <v>9985.31</v>
      </c>
      <c r="S432" s="1" t="s">
        <v>40</v>
      </c>
    </row>
    <row r="433" spans="1:19" x14ac:dyDescent="0.3">
      <c r="A433" s="5" t="s">
        <v>823</v>
      </c>
      <c r="B433" s="5" t="s">
        <v>824</v>
      </c>
      <c r="C433" s="5" t="s">
        <v>135</v>
      </c>
      <c r="D433" s="5" t="s">
        <v>69</v>
      </c>
      <c r="E433" s="6" t="s">
        <v>170</v>
      </c>
      <c r="F433" s="5" t="s">
        <v>52</v>
      </c>
      <c r="G433" s="5" t="s">
        <v>63</v>
      </c>
      <c r="H433" s="5" t="s">
        <v>64</v>
      </c>
      <c r="I433" s="5" t="s">
        <v>38</v>
      </c>
      <c r="J433" s="5" t="s">
        <v>65</v>
      </c>
      <c r="K433" s="5" t="s">
        <v>88</v>
      </c>
      <c r="L433" s="7">
        <v>1487.97</v>
      </c>
      <c r="M433" s="5">
        <v>5</v>
      </c>
      <c r="N433" s="7">
        <v>7439.85</v>
      </c>
      <c r="O433" s="8">
        <v>8.9</v>
      </c>
      <c r="P433" s="7">
        <v>6777.7</v>
      </c>
      <c r="Q433" s="8">
        <v>25.7</v>
      </c>
      <c r="R433" s="7">
        <v>1741.87</v>
      </c>
      <c r="S433" s="5" t="s">
        <v>40</v>
      </c>
    </row>
    <row r="434" spans="1:19" x14ac:dyDescent="0.3">
      <c r="A434" s="1" t="s">
        <v>825</v>
      </c>
      <c r="B434" s="1" t="s">
        <v>826</v>
      </c>
      <c r="C434" s="1" t="s">
        <v>21</v>
      </c>
      <c r="D434" s="1" t="s">
        <v>22</v>
      </c>
      <c r="E434" s="2" t="s">
        <v>44</v>
      </c>
      <c r="F434" s="1" t="s">
        <v>45</v>
      </c>
      <c r="G434" s="1" t="s">
        <v>25</v>
      </c>
      <c r="H434" s="1" t="s">
        <v>215</v>
      </c>
      <c r="I434" s="1" t="s">
        <v>47</v>
      </c>
      <c r="J434" s="1" t="s">
        <v>65</v>
      </c>
      <c r="K434" s="1" t="s">
        <v>39</v>
      </c>
      <c r="L434" s="3">
        <v>690.32</v>
      </c>
      <c r="M434" s="1">
        <v>25</v>
      </c>
      <c r="N434" s="3">
        <v>17258</v>
      </c>
      <c r="O434" s="4">
        <v>4.8</v>
      </c>
      <c r="P434" s="3">
        <v>16429.62</v>
      </c>
      <c r="Q434" s="4">
        <v>25.2</v>
      </c>
      <c r="R434" s="3">
        <v>4140.26</v>
      </c>
      <c r="S434" s="1" t="s">
        <v>40</v>
      </c>
    </row>
    <row r="435" spans="1:19" x14ac:dyDescent="0.3">
      <c r="A435" s="5" t="s">
        <v>827</v>
      </c>
      <c r="B435" s="5" t="s">
        <v>489</v>
      </c>
      <c r="C435" s="5" t="s">
        <v>75</v>
      </c>
      <c r="D435" s="5" t="s">
        <v>60</v>
      </c>
      <c r="E435" s="6" t="s">
        <v>346</v>
      </c>
      <c r="F435" s="5" t="s">
        <v>35</v>
      </c>
      <c r="G435" s="5" t="s">
        <v>109</v>
      </c>
      <c r="H435" s="5" t="s">
        <v>110</v>
      </c>
      <c r="I435" s="5" t="s">
        <v>72</v>
      </c>
      <c r="J435" s="5" t="s">
        <v>93</v>
      </c>
      <c r="K435" s="5" t="s">
        <v>78</v>
      </c>
      <c r="L435" s="7">
        <v>31327.39</v>
      </c>
      <c r="M435" s="5">
        <v>1</v>
      </c>
      <c r="N435" s="7">
        <v>31327.39</v>
      </c>
      <c r="O435" s="8">
        <v>21.2</v>
      </c>
      <c r="P435" s="7">
        <v>24685.98</v>
      </c>
      <c r="Q435" s="8">
        <v>42.5</v>
      </c>
      <c r="R435" s="7">
        <v>10491.54</v>
      </c>
      <c r="S435" s="5" t="s">
        <v>112</v>
      </c>
    </row>
    <row r="436" spans="1:19" x14ac:dyDescent="0.3">
      <c r="A436" s="1" t="s">
        <v>828</v>
      </c>
      <c r="B436" s="1" t="s">
        <v>262</v>
      </c>
      <c r="C436" s="1" t="s">
        <v>43</v>
      </c>
      <c r="D436" s="1" t="s">
        <v>22</v>
      </c>
      <c r="E436" s="2" t="s">
        <v>148</v>
      </c>
      <c r="F436" s="1" t="s">
        <v>52</v>
      </c>
      <c r="G436" s="1" t="s">
        <v>53</v>
      </c>
      <c r="H436" s="1" t="s">
        <v>54</v>
      </c>
      <c r="I436" s="1" t="s">
        <v>47</v>
      </c>
      <c r="J436" s="1" t="s">
        <v>47</v>
      </c>
      <c r="K436" s="1" t="s">
        <v>56</v>
      </c>
      <c r="L436" s="3">
        <v>1373.9</v>
      </c>
      <c r="M436" s="1">
        <v>6</v>
      </c>
      <c r="N436" s="3">
        <v>8243.4</v>
      </c>
      <c r="O436" s="4">
        <v>2.2999999999999998</v>
      </c>
      <c r="P436" s="3">
        <v>8053.8</v>
      </c>
      <c r="Q436" s="4">
        <v>37.299999999999997</v>
      </c>
      <c r="R436" s="3">
        <v>3004.07</v>
      </c>
      <c r="S436" s="1" t="s">
        <v>112</v>
      </c>
    </row>
    <row r="437" spans="1:19" x14ac:dyDescent="0.3">
      <c r="A437" s="5" t="s">
        <v>829</v>
      </c>
      <c r="B437" s="5" t="s">
        <v>830</v>
      </c>
      <c r="C437" s="5" t="s">
        <v>131</v>
      </c>
      <c r="D437" s="5" t="s">
        <v>69</v>
      </c>
      <c r="E437" s="6" t="s">
        <v>108</v>
      </c>
      <c r="F437" s="5" t="s">
        <v>35</v>
      </c>
      <c r="G437" s="5" t="s">
        <v>109</v>
      </c>
      <c r="H437" s="5" t="s">
        <v>152</v>
      </c>
      <c r="I437" s="5" t="s">
        <v>27</v>
      </c>
      <c r="J437" s="5" t="s">
        <v>65</v>
      </c>
      <c r="K437" s="5" t="s">
        <v>149</v>
      </c>
      <c r="L437" s="7">
        <v>43605.2</v>
      </c>
      <c r="M437" s="5">
        <v>1</v>
      </c>
      <c r="N437" s="7">
        <v>43605.2</v>
      </c>
      <c r="O437" s="8">
        <v>13.5</v>
      </c>
      <c r="P437" s="7">
        <v>37718.5</v>
      </c>
      <c r="Q437" s="8">
        <v>34.5</v>
      </c>
      <c r="R437" s="7">
        <v>13012.88</v>
      </c>
      <c r="S437" s="5" t="s">
        <v>79</v>
      </c>
    </row>
    <row r="438" spans="1:19" x14ac:dyDescent="0.3">
      <c r="A438" s="1" t="s">
        <v>831</v>
      </c>
      <c r="B438" s="1" t="s">
        <v>517</v>
      </c>
      <c r="C438" s="1" t="s">
        <v>75</v>
      </c>
      <c r="D438" s="1" t="s">
        <v>60</v>
      </c>
      <c r="E438" s="2" t="s">
        <v>177</v>
      </c>
      <c r="F438" s="1" t="s">
        <v>166</v>
      </c>
      <c r="G438" s="1" t="s">
        <v>36</v>
      </c>
      <c r="H438" s="1" t="s">
        <v>136</v>
      </c>
      <c r="I438" s="1" t="s">
        <v>27</v>
      </c>
      <c r="J438" s="1" t="s">
        <v>47</v>
      </c>
      <c r="K438" s="1" t="s">
        <v>39</v>
      </c>
      <c r="L438" s="3">
        <v>4645.82</v>
      </c>
      <c r="M438" s="1">
        <v>12</v>
      </c>
      <c r="N438" s="3">
        <v>55749.84</v>
      </c>
      <c r="O438" s="4">
        <v>16.899999999999999</v>
      </c>
      <c r="P438" s="3">
        <v>46328.12</v>
      </c>
      <c r="Q438" s="4">
        <v>42.3</v>
      </c>
      <c r="R438" s="3">
        <v>19596.79</v>
      </c>
      <c r="S438" s="1" t="s">
        <v>112</v>
      </c>
    </row>
    <row r="439" spans="1:19" x14ac:dyDescent="0.3">
      <c r="A439" s="5" t="s">
        <v>832</v>
      </c>
      <c r="B439" s="5" t="s">
        <v>253</v>
      </c>
      <c r="C439" s="5" t="s">
        <v>117</v>
      </c>
      <c r="D439" s="5" t="s">
        <v>86</v>
      </c>
      <c r="E439" s="6" t="s">
        <v>23</v>
      </c>
      <c r="F439" s="5" t="s">
        <v>24</v>
      </c>
      <c r="G439" s="5" t="s">
        <v>109</v>
      </c>
      <c r="H439" s="5" t="s">
        <v>189</v>
      </c>
      <c r="I439" s="5" t="s">
        <v>27</v>
      </c>
      <c r="J439" s="5" t="s">
        <v>93</v>
      </c>
      <c r="K439" s="5" t="s">
        <v>39</v>
      </c>
      <c r="L439" s="7">
        <v>79216.509999999995</v>
      </c>
      <c r="M439" s="5">
        <v>15</v>
      </c>
      <c r="N439" s="7">
        <v>1188247.6499999999</v>
      </c>
      <c r="O439" s="8">
        <v>14.1</v>
      </c>
      <c r="P439" s="7">
        <v>1020704.73</v>
      </c>
      <c r="Q439" s="8">
        <v>13.3</v>
      </c>
      <c r="R439" s="7">
        <v>135753.73000000001</v>
      </c>
      <c r="S439" s="5" t="s">
        <v>40</v>
      </c>
    </row>
    <row r="440" spans="1:19" x14ac:dyDescent="0.3">
      <c r="A440" s="1" t="s">
        <v>833</v>
      </c>
      <c r="B440" s="1" t="s">
        <v>499</v>
      </c>
      <c r="C440" s="1" t="s">
        <v>75</v>
      </c>
      <c r="D440" s="1" t="s">
        <v>60</v>
      </c>
      <c r="E440" s="2" t="s">
        <v>51</v>
      </c>
      <c r="F440" s="1" t="s">
        <v>52</v>
      </c>
      <c r="G440" s="1" t="s">
        <v>36</v>
      </c>
      <c r="H440" s="1" t="s">
        <v>136</v>
      </c>
      <c r="I440" s="1" t="s">
        <v>27</v>
      </c>
      <c r="J440" s="1" t="s">
        <v>93</v>
      </c>
      <c r="K440" s="1" t="s">
        <v>39</v>
      </c>
      <c r="L440" s="3">
        <v>6867.01</v>
      </c>
      <c r="M440" s="1">
        <v>25</v>
      </c>
      <c r="N440" s="3">
        <v>171675.25</v>
      </c>
      <c r="O440" s="4">
        <v>16.2</v>
      </c>
      <c r="P440" s="3">
        <v>143863.85999999999</v>
      </c>
      <c r="Q440" s="4">
        <v>23.8</v>
      </c>
      <c r="R440" s="3">
        <v>34239.599999999999</v>
      </c>
      <c r="S440" s="1" t="s">
        <v>112</v>
      </c>
    </row>
    <row r="441" spans="1:19" x14ac:dyDescent="0.3">
      <c r="A441" s="5" t="s">
        <v>834</v>
      </c>
      <c r="B441" s="5" t="s">
        <v>493</v>
      </c>
      <c r="C441" s="5" t="s">
        <v>43</v>
      </c>
      <c r="D441" s="5" t="s">
        <v>22</v>
      </c>
      <c r="E441" s="6" t="s">
        <v>177</v>
      </c>
      <c r="F441" s="5" t="s">
        <v>166</v>
      </c>
      <c r="G441" s="5" t="s">
        <v>36</v>
      </c>
      <c r="H441" s="5" t="s">
        <v>37</v>
      </c>
      <c r="I441" s="5" t="s">
        <v>72</v>
      </c>
      <c r="J441" s="5" t="s">
        <v>65</v>
      </c>
      <c r="K441" s="5" t="s">
        <v>48</v>
      </c>
      <c r="L441" s="7">
        <v>3223.8</v>
      </c>
      <c r="M441" s="5">
        <v>15</v>
      </c>
      <c r="N441" s="7">
        <v>48357</v>
      </c>
      <c r="O441" s="8">
        <v>5.9</v>
      </c>
      <c r="P441" s="7">
        <v>45503.94</v>
      </c>
      <c r="Q441" s="8">
        <v>44.2</v>
      </c>
      <c r="R441" s="7">
        <v>20112.740000000002</v>
      </c>
      <c r="S441" s="5" t="s">
        <v>40</v>
      </c>
    </row>
    <row r="442" spans="1:19" x14ac:dyDescent="0.3">
      <c r="A442" s="1" t="s">
        <v>835</v>
      </c>
      <c r="B442" s="1" t="s">
        <v>836</v>
      </c>
      <c r="C442" s="1" t="s">
        <v>101</v>
      </c>
      <c r="D442" s="1" t="s">
        <v>60</v>
      </c>
      <c r="E442" s="2" t="s">
        <v>70</v>
      </c>
      <c r="F442" s="1" t="s">
        <v>24</v>
      </c>
      <c r="G442" s="1" t="s">
        <v>36</v>
      </c>
      <c r="H442" s="1" t="s">
        <v>105</v>
      </c>
      <c r="I442" s="1" t="s">
        <v>27</v>
      </c>
      <c r="J442" s="1" t="s">
        <v>28</v>
      </c>
      <c r="K442" s="1" t="s">
        <v>88</v>
      </c>
      <c r="L442" s="3">
        <v>40108.230000000003</v>
      </c>
      <c r="M442" s="1">
        <v>16</v>
      </c>
      <c r="N442" s="3">
        <v>641731.68000000005</v>
      </c>
      <c r="O442" s="4">
        <v>19.399999999999999</v>
      </c>
      <c r="P442" s="3">
        <v>517235.73</v>
      </c>
      <c r="Q442" s="4">
        <v>17.3</v>
      </c>
      <c r="R442" s="3">
        <v>89481.78</v>
      </c>
      <c r="S442" s="1" t="s">
        <v>40</v>
      </c>
    </row>
    <row r="443" spans="1:19" x14ac:dyDescent="0.3">
      <c r="A443" s="5" t="s">
        <v>837</v>
      </c>
      <c r="B443" s="5" t="s">
        <v>302</v>
      </c>
      <c r="C443" s="5" t="s">
        <v>75</v>
      </c>
      <c r="D443" s="5" t="s">
        <v>60</v>
      </c>
      <c r="E443" s="6" t="s">
        <v>279</v>
      </c>
      <c r="F443" s="5" t="s">
        <v>166</v>
      </c>
      <c r="G443" s="5" t="s">
        <v>25</v>
      </c>
      <c r="H443" s="5" t="s">
        <v>215</v>
      </c>
      <c r="I443" s="5" t="s">
        <v>27</v>
      </c>
      <c r="J443" s="5" t="s">
        <v>93</v>
      </c>
      <c r="K443" s="5" t="s">
        <v>78</v>
      </c>
      <c r="L443" s="7">
        <v>3756.62</v>
      </c>
      <c r="M443" s="5">
        <v>6</v>
      </c>
      <c r="N443" s="7">
        <v>22539.72</v>
      </c>
      <c r="O443" s="8">
        <v>2.6</v>
      </c>
      <c r="P443" s="7">
        <v>21953.69</v>
      </c>
      <c r="Q443" s="8">
        <v>45</v>
      </c>
      <c r="R443" s="7">
        <v>9879.16</v>
      </c>
      <c r="S443" s="5" t="s">
        <v>40</v>
      </c>
    </row>
    <row r="444" spans="1:19" x14ac:dyDescent="0.3">
      <c r="A444" s="1" t="s">
        <v>838</v>
      </c>
      <c r="B444" s="1" t="s">
        <v>278</v>
      </c>
      <c r="C444" s="1" t="s">
        <v>43</v>
      </c>
      <c r="D444" s="1" t="s">
        <v>22</v>
      </c>
      <c r="E444" s="2" t="s">
        <v>70</v>
      </c>
      <c r="F444" s="1" t="s">
        <v>24</v>
      </c>
      <c r="G444" s="1" t="s">
        <v>63</v>
      </c>
      <c r="H444" s="1" t="s">
        <v>87</v>
      </c>
      <c r="I444" s="1" t="s">
        <v>38</v>
      </c>
      <c r="J444" s="1" t="s">
        <v>65</v>
      </c>
      <c r="K444" s="1" t="s">
        <v>102</v>
      </c>
      <c r="L444" s="3">
        <v>45146.94</v>
      </c>
      <c r="M444" s="1">
        <v>21</v>
      </c>
      <c r="N444" s="3">
        <v>948085.74</v>
      </c>
      <c r="O444" s="4">
        <v>17.899999999999999</v>
      </c>
      <c r="P444" s="3">
        <v>778378.39</v>
      </c>
      <c r="Q444" s="4">
        <v>26.4</v>
      </c>
      <c r="R444" s="3">
        <v>205491.89</v>
      </c>
      <c r="S444" s="1" t="s">
        <v>40</v>
      </c>
    </row>
    <row r="445" spans="1:19" x14ac:dyDescent="0.3">
      <c r="A445" s="5" t="s">
        <v>839</v>
      </c>
      <c r="B445" s="5" t="s">
        <v>364</v>
      </c>
      <c r="C445" s="5" t="s">
        <v>59</v>
      </c>
      <c r="D445" s="5" t="s">
        <v>60</v>
      </c>
      <c r="E445" s="6" t="s">
        <v>224</v>
      </c>
      <c r="F445" s="5" t="s">
        <v>166</v>
      </c>
      <c r="G445" s="5" t="s">
        <v>63</v>
      </c>
      <c r="H445" s="5" t="s">
        <v>87</v>
      </c>
      <c r="I445" s="5" t="s">
        <v>47</v>
      </c>
      <c r="J445" s="5" t="s">
        <v>93</v>
      </c>
      <c r="K445" s="5" t="s">
        <v>39</v>
      </c>
      <c r="L445" s="7">
        <v>2642.49</v>
      </c>
      <c r="M445" s="5">
        <v>14</v>
      </c>
      <c r="N445" s="7">
        <v>36994.86</v>
      </c>
      <c r="O445" s="8">
        <v>3</v>
      </c>
      <c r="P445" s="7">
        <v>35885.01</v>
      </c>
      <c r="Q445" s="8">
        <v>46.7</v>
      </c>
      <c r="R445" s="7">
        <v>16758.3</v>
      </c>
      <c r="S445" s="5" t="s">
        <v>40</v>
      </c>
    </row>
    <row r="446" spans="1:19" x14ac:dyDescent="0.3">
      <c r="A446" s="1" t="s">
        <v>840</v>
      </c>
      <c r="B446" s="1" t="s">
        <v>416</v>
      </c>
      <c r="C446" s="1" t="s">
        <v>135</v>
      </c>
      <c r="D446" s="1" t="s">
        <v>69</v>
      </c>
      <c r="E446" s="2" t="s">
        <v>61</v>
      </c>
      <c r="F446" s="1" t="s">
        <v>62</v>
      </c>
      <c r="G446" s="1" t="s">
        <v>25</v>
      </c>
      <c r="H446" s="1" t="s">
        <v>215</v>
      </c>
      <c r="I446" s="1" t="s">
        <v>38</v>
      </c>
      <c r="J446" s="1" t="s">
        <v>93</v>
      </c>
      <c r="K446" s="1" t="s">
        <v>78</v>
      </c>
      <c r="L446" s="3">
        <v>259.86</v>
      </c>
      <c r="M446" s="1">
        <v>3</v>
      </c>
      <c r="N446" s="3">
        <v>779.58</v>
      </c>
      <c r="O446" s="4">
        <v>7.2</v>
      </c>
      <c r="P446" s="3">
        <v>723.45</v>
      </c>
      <c r="Q446" s="4">
        <v>54.8</v>
      </c>
      <c r="R446" s="3">
        <v>396.45</v>
      </c>
      <c r="S446" s="1" t="s">
        <v>79</v>
      </c>
    </row>
    <row r="447" spans="1:19" x14ac:dyDescent="0.3">
      <c r="A447" s="5" t="s">
        <v>841</v>
      </c>
      <c r="B447" s="5" t="s">
        <v>205</v>
      </c>
      <c r="C447" s="5" t="s">
        <v>117</v>
      </c>
      <c r="D447" s="5" t="s">
        <v>86</v>
      </c>
      <c r="E447" s="6" t="s">
        <v>125</v>
      </c>
      <c r="F447" s="5" t="s">
        <v>62</v>
      </c>
      <c r="G447" s="5" t="s">
        <v>63</v>
      </c>
      <c r="H447" s="5" t="s">
        <v>87</v>
      </c>
      <c r="I447" s="5" t="s">
        <v>38</v>
      </c>
      <c r="J447" s="5" t="s">
        <v>28</v>
      </c>
      <c r="K447" s="5" t="s">
        <v>29</v>
      </c>
      <c r="L447" s="7">
        <v>764.8</v>
      </c>
      <c r="M447" s="5">
        <v>25</v>
      </c>
      <c r="N447" s="7">
        <v>19120</v>
      </c>
      <c r="O447" s="8">
        <v>22.7</v>
      </c>
      <c r="P447" s="7">
        <v>14779.76</v>
      </c>
      <c r="Q447" s="8">
        <v>49.1</v>
      </c>
      <c r="R447" s="7">
        <v>7256.86</v>
      </c>
      <c r="S447" s="5" t="s">
        <v>40</v>
      </c>
    </row>
    <row r="448" spans="1:19" x14ac:dyDescent="0.3">
      <c r="A448" s="1" t="s">
        <v>842</v>
      </c>
      <c r="B448" s="1" t="s">
        <v>50</v>
      </c>
      <c r="C448" s="1" t="s">
        <v>43</v>
      </c>
      <c r="D448" s="1" t="s">
        <v>22</v>
      </c>
      <c r="E448" s="2" t="s">
        <v>410</v>
      </c>
      <c r="F448" s="1" t="s">
        <v>166</v>
      </c>
      <c r="G448" s="1" t="s">
        <v>109</v>
      </c>
      <c r="H448" s="1" t="s">
        <v>189</v>
      </c>
      <c r="I448" s="1" t="s">
        <v>38</v>
      </c>
      <c r="J448" s="1" t="s">
        <v>28</v>
      </c>
      <c r="K448" s="1" t="s">
        <v>111</v>
      </c>
      <c r="L448" s="3">
        <v>4512.97</v>
      </c>
      <c r="M448" s="1">
        <v>3</v>
      </c>
      <c r="N448" s="3">
        <v>13538.91</v>
      </c>
      <c r="O448" s="4">
        <v>22.1</v>
      </c>
      <c r="P448" s="3">
        <v>10546.81</v>
      </c>
      <c r="Q448" s="4">
        <v>38.5</v>
      </c>
      <c r="R448" s="3">
        <v>4060.52</v>
      </c>
      <c r="S448" s="1" t="s">
        <v>40</v>
      </c>
    </row>
    <row r="449" spans="1:19" x14ac:dyDescent="0.3">
      <c r="A449" s="5" t="s">
        <v>843</v>
      </c>
      <c r="B449" s="5" t="s">
        <v>232</v>
      </c>
      <c r="C449" s="5" t="s">
        <v>68</v>
      </c>
      <c r="D449" s="5" t="s">
        <v>69</v>
      </c>
      <c r="E449" s="6" t="s">
        <v>70</v>
      </c>
      <c r="F449" s="5" t="s">
        <v>24</v>
      </c>
      <c r="G449" s="5" t="s">
        <v>63</v>
      </c>
      <c r="H449" s="5" t="s">
        <v>64</v>
      </c>
      <c r="I449" s="5" t="s">
        <v>27</v>
      </c>
      <c r="J449" s="5" t="s">
        <v>65</v>
      </c>
      <c r="K449" s="5" t="s">
        <v>78</v>
      </c>
      <c r="L449" s="7">
        <v>91809.46</v>
      </c>
      <c r="M449" s="5">
        <v>5</v>
      </c>
      <c r="N449" s="7">
        <v>459047.3</v>
      </c>
      <c r="O449" s="8">
        <v>1.6</v>
      </c>
      <c r="P449" s="7">
        <v>451702.54</v>
      </c>
      <c r="Q449" s="8">
        <v>28.4</v>
      </c>
      <c r="R449" s="7">
        <v>128283.52</v>
      </c>
      <c r="S449" s="5" t="s">
        <v>112</v>
      </c>
    </row>
    <row r="450" spans="1:19" x14ac:dyDescent="0.3">
      <c r="A450" s="1" t="s">
        <v>844</v>
      </c>
      <c r="B450" s="1" t="s">
        <v>845</v>
      </c>
      <c r="C450" s="1" t="s">
        <v>21</v>
      </c>
      <c r="D450" s="1" t="s">
        <v>22</v>
      </c>
      <c r="E450" s="2" t="s">
        <v>82</v>
      </c>
      <c r="F450" s="1" t="s">
        <v>24</v>
      </c>
      <c r="G450" s="1" t="s">
        <v>53</v>
      </c>
      <c r="H450" s="1" t="s">
        <v>77</v>
      </c>
      <c r="I450" s="1" t="s">
        <v>72</v>
      </c>
      <c r="J450" s="1" t="s">
        <v>93</v>
      </c>
      <c r="K450" s="1" t="s">
        <v>102</v>
      </c>
      <c r="L450" s="3">
        <v>63275.93</v>
      </c>
      <c r="M450" s="1">
        <v>8</v>
      </c>
      <c r="N450" s="3">
        <v>506207.44</v>
      </c>
      <c r="O450" s="4">
        <v>1</v>
      </c>
      <c r="P450" s="3">
        <v>501145.37</v>
      </c>
      <c r="Q450" s="4">
        <v>28.2</v>
      </c>
      <c r="R450" s="3">
        <v>141322.99</v>
      </c>
      <c r="S450" s="1" t="s">
        <v>40</v>
      </c>
    </row>
    <row r="451" spans="1:19" x14ac:dyDescent="0.3">
      <c r="A451" s="5" t="s">
        <v>846</v>
      </c>
      <c r="B451" s="5" t="s">
        <v>690</v>
      </c>
      <c r="C451" s="5" t="s">
        <v>33</v>
      </c>
      <c r="D451" s="5" t="s">
        <v>22</v>
      </c>
      <c r="E451" s="6" t="s">
        <v>51</v>
      </c>
      <c r="F451" s="5" t="s">
        <v>52</v>
      </c>
      <c r="G451" s="5" t="s">
        <v>36</v>
      </c>
      <c r="H451" s="5" t="s">
        <v>37</v>
      </c>
      <c r="I451" s="5" t="s">
        <v>27</v>
      </c>
      <c r="J451" s="5" t="s">
        <v>28</v>
      </c>
      <c r="K451" s="5" t="s">
        <v>111</v>
      </c>
      <c r="L451" s="7">
        <v>6277.76</v>
      </c>
      <c r="M451" s="5">
        <v>23</v>
      </c>
      <c r="N451" s="7">
        <v>144388.48000000001</v>
      </c>
      <c r="O451" s="8">
        <v>9.3000000000000007</v>
      </c>
      <c r="P451" s="7">
        <v>130960.35</v>
      </c>
      <c r="Q451" s="8">
        <v>25.5</v>
      </c>
      <c r="R451" s="7">
        <v>33394.89</v>
      </c>
      <c r="S451" s="5" t="s">
        <v>79</v>
      </c>
    </row>
    <row r="452" spans="1:19" x14ac:dyDescent="0.3">
      <c r="A452" s="1" t="s">
        <v>847</v>
      </c>
      <c r="B452" s="1" t="s">
        <v>739</v>
      </c>
      <c r="C452" s="1" t="s">
        <v>101</v>
      </c>
      <c r="D452" s="1" t="s">
        <v>60</v>
      </c>
      <c r="E452" s="2" t="s">
        <v>279</v>
      </c>
      <c r="F452" s="1" t="s">
        <v>166</v>
      </c>
      <c r="G452" s="1" t="s">
        <v>36</v>
      </c>
      <c r="H452" s="1" t="s">
        <v>136</v>
      </c>
      <c r="I452" s="1" t="s">
        <v>47</v>
      </c>
      <c r="J452" s="1" t="s">
        <v>93</v>
      </c>
      <c r="K452" s="1" t="s">
        <v>39</v>
      </c>
      <c r="L452" s="3">
        <v>3423.71</v>
      </c>
      <c r="M452" s="1">
        <v>18</v>
      </c>
      <c r="N452" s="3">
        <v>61626.78</v>
      </c>
      <c r="O452" s="4">
        <v>2.8</v>
      </c>
      <c r="P452" s="3">
        <v>59901.23</v>
      </c>
      <c r="Q452" s="4">
        <v>47.3</v>
      </c>
      <c r="R452" s="3">
        <v>28333.279999999999</v>
      </c>
      <c r="S452" s="1" t="s">
        <v>40</v>
      </c>
    </row>
    <row r="453" spans="1:19" x14ac:dyDescent="0.3">
      <c r="A453" s="5" t="s">
        <v>848</v>
      </c>
      <c r="B453" s="5" t="s">
        <v>223</v>
      </c>
      <c r="C453" s="5" t="s">
        <v>33</v>
      </c>
      <c r="D453" s="5" t="s">
        <v>22</v>
      </c>
      <c r="E453" s="6" t="s">
        <v>118</v>
      </c>
      <c r="F453" s="5" t="s">
        <v>62</v>
      </c>
      <c r="G453" s="5" t="s">
        <v>63</v>
      </c>
      <c r="H453" s="5" t="s">
        <v>92</v>
      </c>
      <c r="I453" s="5" t="s">
        <v>38</v>
      </c>
      <c r="J453" s="5" t="s">
        <v>47</v>
      </c>
      <c r="K453" s="5" t="s">
        <v>39</v>
      </c>
      <c r="L453" s="7">
        <v>1419.21</v>
      </c>
      <c r="M453" s="5">
        <v>3</v>
      </c>
      <c r="N453" s="7">
        <v>4257.63</v>
      </c>
      <c r="O453" s="8">
        <v>9.4</v>
      </c>
      <c r="P453" s="7">
        <v>3857.41</v>
      </c>
      <c r="Q453" s="8">
        <v>51.1</v>
      </c>
      <c r="R453" s="7">
        <v>1971.14</v>
      </c>
      <c r="S453" s="5" t="s">
        <v>40</v>
      </c>
    </row>
    <row r="454" spans="1:19" x14ac:dyDescent="0.3">
      <c r="A454" s="1" t="s">
        <v>849</v>
      </c>
      <c r="B454" s="1" t="s">
        <v>675</v>
      </c>
      <c r="C454" s="1" t="s">
        <v>75</v>
      </c>
      <c r="D454" s="1" t="s">
        <v>60</v>
      </c>
      <c r="E454" s="2" t="s">
        <v>165</v>
      </c>
      <c r="F454" s="1" t="s">
        <v>166</v>
      </c>
      <c r="G454" s="1" t="s">
        <v>63</v>
      </c>
      <c r="H454" s="1" t="s">
        <v>167</v>
      </c>
      <c r="I454" s="1" t="s">
        <v>55</v>
      </c>
      <c r="J454" s="1" t="s">
        <v>65</v>
      </c>
      <c r="K454" s="1" t="s">
        <v>29</v>
      </c>
      <c r="L454" s="3">
        <v>1940.2</v>
      </c>
      <c r="M454" s="1">
        <v>3</v>
      </c>
      <c r="N454" s="3">
        <v>5820.6</v>
      </c>
      <c r="O454" s="4">
        <v>21.6</v>
      </c>
      <c r="P454" s="3">
        <v>4563.3500000000004</v>
      </c>
      <c r="Q454" s="4">
        <v>61.3</v>
      </c>
      <c r="R454" s="3">
        <v>2797.33</v>
      </c>
      <c r="S454" s="1" t="s">
        <v>40</v>
      </c>
    </row>
    <row r="455" spans="1:19" x14ac:dyDescent="0.3">
      <c r="A455" s="5" t="s">
        <v>850</v>
      </c>
      <c r="B455" s="5" t="s">
        <v>445</v>
      </c>
      <c r="C455" s="5" t="s">
        <v>43</v>
      </c>
      <c r="D455" s="5" t="s">
        <v>22</v>
      </c>
      <c r="E455" s="6" t="s">
        <v>108</v>
      </c>
      <c r="F455" s="5" t="s">
        <v>35</v>
      </c>
      <c r="G455" s="5" t="s">
        <v>53</v>
      </c>
      <c r="H455" s="5" t="s">
        <v>54</v>
      </c>
      <c r="I455" s="5" t="s">
        <v>55</v>
      </c>
      <c r="J455" s="5" t="s">
        <v>65</v>
      </c>
      <c r="K455" s="5" t="s">
        <v>159</v>
      </c>
      <c r="L455" s="7">
        <v>8157.26</v>
      </c>
      <c r="M455" s="5">
        <v>13</v>
      </c>
      <c r="N455" s="7">
        <v>106044.38</v>
      </c>
      <c r="O455" s="8">
        <v>16.8</v>
      </c>
      <c r="P455" s="7">
        <v>88228.92</v>
      </c>
      <c r="Q455" s="8">
        <v>51.8</v>
      </c>
      <c r="R455" s="7">
        <v>45702.58</v>
      </c>
      <c r="S455" s="5" t="s">
        <v>40</v>
      </c>
    </row>
    <row r="456" spans="1:19" x14ac:dyDescent="0.3">
      <c r="A456" s="1" t="s">
        <v>851</v>
      </c>
      <c r="B456" s="1" t="s">
        <v>852</v>
      </c>
      <c r="C456" s="1" t="s">
        <v>135</v>
      </c>
      <c r="D456" s="1" t="s">
        <v>69</v>
      </c>
      <c r="E456" s="2" t="s">
        <v>194</v>
      </c>
      <c r="F456" s="1" t="s">
        <v>52</v>
      </c>
      <c r="G456" s="1" t="s">
        <v>53</v>
      </c>
      <c r="H456" s="1" t="s">
        <v>77</v>
      </c>
      <c r="I456" s="1" t="s">
        <v>72</v>
      </c>
      <c r="J456" s="1" t="s">
        <v>93</v>
      </c>
      <c r="K456" s="1" t="s">
        <v>56</v>
      </c>
      <c r="L456" s="3">
        <v>2209.16</v>
      </c>
      <c r="M456" s="1">
        <v>8</v>
      </c>
      <c r="N456" s="3">
        <v>17673.28</v>
      </c>
      <c r="O456" s="4">
        <v>3.5</v>
      </c>
      <c r="P456" s="3">
        <v>17054.72</v>
      </c>
      <c r="Q456" s="4">
        <v>44.7</v>
      </c>
      <c r="R456" s="3">
        <v>7623.46</v>
      </c>
      <c r="S456" s="1" t="s">
        <v>40</v>
      </c>
    </row>
    <row r="457" spans="1:19" x14ac:dyDescent="0.3">
      <c r="A457" s="5" t="s">
        <v>853</v>
      </c>
      <c r="B457" s="5" t="s">
        <v>780</v>
      </c>
      <c r="C457" s="5" t="s">
        <v>117</v>
      </c>
      <c r="D457" s="5" t="s">
        <v>86</v>
      </c>
      <c r="E457" s="6" t="s">
        <v>158</v>
      </c>
      <c r="F457" s="5" t="s">
        <v>35</v>
      </c>
      <c r="G457" s="5" t="s">
        <v>36</v>
      </c>
      <c r="H457" s="5" t="s">
        <v>119</v>
      </c>
      <c r="I457" s="5" t="s">
        <v>72</v>
      </c>
      <c r="J457" s="5" t="s">
        <v>65</v>
      </c>
      <c r="K457" s="5" t="s">
        <v>39</v>
      </c>
      <c r="L457" s="7">
        <v>36636.57</v>
      </c>
      <c r="M457" s="5">
        <v>3</v>
      </c>
      <c r="N457" s="7">
        <v>109909.71</v>
      </c>
      <c r="O457" s="8">
        <v>20.7</v>
      </c>
      <c r="P457" s="7">
        <v>87158.399999999994</v>
      </c>
      <c r="Q457" s="8">
        <v>52</v>
      </c>
      <c r="R457" s="7">
        <v>45322.37</v>
      </c>
      <c r="S457" s="5" t="s">
        <v>40</v>
      </c>
    </row>
    <row r="458" spans="1:19" x14ac:dyDescent="0.3">
      <c r="A458" s="1" t="s">
        <v>854</v>
      </c>
      <c r="B458" s="1" t="s">
        <v>326</v>
      </c>
      <c r="C458" s="1" t="s">
        <v>68</v>
      </c>
      <c r="D458" s="1" t="s">
        <v>69</v>
      </c>
      <c r="E458" s="2" t="s">
        <v>34</v>
      </c>
      <c r="F458" s="1" t="s">
        <v>35</v>
      </c>
      <c r="G458" s="1" t="s">
        <v>36</v>
      </c>
      <c r="H458" s="1" t="s">
        <v>119</v>
      </c>
      <c r="I458" s="1" t="s">
        <v>55</v>
      </c>
      <c r="J458" s="1" t="s">
        <v>47</v>
      </c>
      <c r="K458" s="1" t="s">
        <v>29</v>
      </c>
      <c r="L458" s="3">
        <v>17742.52</v>
      </c>
      <c r="M458" s="1">
        <v>2</v>
      </c>
      <c r="N458" s="3">
        <v>35485.040000000001</v>
      </c>
      <c r="O458" s="4">
        <v>15.7</v>
      </c>
      <c r="P458" s="3">
        <v>29913.89</v>
      </c>
      <c r="Q458" s="4">
        <v>49.8</v>
      </c>
      <c r="R458" s="3">
        <v>14897.12</v>
      </c>
      <c r="S458" s="1" t="s">
        <v>79</v>
      </c>
    </row>
    <row r="459" spans="1:19" x14ac:dyDescent="0.3">
      <c r="A459" s="5" t="s">
        <v>855</v>
      </c>
      <c r="B459" s="5" t="s">
        <v>725</v>
      </c>
      <c r="C459" s="5" t="s">
        <v>101</v>
      </c>
      <c r="D459" s="5" t="s">
        <v>60</v>
      </c>
      <c r="E459" s="6" t="s">
        <v>320</v>
      </c>
      <c r="F459" s="5" t="s">
        <v>24</v>
      </c>
      <c r="G459" s="5" t="s">
        <v>36</v>
      </c>
      <c r="H459" s="5" t="s">
        <v>37</v>
      </c>
      <c r="I459" s="5" t="s">
        <v>72</v>
      </c>
      <c r="J459" s="5" t="s">
        <v>28</v>
      </c>
      <c r="K459" s="5" t="s">
        <v>149</v>
      </c>
      <c r="L459" s="7">
        <v>69123.58</v>
      </c>
      <c r="M459" s="5">
        <v>1</v>
      </c>
      <c r="N459" s="7">
        <v>69123.58</v>
      </c>
      <c r="O459" s="8">
        <v>3.6</v>
      </c>
      <c r="P459" s="7">
        <v>66635.13</v>
      </c>
      <c r="Q459" s="8">
        <v>22.6</v>
      </c>
      <c r="R459" s="7">
        <v>15059.54</v>
      </c>
      <c r="S459" s="5" t="s">
        <v>40</v>
      </c>
    </row>
    <row r="460" spans="1:19" x14ac:dyDescent="0.3">
      <c r="A460" s="1" t="s">
        <v>856</v>
      </c>
      <c r="B460" s="1" t="s">
        <v>714</v>
      </c>
      <c r="C460" s="1" t="s">
        <v>96</v>
      </c>
      <c r="D460" s="1" t="s">
        <v>86</v>
      </c>
      <c r="E460" s="2" t="s">
        <v>125</v>
      </c>
      <c r="F460" s="1" t="s">
        <v>62</v>
      </c>
      <c r="G460" s="1" t="s">
        <v>53</v>
      </c>
      <c r="H460" s="1" t="s">
        <v>71</v>
      </c>
      <c r="I460" s="1" t="s">
        <v>27</v>
      </c>
      <c r="J460" s="1" t="s">
        <v>28</v>
      </c>
      <c r="K460" s="1" t="s">
        <v>29</v>
      </c>
      <c r="L460" s="3">
        <v>1901.17</v>
      </c>
      <c r="M460" s="1">
        <v>9</v>
      </c>
      <c r="N460" s="3">
        <v>17110.53</v>
      </c>
      <c r="O460" s="4">
        <v>10.1</v>
      </c>
      <c r="P460" s="3">
        <v>15382.37</v>
      </c>
      <c r="Q460" s="4">
        <v>48.1</v>
      </c>
      <c r="R460" s="3">
        <v>7398.92</v>
      </c>
      <c r="S460" s="1" t="s">
        <v>112</v>
      </c>
    </row>
    <row r="461" spans="1:19" x14ac:dyDescent="0.3">
      <c r="A461" s="5" t="s">
        <v>857</v>
      </c>
      <c r="B461" s="5" t="s">
        <v>144</v>
      </c>
      <c r="C461" s="5" t="s">
        <v>75</v>
      </c>
      <c r="D461" s="5" t="s">
        <v>60</v>
      </c>
      <c r="E461" s="6" t="s">
        <v>180</v>
      </c>
      <c r="F461" s="5" t="s">
        <v>166</v>
      </c>
      <c r="G461" s="5" t="s">
        <v>36</v>
      </c>
      <c r="H461" s="5" t="s">
        <v>136</v>
      </c>
      <c r="I461" s="5" t="s">
        <v>47</v>
      </c>
      <c r="J461" s="5" t="s">
        <v>93</v>
      </c>
      <c r="K461" s="5" t="s">
        <v>48</v>
      </c>
      <c r="L461" s="7">
        <v>2173.46</v>
      </c>
      <c r="M461" s="5">
        <v>15</v>
      </c>
      <c r="N461" s="7">
        <v>32601.9</v>
      </c>
      <c r="O461" s="8">
        <v>0.9</v>
      </c>
      <c r="P461" s="7">
        <v>32308.48</v>
      </c>
      <c r="Q461" s="8">
        <v>43.4</v>
      </c>
      <c r="R461" s="7">
        <v>14021.88</v>
      </c>
      <c r="S461" s="5" t="s">
        <v>112</v>
      </c>
    </row>
    <row r="462" spans="1:19" x14ac:dyDescent="0.3">
      <c r="A462" s="1" t="s">
        <v>858</v>
      </c>
      <c r="B462" s="1" t="s">
        <v>188</v>
      </c>
      <c r="C462" s="1" t="s">
        <v>131</v>
      </c>
      <c r="D462" s="1" t="s">
        <v>69</v>
      </c>
      <c r="E462" s="2" t="s">
        <v>70</v>
      </c>
      <c r="F462" s="1" t="s">
        <v>24</v>
      </c>
      <c r="G462" s="1" t="s">
        <v>53</v>
      </c>
      <c r="H462" s="1" t="s">
        <v>71</v>
      </c>
      <c r="I462" s="1" t="s">
        <v>27</v>
      </c>
      <c r="J462" s="1" t="s">
        <v>65</v>
      </c>
      <c r="K462" s="1" t="s">
        <v>56</v>
      </c>
      <c r="L462" s="3">
        <v>87428.23</v>
      </c>
      <c r="M462" s="1">
        <v>8</v>
      </c>
      <c r="N462" s="3">
        <v>699425.84</v>
      </c>
      <c r="O462" s="4">
        <v>3.1</v>
      </c>
      <c r="P462" s="3">
        <v>677743.64</v>
      </c>
      <c r="Q462" s="4">
        <v>22.4</v>
      </c>
      <c r="R462" s="3">
        <v>151814.57999999999</v>
      </c>
      <c r="S462" s="1" t="s">
        <v>30</v>
      </c>
    </row>
    <row r="463" spans="1:19" x14ac:dyDescent="0.3">
      <c r="A463" s="5" t="s">
        <v>859</v>
      </c>
      <c r="B463" s="5" t="s">
        <v>625</v>
      </c>
      <c r="C463" s="5" t="s">
        <v>43</v>
      </c>
      <c r="D463" s="5" t="s">
        <v>22</v>
      </c>
      <c r="E463" s="6" t="s">
        <v>224</v>
      </c>
      <c r="F463" s="5" t="s">
        <v>166</v>
      </c>
      <c r="G463" s="5" t="s">
        <v>63</v>
      </c>
      <c r="H463" s="5" t="s">
        <v>92</v>
      </c>
      <c r="I463" s="5" t="s">
        <v>55</v>
      </c>
      <c r="J463" s="5" t="s">
        <v>28</v>
      </c>
      <c r="K463" s="5" t="s">
        <v>39</v>
      </c>
      <c r="L463" s="7">
        <v>4158.33</v>
      </c>
      <c r="M463" s="5">
        <v>1</v>
      </c>
      <c r="N463" s="7">
        <v>4158.33</v>
      </c>
      <c r="O463" s="8">
        <v>12.1</v>
      </c>
      <c r="P463" s="7">
        <v>3655.17</v>
      </c>
      <c r="Q463" s="8">
        <v>43.2</v>
      </c>
      <c r="R463" s="7">
        <v>1579.03</v>
      </c>
      <c r="S463" s="5" t="s">
        <v>40</v>
      </c>
    </row>
    <row r="464" spans="1:19" x14ac:dyDescent="0.3">
      <c r="A464" s="1" t="s">
        <v>860</v>
      </c>
      <c r="B464" s="1" t="s">
        <v>412</v>
      </c>
      <c r="C464" s="1" t="s">
        <v>135</v>
      </c>
      <c r="D464" s="1" t="s">
        <v>69</v>
      </c>
      <c r="E464" s="2" t="s">
        <v>97</v>
      </c>
      <c r="F464" s="1" t="s">
        <v>35</v>
      </c>
      <c r="G464" s="1" t="s">
        <v>36</v>
      </c>
      <c r="H464" s="1" t="s">
        <v>119</v>
      </c>
      <c r="I464" s="1" t="s">
        <v>47</v>
      </c>
      <c r="J464" s="1" t="s">
        <v>28</v>
      </c>
      <c r="K464" s="1" t="s">
        <v>159</v>
      </c>
      <c r="L464" s="3">
        <v>4386.37</v>
      </c>
      <c r="M464" s="1">
        <v>14</v>
      </c>
      <c r="N464" s="3">
        <v>61409.18</v>
      </c>
      <c r="O464" s="4">
        <v>5.7</v>
      </c>
      <c r="P464" s="3">
        <v>57908.86</v>
      </c>
      <c r="Q464" s="4">
        <v>48.2</v>
      </c>
      <c r="R464" s="3">
        <v>27912.07</v>
      </c>
      <c r="S464" s="1" t="s">
        <v>40</v>
      </c>
    </row>
    <row r="465" spans="1:19" x14ac:dyDescent="0.3">
      <c r="A465" s="5" t="s">
        <v>861</v>
      </c>
      <c r="B465" s="5" t="s">
        <v>862</v>
      </c>
      <c r="C465" s="5" t="s">
        <v>96</v>
      </c>
      <c r="D465" s="5" t="s">
        <v>86</v>
      </c>
      <c r="E465" s="6" t="s">
        <v>91</v>
      </c>
      <c r="F465" s="5" t="s">
        <v>52</v>
      </c>
      <c r="G465" s="5" t="s">
        <v>25</v>
      </c>
      <c r="H465" s="5" t="s">
        <v>215</v>
      </c>
      <c r="I465" s="5" t="s">
        <v>72</v>
      </c>
      <c r="J465" s="5" t="s">
        <v>28</v>
      </c>
      <c r="K465" s="5" t="s">
        <v>159</v>
      </c>
      <c r="L465" s="7">
        <v>6340.64</v>
      </c>
      <c r="M465" s="5">
        <v>7</v>
      </c>
      <c r="N465" s="7">
        <v>44384.480000000003</v>
      </c>
      <c r="O465" s="8">
        <v>19.899999999999999</v>
      </c>
      <c r="P465" s="7">
        <v>35551.97</v>
      </c>
      <c r="Q465" s="8">
        <v>32.700000000000003</v>
      </c>
      <c r="R465" s="7">
        <v>11625.49</v>
      </c>
      <c r="S465" s="5" t="s">
        <v>79</v>
      </c>
    </row>
    <row r="466" spans="1:19" x14ac:dyDescent="0.3">
      <c r="A466" s="1" t="s">
        <v>863</v>
      </c>
      <c r="B466" s="1" t="s">
        <v>421</v>
      </c>
      <c r="C466" s="1" t="s">
        <v>21</v>
      </c>
      <c r="D466" s="1" t="s">
        <v>22</v>
      </c>
      <c r="E466" s="2" t="s">
        <v>142</v>
      </c>
      <c r="F466" s="1" t="s">
        <v>24</v>
      </c>
      <c r="G466" s="1" t="s">
        <v>53</v>
      </c>
      <c r="H466" s="1" t="s">
        <v>54</v>
      </c>
      <c r="I466" s="1" t="s">
        <v>27</v>
      </c>
      <c r="J466" s="1" t="s">
        <v>93</v>
      </c>
      <c r="K466" s="1" t="s">
        <v>111</v>
      </c>
      <c r="L466" s="3">
        <v>72615.31</v>
      </c>
      <c r="M466" s="1">
        <v>19</v>
      </c>
      <c r="N466" s="3">
        <v>1379690.89</v>
      </c>
      <c r="O466" s="4">
        <v>12</v>
      </c>
      <c r="P466" s="3">
        <v>1214127.98</v>
      </c>
      <c r="Q466" s="4">
        <v>22.5</v>
      </c>
      <c r="R466" s="3">
        <v>273178.8</v>
      </c>
      <c r="S466" s="1" t="s">
        <v>40</v>
      </c>
    </row>
    <row r="467" spans="1:19" x14ac:dyDescent="0.3">
      <c r="A467" s="5" t="s">
        <v>864</v>
      </c>
      <c r="B467" s="5" t="s">
        <v>210</v>
      </c>
      <c r="C467" s="5" t="s">
        <v>33</v>
      </c>
      <c r="D467" s="5" t="s">
        <v>22</v>
      </c>
      <c r="E467" s="6" t="s">
        <v>118</v>
      </c>
      <c r="F467" s="5" t="s">
        <v>62</v>
      </c>
      <c r="G467" s="5" t="s">
        <v>25</v>
      </c>
      <c r="H467" s="5" t="s">
        <v>215</v>
      </c>
      <c r="I467" s="5" t="s">
        <v>47</v>
      </c>
      <c r="J467" s="5" t="s">
        <v>47</v>
      </c>
      <c r="K467" s="5" t="s">
        <v>111</v>
      </c>
      <c r="L467" s="7">
        <v>1464.13</v>
      </c>
      <c r="M467" s="5">
        <v>6</v>
      </c>
      <c r="N467" s="7">
        <v>8784.7800000000007</v>
      </c>
      <c r="O467" s="8">
        <v>21.5</v>
      </c>
      <c r="P467" s="7">
        <v>6896.05</v>
      </c>
      <c r="Q467" s="8">
        <v>49.2</v>
      </c>
      <c r="R467" s="7">
        <v>3392.86</v>
      </c>
      <c r="S467" s="5" t="s">
        <v>40</v>
      </c>
    </row>
    <row r="468" spans="1:19" x14ac:dyDescent="0.3">
      <c r="A468" s="1" t="s">
        <v>865</v>
      </c>
      <c r="B468" s="1" t="s">
        <v>405</v>
      </c>
      <c r="C468" s="1" t="s">
        <v>68</v>
      </c>
      <c r="D468" s="1" t="s">
        <v>69</v>
      </c>
      <c r="E468" s="2" t="s">
        <v>184</v>
      </c>
      <c r="F468" s="1" t="s">
        <v>45</v>
      </c>
      <c r="G468" s="1" t="s">
        <v>25</v>
      </c>
      <c r="H468" s="1" t="s">
        <v>215</v>
      </c>
      <c r="I468" s="1" t="s">
        <v>38</v>
      </c>
      <c r="J468" s="1" t="s">
        <v>28</v>
      </c>
      <c r="K468" s="1" t="s">
        <v>39</v>
      </c>
      <c r="L468" s="3">
        <v>655.35</v>
      </c>
      <c r="M468" s="1">
        <v>16</v>
      </c>
      <c r="N468" s="3">
        <v>10485.6</v>
      </c>
      <c r="O468" s="4">
        <v>8.9</v>
      </c>
      <c r="P468" s="3">
        <v>9552.3799999999992</v>
      </c>
      <c r="Q468" s="4">
        <v>32.6</v>
      </c>
      <c r="R468" s="3">
        <v>3114.08</v>
      </c>
      <c r="S468" s="1" t="s">
        <v>40</v>
      </c>
    </row>
    <row r="469" spans="1:19" x14ac:dyDescent="0.3">
      <c r="A469" s="5" t="s">
        <v>866</v>
      </c>
      <c r="B469" s="5" t="s">
        <v>550</v>
      </c>
      <c r="C469" s="5" t="s">
        <v>33</v>
      </c>
      <c r="D469" s="5" t="s">
        <v>22</v>
      </c>
      <c r="E469" s="6" t="s">
        <v>224</v>
      </c>
      <c r="F469" s="5" t="s">
        <v>166</v>
      </c>
      <c r="G469" s="5" t="s">
        <v>25</v>
      </c>
      <c r="H469" s="5" t="s">
        <v>215</v>
      </c>
      <c r="I469" s="5" t="s">
        <v>38</v>
      </c>
      <c r="J469" s="5" t="s">
        <v>47</v>
      </c>
      <c r="K469" s="5" t="s">
        <v>102</v>
      </c>
      <c r="L469" s="7">
        <v>4188.05</v>
      </c>
      <c r="M469" s="5">
        <v>10</v>
      </c>
      <c r="N469" s="7">
        <v>41880.5</v>
      </c>
      <c r="O469" s="8">
        <v>9.9</v>
      </c>
      <c r="P469" s="7">
        <v>37734.33</v>
      </c>
      <c r="Q469" s="8">
        <v>40.9</v>
      </c>
      <c r="R469" s="7">
        <v>15433.34</v>
      </c>
      <c r="S469" s="5" t="s">
        <v>79</v>
      </c>
    </row>
    <row r="470" spans="1:19" x14ac:dyDescent="0.3">
      <c r="A470" s="1" t="s">
        <v>867</v>
      </c>
      <c r="B470" s="1" t="s">
        <v>643</v>
      </c>
      <c r="C470" s="1" t="s">
        <v>59</v>
      </c>
      <c r="D470" s="1" t="s">
        <v>60</v>
      </c>
      <c r="E470" s="2" t="s">
        <v>155</v>
      </c>
      <c r="F470" s="1" t="s">
        <v>24</v>
      </c>
      <c r="G470" s="1" t="s">
        <v>63</v>
      </c>
      <c r="H470" s="1" t="s">
        <v>92</v>
      </c>
      <c r="I470" s="1" t="s">
        <v>27</v>
      </c>
      <c r="J470" s="1" t="s">
        <v>65</v>
      </c>
      <c r="K470" s="1" t="s">
        <v>159</v>
      </c>
      <c r="L470" s="3">
        <v>91938.19</v>
      </c>
      <c r="M470" s="1">
        <v>6</v>
      </c>
      <c r="N470" s="3">
        <v>551629.14</v>
      </c>
      <c r="O470" s="4">
        <v>6.2</v>
      </c>
      <c r="P470" s="3">
        <v>517428.13</v>
      </c>
      <c r="Q470" s="4">
        <v>26.1</v>
      </c>
      <c r="R470" s="3">
        <v>135048.74</v>
      </c>
      <c r="S470" s="1" t="s">
        <v>40</v>
      </c>
    </row>
    <row r="471" spans="1:19" x14ac:dyDescent="0.3">
      <c r="A471" s="5" t="s">
        <v>868</v>
      </c>
      <c r="B471" s="5" t="s">
        <v>714</v>
      </c>
      <c r="C471" s="5" t="s">
        <v>96</v>
      </c>
      <c r="D471" s="5" t="s">
        <v>86</v>
      </c>
      <c r="E471" s="6" t="s">
        <v>34</v>
      </c>
      <c r="F471" s="5" t="s">
        <v>35</v>
      </c>
      <c r="G471" s="5" t="s">
        <v>25</v>
      </c>
      <c r="H471" s="5" t="s">
        <v>26</v>
      </c>
      <c r="I471" s="5" t="s">
        <v>47</v>
      </c>
      <c r="J471" s="5" t="s">
        <v>93</v>
      </c>
      <c r="K471" s="5" t="s">
        <v>111</v>
      </c>
      <c r="L471" s="7">
        <v>33578.5</v>
      </c>
      <c r="M471" s="5">
        <v>13</v>
      </c>
      <c r="N471" s="7">
        <v>436520.5</v>
      </c>
      <c r="O471" s="8">
        <v>22.9</v>
      </c>
      <c r="P471" s="7">
        <v>336557.31</v>
      </c>
      <c r="Q471" s="8">
        <v>30.9</v>
      </c>
      <c r="R471" s="7">
        <v>103996.21</v>
      </c>
      <c r="S471" s="5" t="s">
        <v>40</v>
      </c>
    </row>
    <row r="472" spans="1:19" x14ac:dyDescent="0.3">
      <c r="A472" s="1" t="s">
        <v>869</v>
      </c>
      <c r="B472" s="1" t="s">
        <v>513</v>
      </c>
      <c r="C472" s="1" t="s">
        <v>68</v>
      </c>
      <c r="D472" s="1" t="s">
        <v>69</v>
      </c>
      <c r="E472" s="2" t="s">
        <v>279</v>
      </c>
      <c r="F472" s="1" t="s">
        <v>166</v>
      </c>
      <c r="G472" s="1" t="s">
        <v>53</v>
      </c>
      <c r="H472" s="1" t="s">
        <v>98</v>
      </c>
      <c r="I472" s="1" t="s">
        <v>72</v>
      </c>
      <c r="J472" s="1" t="s">
        <v>28</v>
      </c>
      <c r="K472" s="1" t="s">
        <v>88</v>
      </c>
      <c r="L472" s="3">
        <v>1266.3499999999999</v>
      </c>
      <c r="M472" s="1">
        <v>3</v>
      </c>
      <c r="N472" s="3">
        <v>3799.05</v>
      </c>
      <c r="O472" s="4">
        <v>19.600000000000001</v>
      </c>
      <c r="P472" s="3">
        <v>3054.44</v>
      </c>
      <c r="Q472" s="4">
        <v>45.9</v>
      </c>
      <c r="R472" s="3">
        <v>1401.99</v>
      </c>
      <c r="S472" s="1" t="s">
        <v>112</v>
      </c>
    </row>
    <row r="473" spans="1:19" x14ac:dyDescent="0.3">
      <c r="A473" s="5" t="s">
        <v>870</v>
      </c>
      <c r="B473" s="5" t="s">
        <v>598</v>
      </c>
      <c r="C473" s="5" t="s">
        <v>33</v>
      </c>
      <c r="D473" s="5" t="s">
        <v>22</v>
      </c>
      <c r="E473" s="6" t="s">
        <v>128</v>
      </c>
      <c r="F473" s="5" t="s">
        <v>45</v>
      </c>
      <c r="G473" s="5" t="s">
        <v>109</v>
      </c>
      <c r="H473" s="5" t="s">
        <v>152</v>
      </c>
      <c r="I473" s="5" t="s">
        <v>47</v>
      </c>
      <c r="J473" s="5" t="s">
        <v>65</v>
      </c>
      <c r="K473" s="5" t="s">
        <v>29</v>
      </c>
      <c r="L473" s="7">
        <v>1023.8</v>
      </c>
      <c r="M473" s="5">
        <v>10</v>
      </c>
      <c r="N473" s="7">
        <v>10238</v>
      </c>
      <c r="O473" s="8">
        <v>19</v>
      </c>
      <c r="P473" s="7">
        <v>8292.7800000000007</v>
      </c>
      <c r="Q473" s="8">
        <v>22.3</v>
      </c>
      <c r="R473" s="7">
        <v>1849.29</v>
      </c>
      <c r="S473" s="5" t="s">
        <v>40</v>
      </c>
    </row>
    <row r="474" spans="1:19" x14ac:dyDescent="0.3">
      <c r="A474" s="1" t="s">
        <v>871</v>
      </c>
      <c r="B474" s="1" t="s">
        <v>163</v>
      </c>
      <c r="C474" s="1" t="s">
        <v>21</v>
      </c>
      <c r="D474" s="1" t="s">
        <v>22</v>
      </c>
      <c r="E474" s="2" t="s">
        <v>194</v>
      </c>
      <c r="F474" s="1" t="s">
        <v>52</v>
      </c>
      <c r="G474" s="1" t="s">
        <v>63</v>
      </c>
      <c r="H474" s="1" t="s">
        <v>87</v>
      </c>
      <c r="I474" s="1" t="s">
        <v>72</v>
      </c>
      <c r="J474" s="1" t="s">
        <v>93</v>
      </c>
      <c r="K474" s="1" t="s">
        <v>111</v>
      </c>
      <c r="L474" s="3">
        <v>7278.81</v>
      </c>
      <c r="M474" s="1">
        <v>13</v>
      </c>
      <c r="N474" s="3">
        <v>94624.53</v>
      </c>
      <c r="O474" s="4">
        <v>5.7</v>
      </c>
      <c r="P474" s="3">
        <v>89230.93</v>
      </c>
      <c r="Q474" s="4">
        <v>32.799999999999997</v>
      </c>
      <c r="R474" s="3">
        <v>29267.75</v>
      </c>
      <c r="S474" s="1" t="s">
        <v>40</v>
      </c>
    </row>
    <row r="475" spans="1:19" x14ac:dyDescent="0.3">
      <c r="A475" s="5" t="s">
        <v>872</v>
      </c>
      <c r="B475" s="5" t="s">
        <v>370</v>
      </c>
      <c r="C475" s="5" t="s">
        <v>68</v>
      </c>
      <c r="D475" s="5" t="s">
        <v>69</v>
      </c>
      <c r="E475" s="6" t="s">
        <v>320</v>
      </c>
      <c r="F475" s="5" t="s">
        <v>24</v>
      </c>
      <c r="G475" s="5" t="s">
        <v>25</v>
      </c>
      <c r="H475" s="5" t="s">
        <v>215</v>
      </c>
      <c r="I475" s="5" t="s">
        <v>27</v>
      </c>
      <c r="J475" s="5" t="s">
        <v>93</v>
      </c>
      <c r="K475" s="5" t="s">
        <v>29</v>
      </c>
      <c r="L475" s="7">
        <v>52543.15</v>
      </c>
      <c r="M475" s="5">
        <v>10</v>
      </c>
      <c r="N475" s="7">
        <v>525431.5</v>
      </c>
      <c r="O475" s="8">
        <v>19.600000000000001</v>
      </c>
      <c r="P475" s="7">
        <v>422446.93</v>
      </c>
      <c r="Q475" s="8">
        <v>30.1</v>
      </c>
      <c r="R475" s="7">
        <v>127156.53</v>
      </c>
      <c r="S475" s="5" t="s">
        <v>30</v>
      </c>
    </row>
    <row r="476" spans="1:19" x14ac:dyDescent="0.3">
      <c r="A476" s="1" t="s">
        <v>873</v>
      </c>
      <c r="B476" s="1" t="s">
        <v>219</v>
      </c>
      <c r="C476" s="1" t="s">
        <v>101</v>
      </c>
      <c r="D476" s="1" t="s">
        <v>60</v>
      </c>
      <c r="E476" s="2" t="s">
        <v>170</v>
      </c>
      <c r="F476" s="1" t="s">
        <v>52</v>
      </c>
      <c r="G476" s="1" t="s">
        <v>63</v>
      </c>
      <c r="H476" s="1" t="s">
        <v>167</v>
      </c>
      <c r="I476" s="1" t="s">
        <v>72</v>
      </c>
      <c r="J476" s="1" t="s">
        <v>47</v>
      </c>
      <c r="K476" s="1" t="s">
        <v>149</v>
      </c>
      <c r="L476" s="3">
        <v>5833.49</v>
      </c>
      <c r="M476" s="1">
        <v>21</v>
      </c>
      <c r="N476" s="3">
        <v>122503.29</v>
      </c>
      <c r="O476" s="4">
        <v>3.4</v>
      </c>
      <c r="P476" s="3">
        <v>118338.18</v>
      </c>
      <c r="Q476" s="4">
        <v>23.3</v>
      </c>
      <c r="R476" s="3">
        <v>27572.799999999999</v>
      </c>
      <c r="S476" s="1" t="s">
        <v>40</v>
      </c>
    </row>
    <row r="477" spans="1:19" x14ac:dyDescent="0.3">
      <c r="A477" s="5" t="s">
        <v>874</v>
      </c>
      <c r="B477" s="5" t="s">
        <v>517</v>
      </c>
      <c r="C477" s="5" t="s">
        <v>75</v>
      </c>
      <c r="D477" s="5" t="s">
        <v>60</v>
      </c>
      <c r="E477" s="6" t="s">
        <v>142</v>
      </c>
      <c r="F477" s="5" t="s">
        <v>24</v>
      </c>
      <c r="G477" s="5" t="s">
        <v>25</v>
      </c>
      <c r="H477" s="5" t="s">
        <v>26</v>
      </c>
      <c r="I477" s="5" t="s">
        <v>47</v>
      </c>
      <c r="J477" s="5" t="s">
        <v>47</v>
      </c>
      <c r="K477" s="5" t="s">
        <v>29</v>
      </c>
      <c r="L477" s="7">
        <v>94488.66</v>
      </c>
      <c r="M477" s="5">
        <v>21</v>
      </c>
      <c r="N477" s="7">
        <v>1984261.86</v>
      </c>
      <c r="O477" s="8">
        <v>15.8</v>
      </c>
      <c r="P477" s="7">
        <v>1670748.49</v>
      </c>
      <c r="Q477" s="8">
        <v>28.3</v>
      </c>
      <c r="R477" s="7">
        <v>472821.82</v>
      </c>
      <c r="S477" s="5" t="s">
        <v>40</v>
      </c>
    </row>
    <row r="478" spans="1:19" x14ac:dyDescent="0.3">
      <c r="A478" s="1" t="s">
        <v>875</v>
      </c>
      <c r="B478" s="1" t="s">
        <v>274</v>
      </c>
      <c r="C478" s="1" t="s">
        <v>135</v>
      </c>
      <c r="D478" s="1" t="s">
        <v>69</v>
      </c>
      <c r="E478" s="2" t="s">
        <v>125</v>
      </c>
      <c r="F478" s="1" t="s">
        <v>62</v>
      </c>
      <c r="G478" s="1" t="s">
        <v>109</v>
      </c>
      <c r="H478" s="1" t="s">
        <v>189</v>
      </c>
      <c r="I478" s="1" t="s">
        <v>47</v>
      </c>
      <c r="J478" s="1" t="s">
        <v>65</v>
      </c>
      <c r="K478" s="1" t="s">
        <v>159</v>
      </c>
      <c r="L478" s="3">
        <v>960.24</v>
      </c>
      <c r="M478" s="1">
        <v>17</v>
      </c>
      <c r="N478" s="3">
        <v>16324.08</v>
      </c>
      <c r="O478" s="4">
        <v>3.6</v>
      </c>
      <c r="P478" s="3">
        <v>15736.41</v>
      </c>
      <c r="Q478" s="4">
        <v>70.7</v>
      </c>
      <c r="R478" s="3">
        <v>11125.64</v>
      </c>
      <c r="S478" s="1" t="s">
        <v>40</v>
      </c>
    </row>
    <row r="479" spans="1:19" x14ac:dyDescent="0.3">
      <c r="A479" s="5" t="s">
        <v>876</v>
      </c>
      <c r="B479" s="5" t="s">
        <v>154</v>
      </c>
      <c r="C479" s="5" t="s">
        <v>96</v>
      </c>
      <c r="D479" s="5" t="s">
        <v>86</v>
      </c>
      <c r="E479" s="6" t="s">
        <v>320</v>
      </c>
      <c r="F479" s="5" t="s">
        <v>24</v>
      </c>
      <c r="G479" s="5" t="s">
        <v>25</v>
      </c>
      <c r="H479" s="5" t="s">
        <v>215</v>
      </c>
      <c r="I479" s="5" t="s">
        <v>27</v>
      </c>
      <c r="J479" s="5" t="s">
        <v>28</v>
      </c>
      <c r="K479" s="5" t="s">
        <v>149</v>
      </c>
      <c r="L479" s="7">
        <v>17113.240000000002</v>
      </c>
      <c r="M479" s="5">
        <v>14</v>
      </c>
      <c r="N479" s="7">
        <v>239585.36</v>
      </c>
      <c r="O479" s="8">
        <v>24</v>
      </c>
      <c r="P479" s="7">
        <v>182084.87</v>
      </c>
      <c r="Q479" s="8">
        <v>31.4</v>
      </c>
      <c r="R479" s="7">
        <v>57174.65</v>
      </c>
      <c r="S479" s="5" t="s">
        <v>79</v>
      </c>
    </row>
    <row r="480" spans="1:19" x14ac:dyDescent="0.3">
      <c r="A480" s="1" t="s">
        <v>877</v>
      </c>
      <c r="B480" s="1" t="s">
        <v>511</v>
      </c>
      <c r="C480" s="1" t="s">
        <v>68</v>
      </c>
      <c r="D480" s="1" t="s">
        <v>69</v>
      </c>
      <c r="E480" s="2" t="s">
        <v>174</v>
      </c>
      <c r="F480" s="1" t="s">
        <v>45</v>
      </c>
      <c r="G480" s="1" t="s">
        <v>36</v>
      </c>
      <c r="H480" s="1" t="s">
        <v>136</v>
      </c>
      <c r="I480" s="1" t="s">
        <v>38</v>
      </c>
      <c r="J480" s="1" t="s">
        <v>93</v>
      </c>
      <c r="K480" s="1" t="s">
        <v>56</v>
      </c>
      <c r="L480" s="3">
        <v>1076.1300000000001</v>
      </c>
      <c r="M480" s="1">
        <v>6</v>
      </c>
      <c r="N480" s="3">
        <v>6456.78</v>
      </c>
      <c r="O480" s="4">
        <v>7.4</v>
      </c>
      <c r="P480" s="3">
        <v>5978.98</v>
      </c>
      <c r="Q480" s="4">
        <v>18.5</v>
      </c>
      <c r="R480" s="3">
        <v>1106.1099999999999</v>
      </c>
      <c r="S480" s="1" t="s">
        <v>79</v>
      </c>
    </row>
    <row r="481" spans="1:19" x14ac:dyDescent="0.3">
      <c r="A481" s="5" t="s">
        <v>878</v>
      </c>
      <c r="B481" s="5" t="s">
        <v>732</v>
      </c>
      <c r="C481" s="5" t="s">
        <v>101</v>
      </c>
      <c r="D481" s="5" t="s">
        <v>60</v>
      </c>
      <c r="E481" s="6" t="s">
        <v>177</v>
      </c>
      <c r="F481" s="5" t="s">
        <v>166</v>
      </c>
      <c r="G481" s="5" t="s">
        <v>109</v>
      </c>
      <c r="H481" s="5" t="s">
        <v>189</v>
      </c>
      <c r="I481" s="5" t="s">
        <v>72</v>
      </c>
      <c r="J481" s="5" t="s">
        <v>28</v>
      </c>
      <c r="K481" s="5" t="s">
        <v>102</v>
      </c>
      <c r="L481" s="7">
        <v>4565.62</v>
      </c>
      <c r="M481" s="5">
        <v>4</v>
      </c>
      <c r="N481" s="7">
        <v>18262.48</v>
      </c>
      <c r="O481" s="8">
        <v>11.1</v>
      </c>
      <c r="P481" s="7">
        <v>16235.34</v>
      </c>
      <c r="Q481" s="8">
        <v>41.5</v>
      </c>
      <c r="R481" s="7">
        <v>6737.67</v>
      </c>
      <c r="S481" s="5" t="s">
        <v>40</v>
      </c>
    </row>
    <row r="482" spans="1:19" x14ac:dyDescent="0.3">
      <c r="A482" s="1" t="s">
        <v>879</v>
      </c>
      <c r="B482" s="1" t="s">
        <v>596</v>
      </c>
      <c r="C482" s="1" t="s">
        <v>68</v>
      </c>
      <c r="D482" s="1" t="s">
        <v>69</v>
      </c>
      <c r="E482" s="2" t="s">
        <v>128</v>
      </c>
      <c r="F482" s="1" t="s">
        <v>45</v>
      </c>
      <c r="G482" s="1" t="s">
        <v>63</v>
      </c>
      <c r="H482" s="1" t="s">
        <v>167</v>
      </c>
      <c r="I482" s="1" t="s">
        <v>55</v>
      </c>
      <c r="J482" s="1" t="s">
        <v>65</v>
      </c>
      <c r="K482" s="1" t="s">
        <v>48</v>
      </c>
      <c r="L482" s="3">
        <v>1270.0999999999999</v>
      </c>
      <c r="M482" s="1">
        <v>13</v>
      </c>
      <c r="N482" s="3">
        <v>16511.3</v>
      </c>
      <c r="O482" s="4">
        <v>16.600000000000001</v>
      </c>
      <c r="P482" s="3">
        <v>13770.42</v>
      </c>
      <c r="Q482" s="4">
        <v>22</v>
      </c>
      <c r="R482" s="3">
        <v>3029.49</v>
      </c>
      <c r="S482" s="1" t="s">
        <v>30</v>
      </c>
    </row>
    <row r="483" spans="1:19" x14ac:dyDescent="0.3">
      <c r="A483" s="5" t="s">
        <v>880</v>
      </c>
      <c r="B483" s="5" t="s">
        <v>196</v>
      </c>
      <c r="C483" s="5" t="s">
        <v>101</v>
      </c>
      <c r="D483" s="5" t="s">
        <v>60</v>
      </c>
      <c r="E483" s="6" t="s">
        <v>23</v>
      </c>
      <c r="F483" s="5" t="s">
        <v>24</v>
      </c>
      <c r="G483" s="5" t="s">
        <v>53</v>
      </c>
      <c r="H483" s="5" t="s">
        <v>77</v>
      </c>
      <c r="I483" s="5" t="s">
        <v>55</v>
      </c>
      <c r="J483" s="5" t="s">
        <v>28</v>
      </c>
      <c r="K483" s="5" t="s">
        <v>78</v>
      </c>
      <c r="L483" s="7">
        <v>49073.89</v>
      </c>
      <c r="M483" s="5">
        <v>9</v>
      </c>
      <c r="N483" s="7">
        <v>441665.01</v>
      </c>
      <c r="O483" s="8">
        <v>23.4</v>
      </c>
      <c r="P483" s="7">
        <v>338315.4</v>
      </c>
      <c r="Q483" s="8">
        <v>29.2</v>
      </c>
      <c r="R483" s="7">
        <v>98788.1</v>
      </c>
      <c r="S483" s="5" t="s">
        <v>40</v>
      </c>
    </row>
    <row r="484" spans="1:19" x14ac:dyDescent="0.3">
      <c r="A484" s="1" t="s">
        <v>881</v>
      </c>
      <c r="B484" s="1" t="s">
        <v>882</v>
      </c>
      <c r="C484" s="1" t="s">
        <v>96</v>
      </c>
      <c r="D484" s="1" t="s">
        <v>86</v>
      </c>
      <c r="E484" s="2" t="s">
        <v>34</v>
      </c>
      <c r="F484" s="1" t="s">
        <v>35</v>
      </c>
      <c r="G484" s="1" t="s">
        <v>53</v>
      </c>
      <c r="H484" s="1" t="s">
        <v>98</v>
      </c>
      <c r="I484" s="1" t="s">
        <v>55</v>
      </c>
      <c r="J484" s="1" t="s">
        <v>93</v>
      </c>
      <c r="K484" s="1" t="s">
        <v>159</v>
      </c>
      <c r="L484" s="3">
        <v>13235.49</v>
      </c>
      <c r="M484" s="1">
        <v>15</v>
      </c>
      <c r="N484" s="3">
        <v>198532.35</v>
      </c>
      <c r="O484" s="4">
        <v>10.4</v>
      </c>
      <c r="P484" s="3">
        <v>177884.99</v>
      </c>
      <c r="Q484" s="4">
        <v>46.1</v>
      </c>
      <c r="R484" s="3">
        <v>82004.98</v>
      </c>
      <c r="S484" s="1" t="s">
        <v>79</v>
      </c>
    </row>
    <row r="485" spans="1:19" x14ac:dyDescent="0.3">
      <c r="A485" s="5" t="s">
        <v>883</v>
      </c>
      <c r="B485" s="5" t="s">
        <v>278</v>
      </c>
      <c r="C485" s="5" t="s">
        <v>43</v>
      </c>
      <c r="D485" s="5" t="s">
        <v>22</v>
      </c>
      <c r="E485" s="6" t="s">
        <v>44</v>
      </c>
      <c r="F485" s="5" t="s">
        <v>45</v>
      </c>
      <c r="G485" s="5" t="s">
        <v>36</v>
      </c>
      <c r="H485" s="5" t="s">
        <v>119</v>
      </c>
      <c r="I485" s="5" t="s">
        <v>72</v>
      </c>
      <c r="J485" s="5" t="s">
        <v>47</v>
      </c>
      <c r="K485" s="5" t="s">
        <v>159</v>
      </c>
      <c r="L485" s="7">
        <v>1192.49</v>
      </c>
      <c r="M485" s="5">
        <v>17</v>
      </c>
      <c r="N485" s="7">
        <v>20272.330000000002</v>
      </c>
      <c r="O485" s="8">
        <v>19.8</v>
      </c>
      <c r="P485" s="7">
        <v>16258.41</v>
      </c>
      <c r="Q485" s="8">
        <v>22.3</v>
      </c>
      <c r="R485" s="7">
        <v>3625.63</v>
      </c>
      <c r="S485" s="5" t="s">
        <v>112</v>
      </c>
    </row>
    <row r="486" spans="1:19" x14ac:dyDescent="0.3">
      <c r="A486" s="1" t="s">
        <v>884</v>
      </c>
      <c r="B486" s="1" t="s">
        <v>67</v>
      </c>
      <c r="C486" s="1" t="s">
        <v>68</v>
      </c>
      <c r="D486" s="1" t="s">
        <v>69</v>
      </c>
      <c r="E486" s="2" t="s">
        <v>206</v>
      </c>
      <c r="F486" s="1" t="s">
        <v>52</v>
      </c>
      <c r="G486" s="1" t="s">
        <v>63</v>
      </c>
      <c r="H486" s="1" t="s">
        <v>167</v>
      </c>
      <c r="I486" s="1" t="s">
        <v>38</v>
      </c>
      <c r="J486" s="1" t="s">
        <v>47</v>
      </c>
      <c r="K486" s="1" t="s">
        <v>78</v>
      </c>
      <c r="L486" s="3">
        <v>2138.4899999999998</v>
      </c>
      <c r="M486" s="1">
        <v>14</v>
      </c>
      <c r="N486" s="3">
        <v>29938.86</v>
      </c>
      <c r="O486" s="4">
        <v>24.4</v>
      </c>
      <c r="P486" s="3">
        <v>22633.78</v>
      </c>
      <c r="Q486" s="4">
        <v>47.7</v>
      </c>
      <c r="R486" s="3">
        <v>10796.31</v>
      </c>
      <c r="S486" s="1" t="s">
        <v>40</v>
      </c>
    </row>
    <row r="487" spans="1:19" x14ac:dyDescent="0.3">
      <c r="A487" s="5" t="s">
        <v>885</v>
      </c>
      <c r="B487" s="5" t="s">
        <v>687</v>
      </c>
      <c r="C487" s="5" t="s">
        <v>68</v>
      </c>
      <c r="D487" s="5" t="s">
        <v>69</v>
      </c>
      <c r="E487" s="6" t="s">
        <v>142</v>
      </c>
      <c r="F487" s="5" t="s">
        <v>24</v>
      </c>
      <c r="G487" s="5" t="s">
        <v>63</v>
      </c>
      <c r="H487" s="5" t="s">
        <v>87</v>
      </c>
      <c r="I487" s="5" t="s">
        <v>72</v>
      </c>
      <c r="J487" s="5" t="s">
        <v>65</v>
      </c>
      <c r="K487" s="5" t="s">
        <v>149</v>
      </c>
      <c r="L487" s="7">
        <v>43417.24</v>
      </c>
      <c r="M487" s="5">
        <v>12</v>
      </c>
      <c r="N487" s="7">
        <v>521006.88</v>
      </c>
      <c r="O487" s="8">
        <v>21.2</v>
      </c>
      <c r="P487" s="7">
        <v>410553.42</v>
      </c>
      <c r="Q487" s="8">
        <v>21.6</v>
      </c>
      <c r="R487" s="7">
        <v>88679.54</v>
      </c>
      <c r="S487" s="5" t="s">
        <v>112</v>
      </c>
    </row>
    <row r="488" spans="1:19" x14ac:dyDescent="0.3">
      <c r="A488" s="1" t="s">
        <v>886</v>
      </c>
      <c r="B488" s="1" t="s">
        <v>536</v>
      </c>
      <c r="C488" s="1" t="s">
        <v>43</v>
      </c>
      <c r="D488" s="1" t="s">
        <v>22</v>
      </c>
      <c r="E488" s="2" t="s">
        <v>139</v>
      </c>
      <c r="F488" s="1" t="s">
        <v>45</v>
      </c>
      <c r="G488" s="1" t="s">
        <v>36</v>
      </c>
      <c r="H488" s="1" t="s">
        <v>37</v>
      </c>
      <c r="I488" s="1" t="s">
        <v>27</v>
      </c>
      <c r="J488" s="1" t="s">
        <v>28</v>
      </c>
      <c r="K488" s="1" t="s">
        <v>39</v>
      </c>
      <c r="L488" s="3">
        <v>465.79</v>
      </c>
      <c r="M488" s="1">
        <v>21</v>
      </c>
      <c r="N488" s="3">
        <v>9781.59</v>
      </c>
      <c r="O488" s="4">
        <v>23</v>
      </c>
      <c r="P488" s="3">
        <v>7531.82</v>
      </c>
      <c r="Q488" s="4">
        <v>39.5</v>
      </c>
      <c r="R488" s="3">
        <v>2975.07</v>
      </c>
      <c r="S488" s="1" t="s">
        <v>40</v>
      </c>
    </row>
    <row r="489" spans="1:19" x14ac:dyDescent="0.3">
      <c r="A489" s="5" t="s">
        <v>887</v>
      </c>
      <c r="B489" s="5" t="s">
        <v>267</v>
      </c>
      <c r="C489" s="5" t="s">
        <v>33</v>
      </c>
      <c r="D489" s="5" t="s">
        <v>22</v>
      </c>
      <c r="E489" s="6" t="s">
        <v>213</v>
      </c>
      <c r="F489" s="5" t="s">
        <v>62</v>
      </c>
      <c r="G489" s="5" t="s">
        <v>36</v>
      </c>
      <c r="H489" s="5" t="s">
        <v>37</v>
      </c>
      <c r="I489" s="5" t="s">
        <v>38</v>
      </c>
      <c r="J489" s="5" t="s">
        <v>47</v>
      </c>
      <c r="K489" s="5" t="s">
        <v>48</v>
      </c>
      <c r="L489" s="7">
        <v>1075.26</v>
      </c>
      <c r="M489" s="5">
        <v>24</v>
      </c>
      <c r="N489" s="7">
        <v>25806.240000000002</v>
      </c>
      <c r="O489" s="8">
        <v>24.6</v>
      </c>
      <c r="P489" s="7">
        <v>19457.900000000001</v>
      </c>
      <c r="Q489" s="8">
        <v>49.7</v>
      </c>
      <c r="R489" s="7">
        <v>9670.58</v>
      </c>
      <c r="S489" s="5" t="s">
        <v>40</v>
      </c>
    </row>
    <row r="490" spans="1:19" x14ac:dyDescent="0.3">
      <c r="A490" s="1" t="s">
        <v>888</v>
      </c>
      <c r="B490" s="1" t="s">
        <v>889</v>
      </c>
      <c r="C490" s="1" t="s">
        <v>21</v>
      </c>
      <c r="D490" s="1" t="s">
        <v>22</v>
      </c>
      <c r="E490" s="2" t="s">
        <v>128</v>
      </c>
      <c r="F490" s="1" t="s">
        <v>45</v>
      </c>
      <c r="G490" s="1" t="s">
        <v>25</v>
      </c>
      <c r="H490" s="1" t="s">
        <v>46</v>
      </c>
      <c r="I490" s="1" t="s">
        <v>55</v>
      </c>
      <c r="J490" s="1" t="s">
        <v>28</v>
      </c>
      <c r="K490" s="1" t="s">
        <v>102</v>
      </c>
      <c r="L490" s="3">
        <v>1484.07</v>
      </c>
      <c r="M490" s="1">
        <v>18</v>
      </c>
      <c r="N490" s="3">
        <v>26713.26</v>
      </c>
      <c r="O490" s="4">
        <v>5.6</v>
      </c>
      <c r="P490" s="3">
        <v>25217.32</v>
      </c>
      <c r="Q490" s="4">
        <v>39.799999999999997</v>
      </c>
      <c r="R490" s="3">
        <v>10036.49</v>
      </c>
      <c r="S490" s="1" t="s">
        <v>40</v>
      </c>
    </row>
    <row r="491" spans="1:19" x14ac:dyDescent="0.3">
      <c r="A491" s="5" t="s">
        <v>890</v>
      </c>
      <c r="B491" s="5" t="s">
        <v>493</v>
      </c>
      <c r="C491" s="5" t="s">
        <v>43</v>
      </c>
      <c r="D491" s="5" t="s">
        <v>22</v>
      </c>
      <c r="E491" s="6" t="s">
        <v>145</v>
      </c>
      <c r="F491" s="5" t="s">
        <v>62</v>
      </c>
      <c r="G491" s="5" t="s">
        <v>109</v>
      </c>
      <c r="H491" s="5" t="s">
        <v>122</v>
      </c>
      <c r="I491" s="5" t="s">
        <v>27</v>
      </c>
      <c r="J491" s="5" t="s">
        <v>47</v>
      </c>
      <c r="K491" s="5" t="s">
        <v>88</v>
      </c>
      <c r="L491" s="7">
        <v>2722.01</v>
      </c>
      <c r="M491" s="5">
        <v>14</v>
      </c>
      <c r="N491" s="7">
        <v>38108.14</v>
      </c>
      <c r="O491" s="8">
        <v>9.1999999999999993</v>
      </c>
      <c r="P491" s="7">
        <v>34602.19</v>
      </c>
      <c r="Q491" s="8">
        <v>52.2</v>
      </c>
      <c r="R491" s="7">
        <v>18062.34</v>
      </c>
      <c r="S491" s="5" t="s">
        <v>40</v>
      </c>
    </row>
    <row r="492" spans="1:19" x14ac:dyDescent="0.3">
      <c r="A492" s="1" t="s">
        <v>891</v>
      </c>
      <c r="B492" s="1" t="s">
        <v>892</v>
      </c>
      <c r="C492" s="1" t="s">
        <v>96</v>
      </c>
      <c r="D492" s="1" t="s">
        <v>86</v>
      </c>
      <c r="E492" s="2" t="s">
        <v>256</v>
      </c>
      <c r="F492" s="1" t="s">
        <v>166</v>
      </c>
      <c r="G492" s="1" t="s">
        <v>25</v>
      </c>
      <c r="H492" s="1" t="s">
        <v>132</v>
      </c>
      <c r="I492" s="1" t="s">
        <v>47</v>
      </c>
      <c r="J492" s="1" t="s">
        <v>93</v>
      </c>
      <c r="K492" s="1" t="s">
        <v>78</v>
      </c>
      <c r="L492" s="3">
        <v>3099.73</v>
      </c>
      <c r="M492" s="1">
        <v>17</v>
      </c>
      <c r="N492" s="3">
        <v>52695.41</v>
      </c>
      <c r="O492" s="4">
        <v>11.2</v>
      </c>
      <c r="P492" s="3">
        <v>46793.52</v>
      </c>
      <c r="Q492" s="4">
        <v>51</v>
      </c>
      <c r="R492" s="3">
        <v>23864.7</v>
      </c>
      <c r="S492" s="1" t="s">
        <v>40</v>
      </c>
    </row>
    <row r="493" spans="1:19" x14ac:dyDescent="0.3">
      <c r="A493" s="5" t="s">
        <v>893</v>
      </c>
      <c r="B493" s="5" t="s">
        <v>678</v>
      </c>
      <c r="C493" s="5" t="s">
        <v>68</v>
      </c>
      <c r="D493" s="5" t="s">
        <v>69</v>
      </c>
      <c r="E493" s="6" t="s">
        <v>194</v>
      </c>
      <c r="F493" s="5" t="s">
        <v>52</v>
      </c>
      <c r="G493" s="5" t="s">
        <v>53</v>
      </c>
      <c r="H493" s="5" t="s">
        <v>77</v>
      </c>
      <c r="I493" s="5" t="s">
        <v>27</v>
      </c>
      <c r="J493" s="5" t="s">
        <v>28</v>
      </c>
      <c r="K493" s="5" t="s">
        <v>39</v>
      </c>
      <c r="L493" s="7">
        <v>6498.27</v>
      </c>
      <c r="M493" s="5">
        <v>23</v>
      </c>
      <c r="N493" s="7">
        <v>149460.21</v>
      </c>
      <c r="O493" s="8">
        <v>17.899999999999999</v>
      </c>
      <c r="P493" s="7">
        <v>122706.83</v>
      </c>
      <c r="Q493" s="8">
        <v>29</v>
      </c>
      <c r="R493" s="7">
        <v>35584.980000000003</v>
      </c>
      <c r="S493" s="5" t="s">
        <v>79</v>
      </c>
    </row>
    <row r="494" spans="1:19" x14ac:dyDescent="0.3">
      <c r="A494" s="1" t="s">
        <v>894</v>
      </c>
      <c r="B494" s="1" t="s">
        <v>20</v>
      </c>
      <c r="C494" s="1" t="s">
        <v>21</v>
      </c>
      <c r="D494" s="1" t="s">
        <v>22</v>
      </c>
      <c r="E494" s="2" t="s">
        <v>118</v>
      </c>
      <c r="F494" s="1" t="s">
        <v>62</v>
      </c>
      <c r="G494" s="1" t="s">
        <v>109</v>
      </c>
      <c r="H494" s="1" t="s">
        <v>189</v>
      </c>
      <c r="I494" s="1" t="s">
        <v>47</v>
      </c>
      <c r="J494" s="1" t="s">
        <v>93</v>
      </c>
      <c r="K494" s="1" t="s">
        <v>78</v>
      </c>
      <c r="L494" s="3">
        <v>3989.43</v>
      </c>
      <c r="M494" s="1">
        <v>2</v>
      </c>
      <c r="N494" s="3">
        <v>7978.86</v>
      </c>
      <c r="O494" s="4">
        <v>10.5</v>
      </c>
      <c r="P494" s="3">
        <v>7141.08</v>
      </c>
      <c r="Q494" s="4">
        <v>63.4</v>
      </c>
      <c r="R494" s="3">
        <v>4527.4399999999996</v>
      </c>
      <c r="S494" s="1" t="s">
        <v>40</v>
      </c>
    </row>
    <row r="495" spans="1:19" x14ac:dyDescent="0.3">
      <c r="A495" s="5" t="s">
        <v>895</v>
      </c>
      <c r="B495" s="5" t="s">
        <v>665</v>
      </c>
      <c r="C495" s="5" t="s">
        <v>96</v>
      </c>
      <c r="D495" s="5" t="s">
        <v>86</v>
      </c>
      <c r="E495" s="6" t="s">
        <v>306</v>
      </c>
      <c r="F495" s="5" t="s">
        <v>35</v>
      </c>
      <c r="G495" s="5" t="s">
        <v>25</v>
      </c>
      <c r="H495" s="5" t="s">
        <v>46</v>
      </c>
      <c r="I495" s="5" t="s">
        <v>47</v>
      </c>
      <c r="J495" s="5" t="s">
        <v>47</v>
      </c>
      <c r="K495" s="5" t="s">
        <v>56</v>
      </c>
      <c r="L495" s="7">
        <v>34764.57</v>
      </c>
      <c r="M495" s="5">
        <v>13</v>
      </c>
      <c r="N495" s="7">
        <v>451939.41</v>
      </c>
      <c r="O495" s="8">
        <v>23.2</v>
      </c>
      <c r="P495" s="7">
        <v>347089.47</v>
      </c>
      <c r="Q495" s="8">
        <v>42.8</v>
      </c>
      <c r="R495" s="7">
        <v>148554.29</v>
      </c>
      <c r="S495" s="5" t="s">
        <v>40</v>
      </c>
    </row>
    <row r="496" spans="1:19" x14ac:dyDescent="0.3">
      <c r="A496" s="1" t="s">
        <v>896</v>
      </c>
      <c r="B496" s="1" t="s">
        <v>437</v>
      </c>
      <c r="C496" s="1" t="s">
        <v>85</v>
      </c>
      <c r="D496" s="1" t="s">
        <v>86</v>
      </c>
      <c r="E496" s="2" t="s">
        <v>194</v>
      </c>
      <c r="F496" s="1" t="s">
        <v>52</v>
      </c>
      <c r="G496" s="1" t="s">
        <v>63</v>
      </c>
      <c r="H496" s="1" t="s">
        <v>92</v>
      </c>
      <c r="I496" s="1" t="s">
        <v>47</v>
      </c>
      <c r="J496" s="1" t="s">
        <v>93</v>
      </c>
      <c r="K496" s="1" t="s">
        <v>102</v>
      </c>
      <c r="L496" s="3">
        <v>2572.6</v>
      </c>
      <c r="M496" s="1">
        <v>2</v>
      </c>
      <c r="N496" s="3">
        <v>5145.2</v>
      </c>
      <c r="O496" s="4">
        <v>5.5</v>
      </c>
      <c r="P496" s="3">
        <v>4862.21</v>
      </c>
      <c r="Q496" s="4">
        <v>40.6</v>
      </c>
      <c r="R496" s="3">
        <v>1974.06</v>
      </c>
      <c r="S496" s="1" t="s">
        <v>112</v>
      </c>
    </row>
    <row r="497" spans="1:19" x14ac:dyDescent="0.3">
      <c r="A497" s="5" t="s">
        <v>897</v>
      </c>
      <c r="B497" s="5" t="s">
        <v>898</v>
      </c>
      <c r="C497" s="5" t="s">
        <v>43</v>
      </c>
      <c r="D497" s="5" t="s">
        <v>22</v>
      </c>
      <c r="E497" s="6" t="s">
        <v>145</v>
      </c>
      <c r="F497" s="5" t="s">
        <v>62</v>
      </c>
      <c r="G497" s="5" t="s">
        <v>109</v>
      </c>
      <c r="H497" s="5" t="s">
        <v>122</v>
      </c>
      <c r="I497" s="5" t="s">
        <v>27</v>
      </c>
      <c r="J497" s="5" t="s">
        <v>93</v>
      </c>
      <c r="K497" s="5" t="s">
        <v>111</v>
      </c>
      <c r="L497" s="7">
        <v>2983.8</v>
      </c>
      <c r="M497" s="5">
        <v>7</v>
      </c>
      <c r="N497" s="7">
        <v>20886.599999999999</v>
      </c>
      <c r="O497" s="8">
        <v>3.7</v>
      </c>
      <c r="P497" s="7">
        <v>20113.8</v>
      </c>
      <c r="Q497" s="8">
        <v>51.6</v>
      </c>
      <c r="R497" s="7">
        <v>10378.719999999999</v>
      </c>
      <c r="S497" s="5" t="s">
        <v>40</v>
      </c>
    </row>
    <row r="498" spans="1:19" x14ac:dyDescent="0.3">
      <c r="A498" s="1" t="s">
        <v>899</v>
      </c>
      <c r="B498" s="1" t="s">
        <v>653</v>
      </c>
      <c r="C498" s="1" t="s">
        <v>59</v>
      </c>
      <c r="D498" s="1" t="s">
        <v>60</v>
      </c>
      <c r="E498" s="2" t="s">
        <v>91</v>
      </c>
      <c r="F498" s="1" t="s">
        <v>52</v>
      </c>
      <c r="G498" s="1" t="s">
        <v>109</v>
      </c>
      <c r="H498" s="1" t="s">
        <v>110</v>
      </c>
      <c r="I498" s="1" t="s">
        <v>27</v>
      </c>
      <c r="J498" s="1" t="s">
        <v>28</v>
      </c>
      <c r="K498" s="1" t="s">
        <v>88</v>
      </c>
      <c r="L498" s="3">
        <v>8387.52</v>
      </c>
      <c r="M498" s="1">
        <v>22</v>
      </c>
      <c r="N498" s="3">
        <v>184525.44</v>
      </c>
      <c r="O498" s="4">
        <v>2.9</v>
      </c>
      <c r="P498" s="3">
        <v>179174.2</v>
      </c>
      <c r="Q498" s="4">
        <v>35.1</v>
      </c>
      <c r="R498" s="3">
        <v>62890.14</v>
      </c>
      <c r="S498" s="1" t="s">
        <v>40</v>
      </c>
    </row>
    <row r="499" spans="1:19" x14ac:dyDescent="0.3">
      <c r="A499" s="5" t="s">
        <v>900</v>
      </c>
      <c r="B499" s="5" t="s">
        <v>341</v>
      </c>
      <c r="C499" s="5" t="s">
        <v>68</v>
      </c>
      <c r="D499" s="5" t="s">
        <v>69</v>
      </c>
      <c r="E499" s="6" t="s">
        <v>279</v>
      </c>
      <c r="F499" s="5" t="s">
        <v>166</v>
      </c>
      <c r="G499" s="5" t="s">
        <v>53</v>
      </c>
      <c r="H499" s="5" t="s">
        <v>54</v>
      </c>
      <c r="I499" s="5" t="s">
        <v>72</v>
      </c>
      <c r="J499" s="5" t="s">
        <v>47</v>
      </c>
      <c r="K499" s="5" t="s">
        <v>78</v>
      </c>
      <c r="L499" s="7">
        <v>1800.4</v>
      </c>
      <c r="M499" s="5">
        <v>7</v>
      </c>
      <c r="N499" s="7">
        <v>12602.8</v>
      </c>
      <c r="O499" s="8">
        <v>9.1999999999999993</v>
      </c>
      <c r="P499" s="7">
        <v>11443.34</v>
      </c>
      <c r="Q499" s="8">
        <v>58.6</v>
      </c>
      <c r="R499" s="7">
        <v>6705.8</v>
      </c>
      <c r="S499" s="5" t="s">
        <v>30</v>
      </c>
    </row>
    <row r="500" spans="1:19" x14ac:dyDescent="0.3">
      <c r="A500" s="1" t="s">
        <v>901</v>
      </c>
      <c r="B500" s="1" t="s">
        <v>755</v>
      </c>
      <c r="C500" s="1" t="s">
        <v>33</v>
      </c>
      <c r="D500" s="1" t="s">
        <v>22</v>
      </c>
      <c r="E500" s="2" t="s">
        <v>108</v>
      </c>
      <c r="F500" s="1" t="s">
        <v>35</v>
      </c>
      <c r="G500" s="1" t="s">
        <v>53</v>
      </c>
      <c r="H500" s="1" t="s">
        <v>77</v>
      </c>
      <c r="I500" s="1" t="s">
        <v>38</v>
      </c>
      <c r="J500" s="1" t="s">
        <v>65</v>
      </c>
      <c r="K500" s="1" t="s">
        <v>48</v>
      </c>
      <c r="L500" s="3">
        <v>10316.75</v>
      </c>
      <c r="M500" s="1">
        <v>6</v>
      </c>
      <c r="N500" s="3">
        <v>61900.5</v>
      </c>
      <c r="O500" s="4">
        <v>20.2</v>
      </c>
      <c r="P500" s="3">
        <v>49396.6</v>
      </c>
      <c r="Q500" s="4">
        <v>29.9</v>
      </c>
      <c r="R500" s="3">
        <v>14769.58</v>
      </c>
      <c r="S500" s="1" t="s">
        <v>79</v>
      </c>
    </row>
    <row r="501" spans="1:19" x14ac:dyDescent="0.3">
      <c r="A501" s="5" t="s">
        <v>902</v>
      </c>
      <c r="B501" s="5" t="s">
        <v>226</v>
      </c>
      <c r="C501" s="5" t="s">
        <v>101</v>
      </c>
      <c r="D501" s="5" t="s">
        <v>60</v>
      </c>
      <c r="E501" s="6" t="s">
        <v>91</v>
      </c>
      <c r="F501" s="5" t="s">
        <v>52</v>
      </c>
      <c r="G501" s="5" t="s">
        <v>36</v>
      </c>
      <c r="H501" s="5" t="s">
        <v>105</v>
      </c>
      <c r="I501" s="5" t="s">
        <v>38</v>
      </c>
      <c r="J501" s="5" t="s">
        <v>28</v>
      </c>
      <c r="K501" s="5" t="s">
        <v>159</v>
      </c>
      <c r="L501" s="7">
        <v>7281.04</v>
      </c>
      <c r="M501" s="5">
        <v>2</v>
      </c>
      <c r="N501" s="7">
        <v>14562.08</v>
      </c>
      <c r="O501" s="8">
        <v>0.7</v>
      </c>
      <c r="P501" s="7">
        <v>14460.15</v>
      </c>
      <c r="Q501" s="8">
        <v>25.4</v>
      </c>
      <c r="R501" s="7">
        <v>3672.88</v>
      </c>
      <c r="S501" s="5" t="s">
        <v>40</v>
      </c>
    </row>
    <row r="502" spans="1:19" x14ac:dyDescent="0.3">
      <c r="A502" s="1" t="s">
        <v>903</v>
      </c>
      <c r="B502" s="1" t="s">
        <v>904</v>
      </c>
      <c r="C502" s="1" t="s">
        <v>68</v>
      </c>
      <c r="D502" s="1" t="s">
        <v>69</v>
      </c>
      <c r="E502" s="2" t="s">
        <v>217</v>
      </c>
      <c r="F502" s="1" t="s">
        <v>62</v>
      </c>
      <c r="G502" s="1" t="s">
        <v>63</v>
      </c>
      <c r="H502" s="1" t="s">
        <v>167</v>
      </c>
      <c r="I502" s="1" t="s">
        <v>38</v>
      </c>
      <c r="J502" s="1" t="s">
        <v>47</v>
      </c>
      <c r="K502" s="1" t="s">
        <v>159</v>
      </c>
      <c r="L502" s="3">
        <v>2519.2399999999998</v>
      </c>
      <c r="M502" s="1">
        <v>5</v>
      </c>
      <c r="N502" s="3">
        <v>12596.2</v>
      </c>
      <c r="O502" s="4">
        <v>8.5</v>
      </c>
      <c r="P502" s="3">
        <v>11525.52</v>
      </c>
      <c r="Q502" s="4">
        <v>51.6</v>
      </c>
      <c r="R502" s="3">
        <v>5947.17</v>
      </c>
      <c r="S502" s="1" t="s">
        <v>40</v>
      </c>
    </row>
    <row r="503" spans="1:19" x14ac:dyDescent="0.3">
      <c r="A503" s="5" t="s">
        <v>905</v>
      </c>
      <c r="B503" s="5" t="s">
        <v>906</v>
      </c>
      <c r="C503" s="5" t="s">
        <v>131</v>
      </c>
      <c r="D503" s="5" t="s">
        <v>69</v>
      </c>
      <c r="E503" s="6" t="s">
        <v>118</v>
      </c>
      <c r="F503" s="5" t="s">
        <v>62</v>
      </c>
      <c r="G503" s="5" t="s">
        <v>36</v>
      </c>
      <c r="H503" s="5" t="s">
        <v>37</v>
      </c>
      <c r="I503" s="5" t="s">
        <v>27</v>
      </c>
      <c r="J503" s="5" t="s">
        <v>65</v>
      </c>
      <c r="K503" s="5" t="s">
        <v>159</v>
      </c>
      <c r="L503" s="7">
        <v>1076.8900000000001</v>
      </c>
      <c r="M503" s="5">
        <v>12</v>
      </c>
      <c r="N503" s="7">
        <v>12922.68</v>
      </c>
      <c r="O503" s="8">
        <v>12.1</v>
      </c>
      <c r="P503" s="7">
        <v>11359.04</v>
      </c>
      <c r="Q503" s="8">
        <v>61.9</v>
      </c>
      <c r="R503" s="7">
        <v>7031.25</v>
      </c>
      <c r="S503" s="5" t="s">
        <v>40</v>
      </c>
    </row>
    <row r="504" spans="1:19" x14ac:dyDescent="0.3">
      <c r="A504" s="1" t="s">
        <v>907</v>
      </c>
      <c r="B504" s="1" t="s">
        <v>212</v>
      </c>
      <c r="C504" s="1" t="s">
        <v>96</v>
      </c>
      <c r="D504" s="1" t="s">
        <v>86</v>
      </c>
      <c r="E504" s="2" t="s">
        <v>180</v>
      </c>
      <c r="F504" s="1" t="s">
        <v>166</v>
      </c>
      <c r="G504" s="1" t="s">
        <v>63</v>
      </c>
      <c r="H504" s="1" t="s">
        <v>64</v>
      </c>
      <c r="I504" s="1" t="s">
        <v>47</v>
      </c>
      <c r="J504" s="1" t="s">
        <v>28</v>
      </c>
      <c r="K504" s="1" t="s">
        <v>29</v>
      </c>
      <c r="L504" s="3">
        <v>4218.3599999999997</v>
      </c>
      <c r="M504" s="1">
        <v>1</v>
      </c>
      <c r="N504" s="3">
        <v>4218.3599999999997</v>
      </c>
      <c r="O504" s="4">
        <v>9.6</v>
      </c>
      <c r="P504" s="3">
        <v>3813.4</v>
      </c>
      <c r="Q504" s="4">
        <v>47.9</v>
      </c>
      <c r="R504" s="3">
        <v>1826.62</v>
      </c>
      <c r="S504" s="1" t="s">
        <v>79</v>
      </c>
    </row>
    <row r="505" spans="1:19" x14ac:dyDescent="0.3">
      <c r="A505" s="5" t="s">
        <v>908</v>
      </c>
      <c r="B505" s="5" t="s">
        <v>743</v>
      </c>
      <c r="C505" s="5" t="s">
        <v>75</v>
      </c>
      <c r="D505" s="5" t="s">
        <v>60</v>
      </c>
      <c r="E505" s="6" t="s">
        <v>346</v>
      </c>
      <c r="F505" s="5" t="s">
        <v>35</v>
      </c>
      <c r="G505" s="5" t="s">
        <v>63</v>
      </c>
      <c r="H505" s="5" t="s">
        <v>64</v>
      </c>
      <c r="I505" s="5" t="s">
        <v>27</v>
      </c>
      <c r="J505" s="5" t="s">
        <v>93</v>
      </c>
      <c r="K505" s="5" t="s">
        <v>29</v>
      </c>
      <c r="L505" s="7">
        <v>24476.23</v>
      </c>
      <c r="M505" s="5">
        <v>7</v>
      </c>
      <c r="N505" s="7">
        <v>171333.61</v>
      </c>
      <c r="O505" s="8">
        <v>16.7</v>
      </c>
      <c r="P505" s="7">
        <v>142720.9</v>
      </c>
      <c r="Q505" s="8">
        <v>45.6</v>
      </c>
      <c r="R505" s="7">
        <v>65080.73</v>
      </c>
      <c r="S505" s="5" t="s">
        <v>79</v>
      </c>
    </row>
    <row r="506" spans="1:19" x14ac:dyDescent="0.3">
      <c r="A506" s="1" t="s">
        <v>909</v>
      </c>
      <c r="B506" s="1" t="s">
        <v>20</v>
      </c>
      <c r="C506" s="1" t="s">
        <v>21</v>
      </c>
      <c r="D506" s="1" t="s">
        <v>22</v>
      </c>
      <c r="E506" s="2" t="s">
        <v>61</v>
      </c>
      <c r="F506" s="1" t="s">
        <v>62</v>
      </c>
      <c r="G506" s="1" t="s">
        <v>63</v>
      </c>
      <c r="H506" s="1" t="s">
        <v>92</v>
      </c>
      <c r="I506" s="1" t="s">
        <v>47</v>
      </c>
      <c r="J506" s="1" t="s">
        <v>28</v>
      </c>
      <c r="K506" s="1" t="s">
        <v>56</v>
      </c>
      <c r="L506" s="3">
        <v>3166.2</v>
      </c>
      <c r="M506" s="1">
        <v>20</v>
      </c>
      <c r="N506" s="3">
        <v>63324</v>
      </c>
      <c r="O506" s="4">
        <v>9</v>
      </c>
      <c r="P506" s="3">
        <v>57624.84</v>
      </c>
      <c r="Q506" s="4">
        <v>50</v>
      </c>
      <c r="R506" s="3">
        <v>28812.42</v>
      </c>
      <c r="S506" s="1" t="s">
        <v>40</v>
      </c>
    </row>
    <row r="507" spans="1:19" x14ac:dyDescent="0.3">
      <c r="A507" s="5" t="s">
        <v>910</v>
      </c>
      <c r="B507" s="5" t="s">
        <v>497</v>
      </c>
      <c r="C507" s="5" t="s">
        <v>33</v>
      </c>
      <c r="D507" s="5" t="s">
        <v>22</v>
      </c>
      <c r="E507" s="6" t="s">
        <v>217</v>
      </c>
      <c r="F507" s="5" t="s">
        <v>62</v>
      </c>
      <c r="G507" s="5" t="s">
        <v>25</v>
      </c>
      <c r="H507" s="5" t="s">
        <v>26</v>
      </c>
      <c r="I507" s="5" t="s">
        <v>38</v>
      </c>
      <c r="J507" s="5" t="s">
        <v>28</v>
      </c>
      <c r="K507" s="5" t="s">
        <v>29</v>
      </c>
      <c r="L507" s="7">
        <v>340.89</v>
      </c>
      <c r="M507" s="5">
        <v>3</v>
      </c>
      <c r="N507" s="7">
        <v>1022.67</v>
      </c>
      <c r="O507" s="8">
        <v>6.8</v>
      </c>
      <c r="P507" s="7">
        <v>953.13</v>
      </c>
      <c r="Q507" s="8">
        <v>61.4</v>
      </c>
      <c r="R507" s="7">
        <v>585.22</v>
      </c>
      <c r="S507" s="5" t="s">
        <v>30</v>
      </c>
    </row>
    <row r="508" spans="1:19" x14ac:dyDescent="0.3">
      <c r="A508" s="1" t="s">
        <v>911</v>
      </c>
      <c r="B508" s="1" t="s">
        <v>276</v>
      </c>
      <c r="C508" s="1" t="s">
        <v>43</v>
      </c>
      <c r="D508" s="1" t="s">
        <v>22</v>
      </c>
      <c r="E508" s="2" t="s">
        <v>303</v>
      </c>
      <c r="F508" s="1" t="s">
        <v>62</v>
      </c>
      <c r="G508" s="1" t="s">
        <v>25</v>
      </c>
      <c r="H508" s="1" t="s">
        <v>46</v>
      </c>
      <c r="I508" s="1" t="s">
        <v>55</v>
      </c>
      <c r="J508" s="1" t="s">
        <v>47</v>
      </c>
      <c r="K508" s="1" t="s">
        <v>39</v>
      </c>
      <c r="L508" s="3">
        <v>1395.27</v>
      </c>
      <c r="M508" s="1">
        <v>2</v>
      </c>
      <c r="N508" s="3">
        <v>2790.54</v>
      </c>
      <c r="O508" s="4">
        <v>3</v>
      </c>
      <c r="P508" s="3">
        <v>2706.82</v>
      </c>
      <c r="Q508" s="4">
        <v>57.6</v>
      </c>
      <c r="R508" s="3">
        <v>1559.13</v>
      </c>
      <c r="S508" s="1" t="s">
        <v>30</v>
      </c>
    </row>
    <row r="509" spans="1:19" x14ac:dyDescent="0.3">
      <c r="A509" s="5" t="s">
        <v>912</v>
      </c>
      <c r="B509" s="5" t="s">
        <v>298</v>
      </c>
      <c r="C509" s="5" t="s">
        <v>59</v>
      </c>
      <c r="D509" s="5" t="s">
        <v>60</v>
      </c>
      <c r="E509" s="6" t="s">
        <v>410</v>
      </c>
      <c r="F509" s="5" t="s">
        <v>166</v>
      </c>
      <c r="G509" s="5" t="s">
        <v>36</v>
      </c>
      <c r="H509" s="5" t="s">
        <v>37</v>
      </c>
      <c r="I509" s="5" t="s">
        <v>47</v>
      </c>
      <c r="J509" s="5" t="s">
        <v>47</v>
      </c>
      <c r="K509" s="5" t="s">
        <v>149</v>
      </c>
      <c r="L509" s="7">
        <v>2289.42</v>
      </c>
      <c r="M509" s="5">
        <v>12</v>
      </c>
      <c r="N509" s="7">
        <v>27473.040000000001</v>
      </c>
      <c r="O509" s="8">
        <v>14.8</v>
      </c>
      <c r="P509" s="7">
        <v>23407.03</v>
      </c>
      <c r="Q509" s="8">
        <v>51.2</v>
      </c>
      <c r="R509" s="7">
        <v>11984.4</v>
      </c>
      <c r="S509" s="5" t="s">
        <v>40</v>
      </c>
    </row>
    <row r="510" spans="1:19" x14ac:dyDescent="0.3">
      <c r="A510" s="1" t="s">
        <v>913</v>
      </c>
      <c r="B510" s="1" t="s">
        <v>546</v>
      </c>
      <c r="C510" s="1" t="s">
        <v>101</v>
      </c>
      <c r="D510" s="1" t="s">
        <v>60</v>
      </c>
      <c r="E510" s="2" t="s">
        <v>158</v>
      </c>
      <c r="F510" s="1" t="s">
        <v>35</v>
      </c>
      <c r="G510" s="1" t="s">
        <v>36</v>
      </c>
      <c r="H510" s="1" t="s">
        <v>105</v>
      </c>
      <c r="I510" s="1" t="s">
        <v>47</v>
      </c>
      <c r="J510" s="1" t="s">
        <v>65</v>
      </c>
      <c r="K510" s="1" t="s">
        <v>111</v>
      </c>
      <c r="L510" s="3">
        <v>39195.97</v>
      </c>
      <c r="M510" s="1">
        <v>24</v>
      </c>
      <c r="N510" s="3">
        <v>940703.28</v>
      </c>
      <c r="O510" s="4">
        <v>19</v>
      </c>
      <c r="P510" s="3">
        <v>761969.66</v>
      </c>
      <c r="Q510" s="4">
        <v>33.9</v>
      </c>
      <c r="R510" s="3">
        <v>258307.71</v>
      </c>
      <c r="S510" s="1" t="s">
        <v>40</v>
      </c>
    </row>
    <row r="511" spans="1:19" x14ac:dyDescent="0.3">
      <c r="A511" s="5" t="s">
        <v>914</v>
      </c>
      <c r="B511" s="5" t="s">
        <v>523</v>
      </c>
      <c r="C511" s="5" t="s">
        <v>43</v>
      </c>
      <c r="D511" s="5" t="s">
        <v>22</v>
      </c>
      <c r="E511" s="6" t="s">
        <v>76</v>
      </c>
      <c r="F511" s="5" t="s">
        <v>45</v>
      </c>
      <c r="G511" s="5" t="s">
        <v>53</v>
      </c>
      <c r="H511" s="5" t="s">
        <v>71</v>
      </c>
      <c r="I511" s="5" t="s">
        <v>47</v>
      </c>
      <c r="J511" s="5" t="s">
        <v>65</v>
      </c>
      <c r="K511" s="5" t="s">
        <v>78</v>
      </c>
      <c r="L511" s="7">
        <v>1377.7</v>
      </c>
      <c r="M511" s="5">
        <v>4</v>
      </c>
      <c r="N511" s="7">
        <v>5510.8</v>
      </c>
      <c r="O511" s="8">
        <v>22.5</v>
      </c>
      <c r="P511" s="7">
        <v>4270.87</v>
      </c>
      <c r="Q511" s="8">
        <v>34.4</v>
      </c>
      <c r="R511" s="7">
        <v>1469.18</v>
      </c>
      <c r="S511" s="5" t="s">
        <v>40</v>
      </c>
    </row>
    <row r="512" spans="1:19" x14ac:dyDescent="0.3">
      <c r="A512" s="1" t="s">
        <v>915</v>
      </c>
      <c r="B512" s="1" t="s">
        <v>673</v>
      </c>
      <c r="C512" s="1" t="s">
        <v>117</v>
      </c>
      <c r="D512" s="1" t="s">
        <v>86</v>
      </c>
      <c r="E512" s="2" t="s">
        <v>139</v>
      </c>
      <c r="F512" s="1" t="s">
        <v>45</v>
      </c>
      <c r="G512" s="1" t="s">
        <v>63</v>
      </c>
      <c r="H512" s="1" t="s">
        <v>87</v>
      </c>
      <c r="I512" s="1" t="s">
        <v>38</v>
      </c>
      <c r="J512" s="1" t="s">
        <v>47</v>
      </c>
      <c r="K512" s="1" t="s">
        <v>48</v>
      </c>
      <c r="L512" s="3">
        <v>286.48</v>
      </c>
      <c r="M512" s="1">
        <v>4</v>
      </c>
      <c r="N512" s="3">
        <v>1145.92</v>
      </c>
      <c r="O512" s="4">
        <v>16.899999999999999</v>
      </c>
      <c r="P512" s="3">
        <v>952.26</v>
      </c>
      <c r="Q512" s="4">
        <v>37.1</v>
      </c>
      <c r="R512" s="3">
        <v>353.29</v>
      </c>
      <c r="S512" s="1" t="s">
        <v>79</v>
      </c>
    </row>
    <row r="513" spans="1:19" x14ac:dyDescent="0.3">
      <c r="A513" s="5" t="s">
        <v>916</v>
      </c>
      <c r="B513" s="5" t="s">
        <v>584</v>
      </c>
      <c r="C513" s="5" t="s">
        <v>75</v>
      </c>
      <c r="D513" s="5" t="s">
        <v>60</v>
      </c>
      <c r="E513" s="6" t="s">
        <v>201</v>
      </c>
      <c r="F513" s="5" t="s">
        <v>24</v>
      </c>
      <c r="G513" s="5" t="s">
        <v>36</v>
      </c>
      <c r="H513" s="5" t="s">
        <v>119</v>
      </c>
      <c r="I513" s="5" t="s">
        <v>38</v>
      </c>
      <c r="J513" s="5" t="s">
        <v>28</v>
      </c>
      <c r="K513" s="5" t="s">
        <v>39</v>
      </c>
      <c r="L513" s="7">
        <v>46175.26</v>
      </c>
      <c r="M513" s="5">
        <v>12</v>
      </c>
      <c r="N513" s="7">
        <v>554103.12</v>
      </c>
      <c r="O513" s="8">
        <v>24.1</v>
      </c>
      <c r="P513" s="7">
        <v>420564.27</v>
      </c>
      <c r="Q513" s="8">
        <v>14.4</v>
      </c>
      <c r="R513" s="7">
        <v>60561.25</v>
      </c>
      <c r="S513" s="5" t="s">
        <v>30</v>
      </c>
    </row>
    <row r="514" spans="1:19" x14ac:dyDescent="0.3">
      <c r="A514" s="1" t="s">
        <v>917</v>
      </c>
      <c r="B514" s="1" t="s">
        <v>409</v>
      </c>
      <c r="C514" s="1" t="s">
        <v>101</v>
      </c>
      <c r="D514" s="1" t="s">
        <v>60</v>
      </c>
      <c r="E514" s="2" t="s">
        <v>61</v>
      </c>
      <c r="F514" s="1" t="s">
        <v>62</v>
      </c>
      <c r="G514" s="1" t="s">
        <v>109</v>
      </c>
      <c r="H514" s="1" t="s">
        <v>189</v>
      </c>
      <c r="I514" s="1" t="s">
        <v>55</v>
      </c>
      <c r="J514" s="1" t="s">
        <v>65</v>
      </c>
      <c r="K514" s="1" t="s">
        <v>56</v>
      </c>
      <c r="L514" s="3">
        <v>1505.14</v>
      </c>
      <c r="M514" s="1">
        <v>1</v>
      </c>
      <c r="N514" s="3">
        <v>1505.14</v>
      </c>
      <c r="O514" s="4">
        <v>6.6</v>
      </c>
      <c r="P514" s="3">
        <v>1405.8</v>
      </c>
      <c r="Q514" s="4">
        <v>56.2</v>
      </c>
      <c r="R514" s="3">
        <v>790.06</v>
      </c>
      <c r="S514" s="1" t="s">
        <v>40</v>
      </c>
    </row>
    <row r="515" spans="1:19" x14ac:dyDescent="0.3">
      <c r="A515" s="5" t="s">
        <v>918</v>
      </c>
      <c r="B515" s="5" t="s">
        <v>515</v>
      </c>
      <c r="C515" s="5" t="s">
        <v>21</v>
      </c>
      <c r="D515" s="5" t="s">
        <v>22</v>
      </c>
      <c r="E515" s="6" t="s">
        <v>118</v>
      </c>
      <c r="F515" s="5" t="s">
        <v>62</v>
      </c>
      <c r="G515" s="5" t="s">
        <v>53</v>
      </c>
      <c r="H515" s="5" t="s">
        <v>77</v>
      </c>
      <c r="I515" s="5" t="s">
        <v>38</v>
      </c>
      <c r="J515" s="5" t="s">
        <v>47</v>
      </c>
      <c r="K515" s="5" t="s">
        <v>88</v>
      </c>
      <c r="L515" s="7">
        <v>3965.23</v>
      </c>
      <c r="M515" s="5">
        <v>2</v>
      </c>
      <c r="N515" s="7">
        <v>7930.46</v>
      </c>
      <c r="O515" s="8">
        <v>13.6</v>
      </c>
      <c r="P515" s="7">
        <v>6851.92</v>
      </c>
      <c r="Q515" s="8">
        <v>56.4</v>
      </c>
      <c r="R515" s="7">
        <v>3864.48</v>
      </c>
      <c r="S515" s="5" t="s">
        <v>40</v>
      </c>
    </row>
    <row r="516" spans="1:19" x14ac:dyDescent="0.3">
      <c r="A516" s="1" t="s">
        <v>919</v>
      </c>
      <c r="B516" s="1" t="s">
        <v>920</v>
      </c>
      <c r="C516" s="1" t="s">
        <v>33</v>
      </c>
      <c r="D516" s="1" t="s">
        <v>22</v>
      </c>
      <c r="E516" s="2" t="s">
        <v>184</v>
      </c>
      <c r="F516" s="1" t="s">
        <v>45</v>
      </c>
      <c r="G516" s="1" t="s">
        <v>36</v>
      </c>
      <c r="H516" s="1" t="s">
        <v>105</v>
      </c>
      <c r="I516" s="1" t="s">
        <v>55</v>
      </c>
      <c r="J516" s="1" t="s">
        <v>93</v>
      </c>
      <c r="K516" s="1" t="s">
        <v>102</v>
      </c>
      <c r="L516" s="3">
        <v>1466.08</v>
      </c>
      <c r="M516" s="1">
        <v>24</v>
      </c>
      <c r="N516" s="3">
        <v>35185.919999999998</v>
      </c>
      <c r="O516" s="4">
        <v>11.8</v>
      </c>
      <c r="P516" s="3">
        <v>31033.98</v>
      </c>
      <c r="Q516" s="4">
        <v>27.9</v>
      </c>
      <c r="R516" s="3">
        <v>8658.48</v>
      </c>
      <c r="S516" s="1" t="s">
        <v>40</v>
      </c>
    </row>
    <row r="517" spans="1:19" x14ac:dyDescent="0.3">
      <c r="A517" s="5" t="s">
        <v>921</v>
      </c>
      <c r="B517" s="5" t="s">
        <v>124</v>
      </c>
      <c r="C517" s="5" t="s">
        <v>59</v>
      </c>
      <c r="D517" s="5" t="s">
        <v>60</v>
      </c>
      <c r="E517" s="6" t="s">
        <v>23</v>
      </c>
      <c r="F517" s="5" t="s">
        <v>24</v>
      </c>
      <c r="G517" s="5" t="s">
        <v>53</v>
      </c>
      <c r="H517" s="5" t="s">
        <v>71</v>
      </c>
      <c r="I517" s="5" t="s">
        <v>55</v>
      </c>
      <c r="J517" s="5" t="s">
        <v>65</v>
      </c>
      <c r="K517" s="5" t="s">
        <v>149</v>
      </c>
      <c r="L517" s="7">
        <v>75656.84</v>
      </c>
      <c r="M517" s="5">
        <v>6</v>
      </c>
      <c r="N517" s="7">
        <v>453941.04</v>
      </c>
      <c r="O517" s="8">
        <v>10.5</v>
      </c>
      <c r="P517" s="7">
        <v>406277.23</v>
      </c>
      <c r="Q517" s="8">
        <v>23.9</v>
      </c>
      <c r="R517" s="7">
        <v>97100.26</v>
      </c>
      <c r="S517" s="5" t="s">
        <v>30</v>
      </c>
    </row>
    <row r="518" spans="1:19" x14ac:dyDescent="0.3">
      <c r="A518" s="1" t="s">
        <v>922</v>
      </c>
      <c r="B518" s="1" t="s">
        <v>403</v>
      </c>
      <c r="C518" s="1" t="s">
        <v>75</v>
      </c>
      <c r="D518" s="1" t="s">
        <v>60</v>
      </c>
      <c r="E518" s="2" t="s">
        <v>114</v>
      </c>
      <c r="F518" s="1" t="s">
        <v>45</v>
      </c>
      <c r="G518" s="1" t="s">
        <v>63</v>
      </c>
      <c r="H518" s="1" t="s">
        <v>92</v>
      </c>
      <c r="I518" s="1" t="s">
        <v>27</v>
      </c>
      <c r="J518" s="1" t="s">
        <v>47</v>
      </c>
      <c r="K518" s="1" t="s">
        <v>56</v>
      </c>
      <c r="L518" s="3">
        <v>865.98</v>
      </c>
      <c r="M518" s="1">
        <v>18</v>
      </c>
      <c r="N518" s="3">
        <v>15587.64</v>
      </c>
      <c r="O518" s="4">
        <v>6.7</v>
      </c>
      <c r="P518" s="3">
        <v>14543.27</v>
      </c>
      <c r="Q518" s="4">
        <v>19.399999999999999</v>
      </c>
      <c r="R518" s="3">
        <v>2821.39</v>
      </c>
      <c r="S518" s="1" t="s">
        <v>79</v>
      </c>
    </row>
    <row r="519" spans="1:19" x14ac:dyDescent="0.3">
      <c r="A519" s="5" t="s">
        <v>923</v>
      </c>
      <c r="B519" s="5" t="s">
        <v>924</v>
      </c>
      <c r="C519" s="5" t="s">
        <v>117</v>
      </c>
      <c r="D519" s="5" t="s">
        <v>86</v>
      </c>
      <c r="E519" s="6" t="s">
        <v>224</v>
      </c>
      <c r="F519" s="5" t="s">
        <v>166</v>
      </c>
      <c r="G519" s="5" t="s">
        <v>53</v>
      </c>
      <c r="H519" s="5" t="s">
        <v>98</v>
      </c>
      <c r="I519" s="5" t="s">
        <v>72</v>
      </c>
      <c r="J519" s="5" t="s">
        <v>65</v>
      </c>
      <c r="K519" s="5" t="s">
        <v>159</v>
      </c>
      <c r="L519" s="7">
        <v>4039.5</v>
      </c>
      <c r="M519" s="5">
        <v>3</v>
      </c>
      <c r="N519" s="7">
        <v>12118.5</v>
      </c>
      <c r="O519" s="8">
        <v>11.7</v>
      </c>
      <c r="P519" s="7">
        <v>10700.64</v>
      </c>
      <c r="Q519" s="8">
        <v>44.5</v>
      </c>
      <c r="R519" s="7">
        <v>4761.78</v>
      </c>
      <c r="S519" s="5" t="s">
        <v>40</v>
      </c>
    </row>
    <row r="520" spans="1:19" x14ac:dyDescent="0.3">
      <c r="A520" s="1" t="s">
        <v>925</v>
      </c>
      <c r="B520" s="1" t="s">
        <v>926</v>
      </c>
      <c r="C520" s="1" t="s">
        <v>131</v>
      </c>
      <c r="D520" s="1" t="s">
        <v>69</v>
      </c>
      <c r="E520" s="2" t="s">
        <v>82</v>
      </c>
      <c r="F520" s="1" t="s">
        <v>24</v>
      </c>
      <c r="G520" s="1" t="s">
        <v>109</v>
      </c>
      <c r="H520" s="1" t="s">
        <v>189</v>
      </c>
      <c r="I520" s="1" t="s">
        <v>72</v>
      </c>
      <c r="J520" s="1" t="s">
        <v>65</v>
      </c>
      <c r="K520" s="1" t="s">
        <v>56</v>
      </c>
      <c r="L520" s="3">
        <v>30034.49</v>
      </c>
      <c r="M520" s="1">
        <v>6</v>
      </c>
      <c r="N520" s="3">
        <v>180206.94</v>
      </c>
      <c r="O520" s="4">
        <v>7.2</v>
      </c>
      <c r="P520" s="3">
        <v>167232.04</v>
      </c>
      <c r="Q520" s="4">
        <v>25.5</v>
      </c>
      <c r="R520" s="3">
        <v>42644.17</v>
      </c>
      <c r="S520" s="1" t="s">
        <v>40</v>
      </c>
    </row>
    <row r="521" spans="1:19" x14ac:dyDescent="0.3">
      <c r="A521" s="5" t="s">
        <v>927</v>
      </c>
      <c r="B521" s="5" t="s">
        <v>179</v>
      </c>
      <c r="C521" s="5" t="s">
        <v>101</v>
      </c>
      <c r="D521" s="5" t="s">
        <v>60</v>
      </c>
      <c r="E521" s="6" t="s">
        <v>139</v>
      </c>
      <c r="F521" s="5" t="s">
        <v>45</v>
      </c>
      <c r="G521" s="5" t="s">
        <v>36</v>
      </c>
      <c r="H521" s="5" t="s">
        <v>105</v>
      </c>
      <c r="I521" s="5" t="s">
        <v>47</v>
      </c>
      <c r="J521" s="5" t="s">
        <v>47</v>
      </c>
      <c r="K521" s="5" t="s">
        <v>88</v>
      </c>
      <c r="L521" s="7">
        <v>1344.14</v>
      </c>
      <c r="M521" s="5">
        <v>15</v>
      </c>
      <c r="N521" s="7">
        <v>20162.099999999999</v>
      </c>
      <c r="O521" s="8">
        <v>11.7</v>
      </c>
      <c r="P521" s="7">
        <v>17803.13</v>
      </c>
      <c r="Q521" s="8">
        <v>20.3</v>
      </c>
      <c r="R521" s="7">
        <v>3614.04</v>
      </c>
      <c r="S521" s="5" t="s">
        <v>40</v>
      </c>
    </row>
    <row r="522" spans="1:19" x14ac:dyDescent="0.3">
      <c r="A522" s="1" t="s">
        <v>928</v>
      </c>
      <c r="B522" s="1" t="s">
        <v>821</v>
      </c>
      <c r="C522" s="1" t="s">
        <v>33</v>
      </c>
      <c r="D522" s="1" t="s">
        <v>22</v>
      </c>
      <c r="E522" s="2" t="s">
        <v>201</v>
      </c>
      <c r="F522" s="1" t="s">
        <v>24</v>
      </c>
      <c r="G522" s="1" t="s">
        <v>109</v>
      </c>
      <c r="H522" s="1" t="s">
        <v>152</v>
      </c>
      <c r="I522" s="1" t="s">
        <v>55</v>
      </c>
      <c r="J522" s="1" t="s">
        <v>93</v>
      </c>
      <c r="K522" s="1" t="s">
        <v>88</v>
      </c>
      <c r="L522" s="3">
        <v>88427.77</v>
      </c>
      <c r="M522" s="1">
        <v>22</v>
      </c>
      <c r="N522" s="3">
        <v>1945410.94</v>
      </c>
      <c r="O522" s="4">
        <v>24.1</v>
      </c>
      <c r="P522" s="3">
        <v>1476566.9</v>
      </c>
      <c r="Q522" s="4">
        <v>17.5</v>
      </c>
      <c r="R522" s="3">
        <v>258399.21</v>
      </c>
      <c r="S522" s="1" t="s">
        <v>79</v>
      </c>
    </row>
    <row r="523" spans="1:19" x14ac:dyDescent="0.3">
      <c r="A523" s="5" t="s">
        <v>929</v>
      </c>
      <c r="B523" s="5" t="s">
        <v>930</v>
      </c>
      <c r="C523" s="5" t="s">
        <v>59</v>
      </c>
      <c r="D523" s="5" t="s">
        <v>60</v>
      </c>
      <c r="E523" s="6" t="s">
        <v>213</v>
      </c>
      <c r="F523" s="5" t="s">
        <v>62</v>
      </c>
      <c r="G523" s="5" t="s">
        <v>36</v>
      </c>
      <c r="H523" s="5" t="s">
        <v>119</v>
      </c>
      <c r="I523" s="5" t="s">
        <v>47</v>
      </c>
      <c r="J523" s="5" t="s">
        <v>93</v>
      </c>
      <c r="K523" s="5" t="s">
        <v>149</v>
      </c>
      <c r="L523" s="7">
        <v>528.27</v>
      </c>
      <c r="M523" s="5">
        <v>25</v>
      </c>
      <c r="N523" s="7">
        <v>13206.75</v>
      </c>
      <c r="O523" s="8">
        <v>11.9</v>
      </c>
      <c r="P523" s="7">
        <v>11635.15</v>
      </c>
      <c r="Q523" s="8">
        <v>52</v>
      </c>
      <c r="R523" s="7">
        <v>6050.28</v>
      </c>
      <c r="S523" s="5" t="s">
        <v>79</v>
      </c>
    </row>
    <row r="524" spans="1:19" x14ac:dyDescent="0.3">
      <c r="A524" s="1" t="s">
        <v>931</v>
      </c>
      <c r="B524" s="1" t="s">
        <v>228</v>
      </c>
      <c r="C524" s="1" t="s">
        <v>33</v>
      </c>
      <c r="D524" s="1" t="s">
        <v>22</v>
      </c>
      <c r="E524" s="2" t="s">
        <v>213</v>
      </c>
      <c r="F524" s="1" t="s">
        <v>62</v>
      </c>
      <c r="G524" s="1" t="s">
        <v>109</v>
      </c>
      <c r="H524" s="1" t="s">
        <v>152</v>
      </c>
      <c r="I524" s="1" t="s">
        <v>47</v>
      </c>
      <c r="J524" s="1" t="s">
        <v>47</v>
      </c>
      <c r="K524" s="1" t="s">
        <v>102</v>
      </c>
      <c r="L524" s="3">
        <v>613.78</v>
      </c>
      <c r="M524" s="1">
        <v>10</v>
      </c>
      <c r="N524" s="3">
        <v>6137.8</v>
      </c>
      <c r="O524" s="4">
        <v>4.3</v>
      </c>
      <c r="P524" s="3">
        <v>5873.87</v>
      </c>
      <c r="Q524" s="4">
        <v>62.4</v>
      </c>
      <c r="R524" s="3">
        <v>3665.29</v>
      </c>
      <c r="S524" s="1" t="s">
        <v>40</v>
      </c>
    </row>
    <row r="525" spans="1:19" x14ac:dyDescent="0.3">
      <c r="A525" s="5" t="s">
        <v>932</v>
      </c>
      <c r="B525" s="5" t="s">
        <v>852</v>
      </c>
      <c r="C525" s="5" t="s">
        <v>135</v>
      </c>
      <c r="D525" s="5" t="s">
        <v>69</v>
      </c>
      <c r="E525" s="6" t="s">
        <v>246</v>
      </c>
      <c r="F525" s="5" t="s">
        <v>52</v>
      </c>
      <c r="G525" s="5" t="s">
        <v>36</v>
      </c>
      <c r="H525" s="5" t="s">
        <v>119</v>
      </c>
      <c r="I525" s="5" t="s">
        <v>72</v>
      </c>
      <c r="J525" s="5" t="s">
        <v>28</v>
      </c>
      <c r="K525" s="5" t="s">
        <v>102</v>
      </c>
      <c r="L525" s="7">
        <v>7679.23</v>
      </c>
      <c r="M525" s="5">
        <v>24</v>
      </c>
      <c r="N525" s="7">
        <v>184301.52</v>
      </c>
      <c r="O525" s="8">
        <v>4.5999999999999996</v>
      </c>
      <c r="P525" s="7">
        <v>175823.65</v>
      </c>
      <c r="Q525" s="8">
        <v>37.6</v>
      </c>
      <c r="R525" s="7">
        <v>66109.69</v>
      </c>
      <c r="S525" s="5" t="s">
        <v>79</v>
      </c>
    </row>
    <row r="526" spans="1:19" x14ac:dyDescent="0.3">
      <c r="A526" s="1" t="s">
        <v>933</v>
      </c>
      <c r="B526" s="1" t="s">
        <v>480</v>
      </c>
      <c r="C526" s="1" t="s">
        <v>131</v>
      </c>
      <c r="D526" s="1" t="s">
        <v>69</v>
      </c>
      <c r="E526" s="2" t="s">
        <v>194</v>
      </c>
      <c r="F526" s="1" t="s">
        <v>52</v>
      </c>
      <c r="G526" s="1" t="s">
        <v>109</v>
      </c>
      <c r="H526" s="1" t="s">
        <v>152</v>
      </c>
      <c r="I526" s="1" t="s">
        <v>38</v>
      </c>
      <c r="J526" s="1" t="s">
        <v>47</v>
      </c>
      <c r="K526" s="1" t="s">
        <v>149</v>
      </c>
      <c r="L526" s="3">
        <v>7607.62</v>
      </c>
      <c r="M526" s="1">
        <v>5</v>
      </c>
      <c r="N526" s="3">
        <v>38038.1</v>
      </c>
      <c r="O526" s="4">
        <v>20.7</v>
      </c>
      <c r="P526" s="3">
        <v>30164.21</v>
      </c>
      <c r="Q526" s="4">
        <v>36.700000000000003</v>
      </c>
      <c r="R526" s="3">
        <v>11070.27</v>
      </c>
      <c r="S526" s="1" t="s">
        <v>79</v>
      </c>
    </row>
    <row r="527" spans="1:19" x14ac:dyDescent="0.3">
      <c r="A527" s="5" t="s">
        <v>934</v>
      </c>
      <c r="B527" s="5" t="s">
        <v>391</v>
      </c>
      <c r="C527" s="5" t="s">
        <v>21</v>
      </c>
      <c r="D527" s="5" t="s">
        <v>22</v>
      </c>
      <c r="E527" s="6" t="s">
        <v>246</v>
      </c>
      <c r="F527" s="5" t="s">
        <v>52</v>
      </c>
      <c r="G527" s="5" t="s">
        <v>109</v>
      </c>
      <c r="H527" s="5" t="s">
        <v>110</v>
      </c>
      <c r="I527" s="5" t="s">
        <v>27</v>
      </c>
      <c r="J527" s="5" t="s">
        <v>65</v>
      </c>
      <c r="K527" s="5" t="s">
        <v>102</v>
      </c>
      <c r="L527" s="7">
        <v>2326.31</v>
      </c>
      <c r="M527" s="5">
        <v>22</v>
      </c>
      <c r="N527" s="7">
        <v>51178.82</v>
      </c>
      <c r="O527" s="8">
        <v>12.5</v>
      </c>
      <c r="P527" s="7">
        <v>44781.47</v>
      </c>
      <c r="Q527" s="8">
        <v>40.700000000000003</v>
      </c>
      <c r="R527" s="7">
        <v>18226.060000000001</v>
      </c>
      <c r="S527" s="5" t="s">
        <v>40</v>
      </c>
    </row>
    <row r="528" spans="1:19" x14ac:dyDescent="0.3">
      <c r="A528" s="1" t="s">
        <v>935</v>
      </c>
      <c r="B528" s="1" t="s">
        <v>906</v>
      </c>
      <c r="C528" s="1" t="s">
        <v>131</v>
      </c>
      <c r="D528" s="1" t="s">
        <v>69</v>
      </c>
      <c r="E528" s="2" t="s">
        <v>224</v>
      </c>
      <c r="F528" s="1" t="s">
        <v>166</v>
      </c>
      <c r="G528" s="1" t="s">
        <v>109</v>
      </c>
      <c r="H528" s="1" t="s">
        <v>152</v>
      </c>
      <c r="I528" s="1" t="s">
        <v>55</v>
      </c>
      <c r="J528" s="1" t="s">
        <v>47</v>
      </c>
      <c r="K528" s="1" t="s">
        <v>149</v>
      </c>
      <c r="L528" s="3">
        <v>4918.3599999999997</v>
      </c>
      <c r="M528" s="1">
        <v>3</v>
      </c>
      <c r="N528" s="3">
        <v>14755.08</v>
      </c>
      <c r="O528" s="4">
        <v>16</v>
      </c>
      <c r="P528" s="3">
        <v>12394.27</v>
      </c>
      <c r="Q528" s="4">
        <v>52.6</v>
      </c>
      <c r="R528" s="3">
        <v>6519.39</v>
      </c>
      <c r="S528" s="1" t="s">
        <v>40</v>
      </c>
    </row>
    <row r="529" spans="1:19" x14ac:dyDescent="0.3">
      <c r="A529" s="5" t="s">
        <v>936</v>
      </c>
      <c r="B529" s="5" t="s">
        <v>173</v>
      </c>
      <c r="C529" s="5" t="s">
        <v>21</v>
      </c>
      <c r="D529" s="5" t="s">
        <v>22</v>
      </c>
      <c r="E529" s="6" t="s">
        <v>279</v>
      </c>
      <c r="F529" s="5" t="s">
        <v>166</v>
      </c>
      <c r="G529" s="5" t="s">
        <v>109</v>
      </c>
      <c r="H529" s="5" t="s">
        <v>152</v>
      </c>
      <c r="I529" s="5" t="s">
        <v>55</v>
      </c>
      <c r="J529" s="5" t="s">
        <v>93</v>
      </c>
      <c r="K529" s="5" t="s">
        <v>88</v>
      </c>
      <c r="L529" s="7">
        <v>897.31</v>
      </c>
      <c r="M529" s="5">
        <v>12</v>
      </c>
      <c r="N529" s="7">
        <v>10767.72</v>
      </c>
      <c r="O529" s="8">
        <v>12.8</v>
      </c>
      <c r="P529" s="7">
        <v>9389.4500000000007</v>
      </c>
      <c r="Q529" s="8">
        <v>52.6</v>
      </c>
      <c r="R529" s="7">
        <v>4938.8500000000004</v>
      </c>
      <c r="S529" s="5" t="s">
        <v>40</v>
      </c>
    </row>
    <row r="530" spans="1:19" x14ac:dyDescent="0.3">
      <c r="A530" s="1" t="s">
        <v>937</v>
      </c>
      <c r="B530" s="1" t="s">
        <v>938</v>
      </c>
      <c r="C530" s="1" t="s">
        <v>68</v>
      </c>
      <c r="D530" s="1" t="s">
        <v>69</v>
      </c>
      <c r="E530" s="2" t="s">
        <v>108</v>
      </c>
      <c r="F530" s="1" t="s">
        <v>35</v>
      </c>
      <c r="G530" s="1" t="s">
        <v>109</v>
      </c>
      <c r="H530" s="1" t="s">
        <v>122</v>
      </c>
      <c r="I530" s="1" t="s">
        <v>72</v>
      </c>
      <c r="J530" s="1" t="s">
        <v>47</v>
      </c>
      <c r="K530" s="1" t="s">
        <v>56</v>
      </c>
      <c r="L530" s="3">
        <v>7626.42</v>
      </c>
      <c r="M530" s="1">
        <v>18</v>
      </c>
      <c r="N530" s="3">
        <v>137275.56</v>
      </c>
      <c r="O530" s="4">
        <v>10.1</v>
      </c>
      <c r="P530" s="3">
        <v>123410.73</v>
      </c>
      <c r="Q530" s="4">
        <v>28.8</v>
      </c>
      <c r="R530" s="3">
        <v>35542.29</v>
      </c>
      <c r="S530" s="1" t="s">
        <v>40</v>
      </c>
    </row>
    <row r="531" spans="1:19" x14ac:dyDescent="0.3">
      <c r="A531" s="5" t="s">
        <v>939</v>
      </c>
      <c r="B531" s="5" t="s">
        <v>540</v>
      </c>
      <c r="C531" s="5" t="s">
        <v>68</v>
      </c>
      <c r="D531" s="5" t="s">
        <v>69</v>
      </c>
      <c r="E531" s="6" t="s">
        <v>97</v>
      </c>
      <c r="F531" s="5" t="s">
        <v>35</v>
      </c>
      <c r="G531" s="5" t="s">
        <v>63</v>
      </c>
      <c r="H531" s="5" t="s">
        <v>87</v>
      </c>
      <c r="I531" s="5" t="s">
        <v>27</v>
      </c>
      <c r="J531" s="5" t="s">
        <v>65</v>
      </c>
      <c r="K531" s="5" t="s">
        <v>78</v>
      </c>
      <c r="L531" s="7">
        <v>2773.73</v>
      </c>
      <c r="M531" s="5">
        <v>2</v>
      </c>
      <c r="N531" s="7">
        <v>5547.46</v>
      </c>
      <c r="O531" s="8">
        <v>3</v>
      </c>
      <c r="P531" s="7">
        <v>5381.04</v>
      </c>
      <c r="Q531" s="8">
        <v>49.1</v>
      </c>
      <c r="R531" s="7">
        <v>2642.09</v>
      </c>
      <c r="S531" s="5" t="s">
        <v>40</v>
      </c>
    </row>
    <row r="532" spans="1:19" x14ac:dyDescent="0.3">
      <c r="A532" s="1" t="s">
        <v>940</v>
      </c>
      <c r="B532" s="1" t="s">
        <v>560</v>
      </c>
      <c r="C532" s="1" t="s">
        <v>85</v>
      </c>
      <c r="D532" s="1" t="s">
        <v>86</v>
      </c>
      <c r="E532" s="2" t="s">
        <v>170</v>
      </c>
      <c r="F532" s="1" t="s">
        <v>52</v>
      </c>
      <c r="G532" s="1" t="s">
        <v>63</v>
      </c>
      <c r="H532" s="1" t="s">
        <v>87</v>
      </c>
      <c r="I532" s="1" t="s">
        <v>72</v>
      </c>
      <c r="J532" s="1" t="s">
        <v>28</v>
      </c>
      <c r="K532" s="1" t="s">
        <v>48</v>
      </c>
      <c r="L532" s="3">
        <v>6965.06</v>
      </c>
      <c r="M532" s="1">
        <v>11</v>
      </c>
      <c r="N532" s="3">
        <v>76615.66</v>
      </c>
      <c r="O532" s="4">
        <v>17.8</v>
      </c>
      <c r="P532" s="3">
        <v>62978.07</v>
      </c>
      <c r="Q532" s="4">
        <v>34.9</v>
      </c>
      <c r="R532" s="3">
        <v>21979.35</v>
      </c>
      <c r="S532" s="1" t="s">
        <v>40</v>
      </c>
    </row>
    <row r="533" spans="1:19" x14ac:dyDescent="0.3">
      <c r="A533" s="5" t="s">
        <v>941</v>
      </c>
      <c r="B533" s="5" t="s">
        <v>169</v>
      </c>
      <c r="C533" s="5" t="s">
        <v>117</v>
      </c>
      <c r="D533" s="5" t="s">
        <v>86</v>
      </c>
      <c r="E533" s="6" t="s">
        <v>346</v>
      </c>
      <c r="F533" s="5" t="s">
        <v>35</v>
      </c>
      <c r="G533" s="5" t="s">
        <v>36</v>
      </c>
      <c r="H533" s="5" t="s">
        <v>37</v>
      </c>
      <c r="I533" s="5" t="s">
        <v>55</v>
      </c>
      <c r="J533" s="5" t="s">
        <v>28</v>
      </c>
      <c r="K533" s="5" t="s">
        <v>159</v>
      </c>
      <c r="L533" s="7">
        <v>9224.98</v>
      </c>
      <c r="M533" s="5">
        <v>22</v>
      </c>
      <c r="N533" s="7">
        <v>202949.56</v>
      </c>
      <c r="O533" s="8">
        <v>16.5</v>
      </c>
      <c r="P533" s="7">
        <v>169462.88</v>
      </c>
      <c r="Q533" s="8">
        <v>49.7</v>
      </c>
      <c r="R533" s="7">
        <v>84223.05</v>
      </c>
      <c r="S533" s="5" t="s">
        <v>40</v>
      </c>
    </row>
    <row r="534" spans="1:19" x14ac:dyDescent="0.3">
      <c r="A534" s="1" t="s">
        <v>942</v>
      </c>
      <c r="B534" s="1" t="s">
        <v>161</v>
      </c>
      <c r="C534" s="1" t="s">
        <v>21</v>
      </c>
      <c r="D534" s="1" t="s">
        <v>22</v>
      </c>
      <c r="E534" s="2" t="s">
        <v>61</v>
      </c>
      <c r="F534" s="1" t="s">
        <v>62</v>
      </c>
      <c r="G534" s="1" t="s">
        <v>63</v>
      </c>
      <c r="H534" s="1" t="s">
        <v>92</v>
      </c>
      <c r="I534" s="1" t="s">
        <v>55</v>
      </c>
      <c r="J534" s="1" t="s">
        <v>65</v>
      </c>
      <c r="K534" s="1" t="s">
        <v>159</v>
      </c>
      <c r="L534" s="3">
        <v>1126.72</v>
      </c>
      <c r="M534" s="1">
        <v>15</v>
      </c>
      <c r="N534" s="3">
        <v>16900.8</v>
      </c>
      <c r="O534" s="4">
        <v>7.7</v>
      </c>
      <c r="P534" s="3">
        <v>15599.44</v>
      </c>
      <c r="Q534" s="4">
        <v>56.2</v>
      </c>
      <c r="R534" s="3">
        <v>8766.89</v>
      </c>
      <c r="S534" s="1" t="s">
        <v>30</v>
      </c>
    </row>
    <row r="535" spans="1:19" x14ac:dyDescent="0.3">
      <c r="A535" s="5" t="s">
        <v>943</v>
      </c>
      <c r="B535" s="5" t="s">
        <v>272</v>
      </c>
      <c r="C535" s="5" t="s">
        <v>131</v>
      </c>
      <c r="D535" s="5" t="s">
        <v>69</v>
      </c>
      <c r="E535" s="6" t="s">
        <v>165</v>
      </c>
      <c r="F535" s="5" t="s">
        <v>166</v>
      </c>
      <c r="G535" s="5" t="s">
        <v>53</v>
      </c>
      <c r="H535" s="5" t="s">
        <v>98</v>
      </c>
      <c r="I535" s="5" t="s">
        <v>47</v>
      </c>
      <c r="J535" s="5" t="s">
        <v>65</v>
      </c>
      <c r="K535" s="5" t="s">
        <v>78</v>
      </c>
      <c r="L535" s="7">
        <v>2344.9</v>
      </c>
      <c r="M535" s="5">
        <v>8</v>
      </c>
      <c r="N535" s="7">
        <v>18759.2</v>
      </c>
      <c r="O535" s="8">
        <v>13.6</v>
      </c>
      <c r="P535" s="7">
        <v>16207.95</v>
      </c>
      <c r="Q535" s="8">
        <v>42.5</v>
      </c>
      <c r="R535" s="7">
        <v>6888.38</v>
      </c>
      <c r="S535" s="5" t="s">
        <v>30</v>
      </c>
    </row>
    <row r="536" spans="1:19" x14ac:dyDescent="0.3">
      <c r="A536" s="1" t="s">
        <v>944</v>
      </c>
      <c r="B536" s="1" t="s">
        <v>345</v>
      </c>
      <c r="C536" s="1" t="s">
        <v>117</v>
      </c>
      <c r="D536" s="1" t="s">
        <v>86</v>
      </c>
      <c r="E536" s="2" t="s">
        <v>118</v>
      </c>
      <c r="F536" s="1" t="s">
        <v>62</v>
      </c>
      <c r="G536" s="1" t="s">
        <v>25</v>
      </c>
      <c r="H536" s="1" t="s">
        <v>132</v>
      </c>
      <c r="I536" s="1" t="s">
        <v>38</v>
      </c>
      <c r="J536" s="1" t="s">
        <v>65</v>
      </c>
      <c r="K536" s="1" t="s">
        <v>56</v>
      </c>
      <c r="L536" s="3">
        <v>1013.66</v>
      </c>
      <c r="M536" s="1">
        <v>11</v>
      </c>
      <c r="N536" s="3">
        <v>11150.26</v>
      </c>
      <c r="O536" s="4">
        <v>3.8</v>
      </c>
      <c r="P536" s="3">
        <v>10726.55</v>
      </c>
      <c r="Q536" s="4">
        <v>58.9</v>
      </c>
      <c r="R536" s="3">
        <v>6317.94</v>
      </c>
      <c r="S536" s="1" t="s">
        <v>40</v>
      </c>
    </row>
    <row r="537" spans="1:19" x14ac:dyDescent="0.3">
      <c r="A537" s="5" t="s">
        <v>945</v>
      </c>
      <c r="B537" s="5" t="s">
        <v>208</v>
      </c>
      <c r="C537" s="5" t="s">
        <v>43</v>
      </c>
      <c r="D537" s="5" t="s">
        <v>22</v>
      </c>
      <c r="E537" s="6" t="s">
        <v>91</v>
      </c>
      <c r="F537" s="5" t="s">
        <v>52</v>
      </c>
      <c r="G537" s="5" t="s">
        <v>53</v>
      </c>
      <c r="H537" s="5" t="s">
        <v>71</v>
      </c>
      <c r="I537" s="5" t="s">
        <v>47</v>
      </c>
      <c r="J537" s="5" t="s">
        <v>47</v>
      </c>
      <c r="K537" s="5" t="s">
        <v>102</v>
      </c>
      <c r="L537" s="7">
        <v>4067.71</v>
      </c>
      <c r="M537" s="5">
        <v>18</v>
      </c>
      <c r="N537" s="7">
        <v>73218.78</v>
      </c>
      <c r="O537" s="8">
        <v>0.9</v>
      </c>
      <c r="P537" s="7">
        <v>72559.81</v>
      </c>
      <c r="Q537" s="8">
        <v>24.1</v>
      </c>
      <c r="R537" s="7">
        <v>17486.91</v>
      </c>
      <c r="S537" s="5" t="s">
        <v>40</v>
      </c>
    </row>
    <row r="538" spans="1:19" x14ac:dyDescent="0.3">
      <c r="A538" s="1" t="s">
        <v>946</v>
      </c>
      <c r="B538" s="1" t="s">
        <v>947</v>
      </c>
      <c r="C538" s="1" t="s">
        <v>131</v>
      </c>
      <c r="D538" s="1" t="s">
        <v>69</v>
      </c>
      <c r="E538" s="2" t="s">
        <v>97</v>
      </c>
      <c r="F538" s="1" t="s">
        <v>35</v>
      </c>
      <c r="G538" s="1" t="s">
        <v>25</v>
      </c>
      <c r="H538" s="1" t="s">
        <v>26</v>
      </c>
      <c r="I538" s="1" t="s">
        <v>47</v>
      </c>
      <c r="J538" s="1" t="s">
        <v>47</v>
      </c>
      <c r="K538" s="1" t="s">
        <v>102</v>
      </c>
      <c r="L538" s="3">
        <v>36388.400000000001</v>
      </c>
      <c r="M538" s="1">
        <v>16</v>
      </c>
      <c r="N538" s="3">
        <v>582214.40000000002</v>
      </c>
      <c r="O538" s="4">
        <v>6.1</v>
      </c>
      <c r="P538" s="3">
        <v>546699.31999999995</v>
      </c>
      <c r="Q538" s="4">
        <v>40</v>
      </c>
      <c r="R538" s="3">
        <v>218679.73</v>
      </c>
      <c r="S538" s="1" t="s">
        <v>40</v>
      </c>
    </row>
    <row r="539" spans="1:19" x14ac:dyDescent="0.3">
      <c r="A539" s="5" t="s">
        <v>948</v>
      </c>
      <c r="B539" s="5" t="s">
        <v>323</v>
      </c>
      <c r="C539" s="5" t="s">
        <v>68</v>
      </c>
      <c r="D539" s="5" t="s">
        <v>69</v>
      </c>
      <c r="E539" s="6" t="s">
        <v>158</v>
      </c>
      <c r="F539" s="5" t="s">
        <v>35</v>
      </c>
      <c r="G539" s="5" t="s">
        <v>109</v>
      </c>
      <c r="H539" s="5" t="s">
        <v>122</v>
      </c>
      <c r="I539" s="5" t="s">
        <v>47</v>
      </c>
      <c r="J539" s="5" t="s">
        <v>47</v>
      </c>
      <c r="K539" s="5" t="s">
        <v>159</v>
      </c>
      <c r="L539" s="7">
        <v>39921.339999999997</v>
      </c>
      <c r="M539" s="5">
        <v>18</v>
      </c>
      <c r="N539" s="7">
        <v>718584.12</v>
      </c>
      <c r="O539" s="8">
        <v>1.4</v>
      </c>
      <c r="P539" s="7">
        <v>708523.94</v>
      </c>
      <c r="Q539" s="8">
        <v>42.4</v>
      </c>
      <c r="R539" s="7">
        <v>300414.15000000002</v>
      </c>
      <c r="S539" s="5" t="s">
        <v>40</v>
      </c>
    </row>
    <row r="540" spans="1:19" x14ac:dyDescent="0.3">
      <c r="A540" s="1" t="s">
        <v>949</v>
      </c>
      <c r="B540" s="1" t="s">
        <v>230</v>
      </c>
      <c r="C540" s="1" t="s">
        <v>117</v>
      </c>
      <c r="D540" s="1" t="s">
        <v>86</v>
      </c>
      <c r="E540" s="2" t="s">
        <v>142</v>
      </c>
      <c r="F540" s="1" t="s">
        <v>24</v>
      </c>
      <c r="G540" s="1" t="s">
        <v>53</v>
      </c>
      <c r="H540" s="1" t="s">
        <v>71</v>
      </c>
      <c r="I540" s="1" t="s">
        <v>27</v>
      </c>
      <c r="J540" s="1" t="s">
        <v>47</v>
      </c>
      <c r="K540" s="1" t="s">
        <v>149</v>
      </c>
      <c r="L540" s="3">
        <v>8369.34</v>
      </c>
      <c r="M540" s="1">
        <v>6</v>
      </c>
      <c r="N540" s="3">
        <v>50216.04</v>
      </c>
      <c r="O540" s="4">
        <v>18.2</v>
      </c>
      <c r="P540" s="3">
        <v>41076.720000000001</v>
      </c>
      <c r="Q540" s="4">
        <v>31.4</v>
      </c>
      <c r="R540" s="3">
        <v>12898.09</v>
      </c>
      <c r="S540" s="1" t="s">
        <v>40</v>
      </c>
    </row>
    <row r="541" spans="1:19" x14ac:dyDescent="0.3">
      <c r="A541" s="5" t="s">
        <v>950</v>
      </c>
      <c r="B541" s="5" t="s">
        <v>517</v>
      </c>
      <c r="C541" s="5" t="s">
        <v>75</v>
      </c>
      <c r="D541" s="5" t="s">
        <v>60</v>
      </c>
      <c r="E541" s="6" t="s">
        <v>118</v>
      </c>
      <c r="F541" s="5" t="s">
        <v>62</v>
      </c>
      <c r="G541" s="5" t="s">
        <v>53</v>
      </c>
      <c r="H541" s="5" t="s">
        <v>54</v>
      </c>
      <c r="I541" s="5" t="s">
        <v>72</v>
      </c>
      <c r="J541" s="5" t="s">
        <v>28</v>
      </c>
      <c r="K541" s="5" t="s">
        <v>29</v>
      </c>
      <c r="L541" s="7">
        <v>1881.18</v>
      </c>
      <c r="M541" s="5">
        <v>3</v>
      </c>
      <c r="N541" s="7">
        <v>5643.54</v>
      </c>
      <c r="O541" s="8">
        <v>7.9</v>
      </c>
      <c r="P541" s="7">
        <v>5197.7</v>
      </c>
      <c r="Q541" s="8">
        <v>66.8</v>
      </c>
      <c r="R541" s="7">
        <v>3472.06</v>
      </c>
      <c r="S541" s="5" t="s">
        <v>40</v>
      </c>
    </row>
    <row r="542" spans="1:19" x14ac:dyDescent="0.3">
      <c r="A542" s="1" t="s">
        <v>951</v>
      </c>
      <c r="B542" s="1" t="s">
        <v>952</v>
      </c>
      <c r="C542" s="1" t="s">
        <v>131</v>
      </c>
      <c r="D542" s="1" t="s">
        <v>69</v>
      </c>
      <c r="E542" s="2" t="s">
        <v>97</v>
      </c>
      <c r="F542" s="1" t="s">
        <v>35</v>
      </c>
      <c r="G542" s="1" t="s">
        <v>63</v>
      </c>
      <c r="H542" s="1" t="s">
        <v>87</v>
      </c>
      <c r="I542" s="1" t="s">
        <v>38</v>
      </c>
      <c r="J542" s="1" t="s">
        <v>28</v>
      </c>
      <c r="K542" s="1" t="s">
        <v>159</v>
      </c>
      <c r="L542" s="3">
        <v>25449.25</v>
      </c>
      <c r="M542" s="1">
        <v>12</v>
      </c>
      <c r="N542" s="3">
        <v>305391</v>
      </c>
      <c r="O542" s="4">
        <v>21.8</v>
      </c>
      <c r="P542" s="3">
        <v>238815.76</v>
      </c>
      <c r="Q542" s="4">
        <v>41</v>
      </c>
      <c r="R542" s="3">
        <v>97914.46</v>
      </c>
      <c r="S542" s="1" t="s">
        <v>40</v>
      </c>
    </row>
    <row r="543" spans="1:19" x14ac:dyDescent="0.3">
      <c r="A543" s="5" t="s">
        <v>953</v>
      </c>
      <c r="B543" s="5" t="s">
        <v>824</v>
      </c>
      <c r="C543" s="5" t="s">
        <v>135</v>
      </c>
      <c r="D543" s="5" t="s">
        <v>69</v>
      </c>
      <c r="E543" s="6" t="s">
        <v>114</v>
      </c>
      <c r="F543" s="5" t="s">
        <v>45</v>
      </c>
      <c r="G543" s="5" t="s">
        <v>63</v>
      </c>
      <c r="H543" s="5" t="s">
        <v>64</v>
      </c>
      <c r="I543" s="5" t="s">
        <v>38</v>
      </c>
      <c r="J543" s="5" t="s">
        <v>93</v>
      </c>
      <c r="K543" s="5" t="s">
        <v>39</v>
      </c>
      <c r="L543" s="7">
        <v>784.62</v>
      </c>
      <c r="M543" s="5">
        <v>22</v>
      </c>
      <c r="N543" s="7">
        <v>17261.64</v>
      </c>
      <c r="O543" s="8">
        <v>16</v>
      </c>
      <c r="P543" s="7">
        <v>14499.78</v>
      </c>
      <c r="Q543" s="8">
        <v>35.1</v>
      </c>
      <c r="R543" s="7">
        <v>5089.42</v>
      </c>
      <c r="S543" s="5" t="s">
        <v>79</v>
      </c>
    </row>
    <row r="544" spans="1:19" x14ac:dyDescent="0.3">
      <c r="A544" s="1" t="s">
        <v>954</v>
      </c>
      <c r="B544" s="1" t="s">
        <v>800</v>
      </c>
      <c r="C544" s="1" t="s">
        <v>59</v>
      </c>
      <c r="D544" s="1" t="s">
        <v>60</v>
      </c>
      <c r="E544" s="2" t="s">
        <v>201</v>
      </c>
      <c r="F544" s="1" t="s">
        <v>24</v>
      </c>
      <c r="G544" s="1" t="s">
        <v>109</v>
      </c>
      <c r="H544" s="1" t="s">
        <v>152</v>
      </c>
      <c r="I544" s="1" t="s">
        <v>47</v>
      </c>
      <c r="J544" s="1" t="s">
        <v>65</v>
      </c>
      <c r="K544" s="1" t="s">
        <v>149</v>
      </c>
      <c r="L544" s="3">
        <v>47852.3</v>
      </c>
      <c r="M544" s="1">
        <v>3</v>
      </c>
      <c r="N544" s="3">
        <v>143556.9</v>
      </c>
      <c r="O544" s="4">
        <v>7.6</v>
      </c>
      <c r="P544" s="3">
        <v>132646.57999999999</v>
      </c>
      <c r="Q544" s="4">
        <v>19.3</v>
      </c>
      <c r="R544" s="3">
        <v>25600.79</v>
      </c>
      <c r="S544" s="1" t="s">
        <v>40</v>
      </c>
    </row>
    <row r="545" spans="1:19" x14ac:dyDescent="0.3">
      <c r="A545" s="5" t="s">
        <v>955</v>
      </c>
      <c r="B545" s="5" t="s">
        <v>228</v>
      </c>
      <c r="C545" s="5" t="s">
        <v>33</v>
      </c>
      <c r="D545" s="5" t="s">
        <v>22</v>
      </c>
      <c r="E545" s="6" t="s">
        <v>279</v>
      </c>
      <c r="F545" s="5" t="s">
        <v>166</v>
      </c>
      <c r="G545" s="5" t="s">
        <v>109</v>
      </c>
      <c r="H545" s="5" t="s">
        <v>189</v>
      </c>
      <c r="I545" s="5" t="s">
        <v>47</v>
      </c>
      <c r="J545" s="5" t="s">
        <v>65</v>
      </c>
      <c r="K545" s="5" t="s">
        <v>149</v>
      </c>
      <c r="L545" s="7">
        <v>3327.06</v>
      </c>
      <c r="M545" s="5">
        <v>12</v>
      </c>
      <c r="N545" s="7">
        <v>39924.720000000001</v>
      </c>
      <c r="O545" s="8">
        <v>24.8</v>
      </c>
      <c r="P545" s="7">
        <v>30023.39</v>
      </c>
      <c r="Q545" s="8">
        <v>47.3</v>
      </c>
      <c r="R545" s="7">
        <v>14201.06</v>
      </c>
      <c r="S545" s="5" t="s">
        <v>79</v>
      </c>
    </row>
    <row r="546" spans="1:19" x14ac:dyDescent="0.3">
      <c r="A546" s="1" t="s">
        <v>956</v>
      </c>
      <c r="B546" s="1" t="s">
        <v>814</v>
      </c>
      <c r="C546" s="1" t="s">
        <v>131</v>
      </c>
      <c r="D546" s="1" t="s">
        <v>69</v>
      </c>
      <c r="E546" s="2" t="s">
        <v>303</v>
      </c>
      <c r="F546" s="1" t="s">
        <v>62</v>
      </c>
      <c r="G546" s="1" t="s">
        <v>53</v>
      </c>
      <c r="H546" s="1" t="s">
        <v>98</v>
      </c>
      <c r="I546" s="1" t="s">
        <v>38</v>
      </c>
      <c r="J546" s="1" t="s">
        <v>47</v>
      </c>
      <c r="K546" s="1" t="s">
        <v>78</v>
      </c>
      <c r="L546" s="3">
        <v>3543.32</v>
      </c>
      <c r="M546" s="1">
        <v>22</v>
      </c>
      <c r="N546" s="3">
        <v>77953.039999999994</v>
      </c>
      <c r="O546" s="4">
        <v>20.8</v>
      </c>
      <c r="P546" s="3">
        <v>61738.81</v>
      </c>
      <c r="Q546" s="4">
        <v>57.1</v>
      </c>
      <c r="R546" s="3">
        <v>35252.86</v>
      </c>
      <c r="S546" s="1" t="s">
        <v>112</v>
      </c>
    </row>
    <row r="547" spans="1:19" x14ac:dyDescent="0.3">
      <c r="A547" s="5" t="s">
        <v>957</v>
      </c>
      <c r="B547" s="5" t="s">
        <v>366</v>
      </c>
      <c r="C547" s="5" t="s">
        <v>117</v>
      </c>
      <c r="D547" s="5" t="s">
        <v>86</v>
      </c>
      <c r="E547" s="6" t="s">
        <v>155</v>
      </c>
      <c r="F547" s="5" t="s">
        <v>24</v>
      </c>
      <c r="G547" s="5" t="s">
        <v>53</v>
      </c>
      <c r="H547" s="5" t="s">
        <v>77</v>
      </c>
      <c r="I547" s="5" t="s">
        <v>72</v>
      </c>
      <c r="J547" s="5" t="s">
        <v>65</v>
      </c>
      <c r="K547" s="5" t="s">
        <v>102</v>
      </c>
      <c r="L547" s="7">
        <v>89171</v>
      </c>
      <c r="M547" s="5">
        <v>3</v>
      </c>
      <c r="N547" s="7">
        <v>267513</v>
      </c>
      <c r="O547" s="8">
        <v>16.899999999999999</v>
      </c>
      <c r="P547" s="7">
        <v>222303.3</v>
      </c>
      <c r="Q547" s="8">
        <v>28.3</v>
      </c>
      <c r="R547" s="7">
        <v>62911.83</v>
      </c>
      <c r="S547" s="5" t="s">
        <v>40</v>
      </c>
    </row>
    <row r="548" spans="1:19" x14ac:dyDescent="0.3">
      <c r="A548" s="1" t="s">
        <v>958</v>
      </c>
      <c r="B548" s="1" t="s">
        <v>730</v>
      </c>
      <c r="C548" s="1" t="s">
        <v>101</v>
      </c>
      <c r="D548" s="1" t="s">
        <v>60</v>
      </c>
      <c r="E548" s="2" t="s">
        <v>165</v>
      </c>
      <c r="F548" s="1" t="s">
        <v>166</v>
      </c>
      <c r="G548" s="1" t="s">
        <v>25</v>
      </c>
      <c r="H548" s="1" t="s">
        <v>46</v>
      </c>
      <c r="I548" s="1" t="s">
        <v>47</v>
      </c>
      <c r="J548" s="1" t="s">
        <v>28</v>
      </c>
      <c r="K548" s="1" t="s">
        <v>159</v>
      </c>
      <c r="L548" s="3">
        <v>4890.21</v>
      </c>
      <c r="M548" s="1">
        <v>11</v>
      </c>
      <c r="N548" s="3">
        <v>53792.31</v>
      </c>
      <c r="O548" s="4">
        <v>22.6</v>
      </c>
      <c r="P548" s="3">
        <v>41635.25</v>
      </c>
      <c r="Q548" s="4">
        <v>46.7</v>
      </c>
      <c r="R548" s="3">
        <v>19443.66</v>
      </c>
      <c r="S548" s="1" t="s">
        <v>40</v>
      </c>
    </row>
    <row r="549" spans="1:19" x14ac:dyDescent="0.3">
      <c r="A549" s="5" t="s">
        <v>959</v>
      </c>
      <c r="B549" s="5" t="s">
        <v>134</v>
      </c>
      <c r="C549" s="5" t="s">
        <v>135</v>
      </c>
      <c r="D549" s="5" t="s">
        <v>69</v>
      </c>
      <c r="E549" s="6" t="s">
        <v>224</v>
      </c>
      <c r="F549" s="5" t="s">
        <v>166</v>
      </c>
      <c r="G549" s="5" t="s">
        <v>109</v>
      </c>
      <c r="H549" s="5" t="s">
        <v>189</v>
      </c>
      <c r="I549" s="5" t="s">
        <v>47</v>
      </c>
      <c r="J549" s="5" t="s">
        <v>93</v>
      </c>
      <c r="K549" s="5" t="s">
        <v>56</v>
      </c>
      <c r="L549" s="7">
        <v>2132.5700000000002</v>
      </c>
      <c r="M549" s="5">
        <v>12</v>
      </c>
      <c r="N549" s="7">
        <v>25590.84</v>
      </c>
      <c r="O549" s="8">
        <v>7.3</v>
      </c>
      <c r="P549" s="7">
        <v>23722.71</v>
      </c>
      <c r="Q549" s="8">
        <v>44.2</v>
      </c>
      <c r="R549" s="7">
        <v>10485.44</v>
      </c>
      <c r="S549" s="5" t="s">
        <v>40</v>
      </c>
    </row>
    <row r="550" spans="1:19" x14ac:dyDescent="0.3">
      <c r="A550" s="1" t="s">
        <v>960</v>
      </c>
      <c r="B550" s="1" t="s">
        <v>497</v>
      </c>
      <c r="C550" s="1" t="s">
        <v>33</v>
      </c>
      <c r="D550" s="1" t="s">
        <v>22</v>
      </c>
      <c r="E550" s="2" t="s">
        <v>358</v>
      </c>
      <c r="F550" s="1" t="s">
        <v>35</v>
      </c>
      <c r="G550" s="1" t="s">
        <v>36</v>
      </c>
      <c r="H550" s="1" t="s">
        <v>136</v>
      </c>
      <c r="I550" s="1" t="s">
        <v>38</v>
      </c>
      <c r="J550" s="1" t="s">
        <v>93</v>
      </c>
      <c r="K550" s="1" t="s">
        <v>88</v>
      </c>
      <c r="L550" s="3">
        <v>19396.79</v>
      </c>
      <c r="M550" s="1">
        <v>14</v>
      </c>
      <c r="N550" s="3">
        <v>271555.06</v>
      </c>
      <c r="O550" s="4">
        <v>20.399999999999999</v>
      </c>
      <c r="P550" s="3">
        <v>216157.83</v>
      </c>
      <c r="Q550" s="4">
        <v>43.9</v>
      </c>
      <c r="R550" s="3">
        <v>94893.29</v>
      </c>
      <c r="S550" s="1" t="s">
        <v>40</v>
      </c>
    </row>
    <row r="551" spans="1:19" x14ac:dyDescent="0.3">
      <c r="A551" s="5" t="s">
        <v>961</v>
      </c>
      <c r="B551" s="5" t="s">
        <v>962</v>
      </c>
      <c r="C551" s="5" t="s">
        <v>68</v>
      </c>
      <c r="D551" s="5" t="s">
        <v>69</v>
      </c>
      <c r="E551" s="6" t="s">
        <v>194</v>
      </c>
      <c r="F551" s="5" t="s">
        <v>52</v>
      </c>
      <c r="G551" s="5" t="s">
        <v>36</v>
      </c>
      <c r="H551" s="5" t="s">
        <v>37</v>
      </c>
      <c r="I551" s="5" t="s">
        <v>38</v>
      </c>
      <c r="J551" s="5" t="s">
        <v>28</v>
      </c>
      <c r="K551" s="5" t="s">
        <v>159</v>
      </c>
      <c r="L551" s="7">
        <v>8302.2900000000009</v>
      </c>
      <c r="M551" s="5">
        <v>18</v>
      </c>
      <c r="N551" s="7">
        <v>149441.22</v>
      </c>
      <c r="O551" s="8">
        <v>5.8</v>
      </c>
      <c r="P551" s="7">
        <v>140773.63</v>
      </c>
      <c r="Q551" s="8">
        <v>36.700000000000003</v>
      </c>
      <c r="R551" s="7">
        <v>51663.92</v>
      </c>
      <c r="S551" s="5" t="s">
        <v>79</v>
      </c>
    </row>
    <row r="552" spans="1:19" x14ac:dyDescent="0.3">
      <c r="A552" s="1" t="s">
        <v>963</v>
      </c>
      <c r="B552" s="1" t="s">
        <v>964</v>
      </c>
      <c r="C552" s="1" t="s">
        <v>21</v>
      </c>
      <c r="D552" s="1" t="s">
        <v>22</v>
      </c>
      <c r="E552" s="2" t="s">
        <v>128</v>
      </c>
      <c r="F552" s="1" t="s">
        <v>45</v>
      </c>
      <c r="G552" s="1" t="s">
        <v>36</v>
      </c>
      <c r="H552" s="1" t="s">
        <v>136</v>
      </c>
      <c r="I552" s="1" t="s">
        <v>72</v>
      </c>
      <c r="J552" s="1" t="s">
        <v>65</v>
      </c>
      <c r="K552" s="1" t="s">
        <v>102</v>
      </c>
      <c r="L552" s="3">
        <v>106</v>
      </c>
      <c r="M552" s="1">
        <v>3</v>
      </c>
      <c r="N552" s="3">
        <v>318</v>
      </c>
      <c r="O552" s="4">
        <v>22.8</v>
      </c>
      <c r="P552" s="3">
        <v>245.5</v>
      </c>
      <c r="Q552" s="4">
        <v>39.799999999999997</v>
      </c>
      <c r="R552" s="3">
        <v>97.71</v>
      </c>
      <c r="S552" s="1" t="s">
        <v>40</v>
      </c>
    </row>
    <row r="553" spans="1:19" x14ac:dyDescent="0.3">
      <c r="A553" s="5" t="s">
        <v>965</v>
      </c>
      <c r="B553" s="5" t="s">
        <v>81</v>
      </c>
      <c r="C553" s="5" t="s">
        <v>75</v>
      </c>
      <c r="D553" s="5" t="s">
        <v>60</v>
      </c>
      <c r="E553" s="6" t="s">
        <v>97</v>
      </c>
      <c r="F553" s="5" t="s">
        <v>35</v>
      </c>
      <c r="G553" s="5" t="s">
        <v>53</v>
      </c>
      <c r="H553" s="5" t="s">
        <v>71</v>
      </c>
      <c r="I553" s="5" t="s">
        <v>55</v>
      </c>
      <c r="J553" s="5" t="s">
        <v>28</v>
      </c>
      <c r="K553" s="5" t="s">
        <v>78</v>
      </c>
      <c r="L553" s="7">
        <v>19412.62</v>
      </c>
      <c r="M553" s="5">
        <v>4</v>
      </c>
      <c r="N553" s="7">
        <v>77650.48</v>
      </c>
      <c r="O553" s="8">
        <v>9</v>
      </c>
      <c r="P553" s="7">
        <v>70661.94</v>
      </c>
      <c r="Q553" s="8">
        <v>48.9</v>
      </c>
      <c r="R553" s="7">
        <v>34553.69</v>
      </c>
      <c r="S553" s="5" t="s">
        <v>40</v>
      </c>
    </row>
    <row r="554" spans="1:19" x14ac:dyDescent="0.3">
      <c r="A554" s="1" t="s">
        <v>966</v>
      </c>
      <c r="B554" s="1" t="s">
        <v>84</v>
      </c>
      <c r="C554" s="1" t="s">
        <v>85</v>
      </c>
      <c r="D554" s="1" t="s">
        <v>86</v>
      </c>
      <c r="E554" s="2" t="s">
        <v>76</v>
      </c>
      <c r="F554" s="1" t="s">
        <v>45</v>
      </c>
      <c r="G554" s="1" t="s">
        <v>63</v>
      </c>
      <c r="H554" s="1" t="s">
        <v>87</v>
      </c>
      <c r="I554" s="1" t="s">
        <v>27</v>
      </c>
      <c r="J554" s="1" t="s">
        <v>93</v>
      </c>
      <c r="K554" s="1" t="s">
        <v>78</v>
      </c>
      <c r="L554" s="3">
        <v>341.66</v>
      </c>
      <c r="M554" s="1">
        <v>1</v>
      </c>
      <c r="N554" s="3">
        <v>341.66</v>
      </c>
      <c r="O554" s="4">
        <v>13.5</v>
      </c>
      <c r="P554" s="3">
        <v>295.54000000000002</v>
      </c>
      <c r="Q554" s="4">
        <v>22</v>
      </c>
      <c r="R554" s="3">
        <v>65.02</v>
      </c>
      <c r="S554" s="1" t="s">
        <v>40</v>
      </c>
    </row>
    <row r="555" spans="1:19" x14ac:dyDescent="0.3">
      <c r="A555" s="5" t="s">
        <v>967</v>
      </c>
      <c r="B555" s="5" t="s">
        <v>302</v>
      </c>
      <c r="C555" s="5" t="s">
        <v>75</v>
      </c>
      <c r="D555" s="5" t="s">
        <v>60</v>
      </c>
      <c r="E555" s="6" t="s">
        <v>180</v>
      </c>
      <c r="F555" s="5" t="s">
        <v>166</v>
      </c>
      <c r="G555" s="5" t="s">
        <v>53</v>
      </c>
      <c r="H555" s="5" t="s">
        <v>77</v>
      </c>
      <c r="I555" s="5" t="s">
        <v>27</v>
      </c>
      <c r="J555" s="5" t="s">
        <v>65</v>
      </c>
      <c r="K555" s="5" t="s">
        <v>159</v>
      </c>
      <c r="L555" s="7">
        <v>3921.16</v>
      </c>
      <c r="M555" s="5">
        <v>21</v>
      </c>
      <c r="N555" s="7">
        <v>82344.36</v>
      </c>
      <c r="O555" s="8">
        <v>23.1</v>
      </c>
      <c r="P555" s="7">
        <v>63322.81</v>
      </c>
      <c r="Q555" s="8">
        <v>39.5</v>
      </c>
      <c r="R555" s="7">
        <v>25012.51</v>
      </c>
      <c r="S555" s="5" t="s">
        <v>40</v>
      </c>
    </row>
    <row r="556" spans="1:19" x14ac:dyDescent="0.3">
      <c r="A556" s="1" t="s">
        <v>968</v>
      </c>
      <c r="B556" s="1" t="s">
        <v>341</v>
      </c>
      <c r="C556" s="1" t="s">
        <v>68</v>
      </c>
      <c r="D556" s="1" t="s">
        <v>69</v>
      </c>
      <c r="E556" s="2" t="s">
        <v>201</v>
      </c>
      <c r="F556" s="1" t="s">
        <v>24</v>
      </c>
      <c r="G556" s="1" t="s">
        <v>63</v>
      </c>
      <c r="H556" s="1" t="s">
        <v>64</v>
      </c>
      <c r="I556" s="1" t="s">
        <v>38</v>
      </c>
      <c r="J556" s="1" t="s">
        <v>65</v>
      </c>
      <c r="K556" s="1" t="s">
        <v>48</v>
      </c>
      <c r="L556" s="3">
        <v>40188.769999999997</v>
      </c>
      <c r="M556" s="1">
        <v>10</v>
      </c>
      <c r="N556" s="3">
        <v>401887.7</v>
      </c>
      <c r="O556" s="4">
        <v>16.399999999999999</v>
      </c>
      <c r="P556" s="3">
        <v>335978.12</v>
      </c>
      <c r="Q556" s="4">
        <v>22.6</v>
      </c>
      <c r="R556" s="3">
        <v>75931.06</v>
      </c>
      <c r="S556" s="1" t="s">
        <v>40</v>
      </c>
    </row>
    <row r="557" spans="1:19" x14ac:dyDescent="0.3">
      <c r="A557" s="5" t="s">
        <v>969</v>
      </c>
      <c r="B557" s="5" t="s">
        <v>970</v>
      </c>
      <c r="C557" s="5" t="s">
        <v>43</v>
      </c>
      <c r="D557" s="5" t="s">
        <v>22</v>
      </c>
      <c r="E557" s="6" t="s">
        <v>194</v>
      </c>
      <c r="F557" s="5" t="s">
        <v>52</v>
      </c>
      <c r="G557" s="5" t="s">
        <v>53</v>
      </c>
      <c r="H557" s="5" t="s">
        <v>98</v>
      </c>
      <c r="I557" s="5" t="s">
        <v>38</v>
      </c>
      <c r="J557" s="5" t="s">
        <v>65</v>
      </c>
      <c r="K557" s="5" t="s">
        <v>149</v>
      </c>
      <c r="L557" s="7">
        <v>2865.84</v>
      </c>
      <c r="M557" s="5">
        <v>17</v>
      </c>
      <c r="N557" s="7">
        <v>48719.28</v>
      </c>
      <c r="O557" s="8">
        <v>12</v>
      </c>
      <c r="P557" s="7">
        <v>42872.97</v>
      </c>
      <c r="Q557" s="8">
        <v>30.6</v>
      </c>
      <c r="R557" s="7">
        <v>13119.13</v>
      </c>
      <c r="S557" s="5" t="s">
        <v>40</v>
      </c>
    </row>
    <row r="558" spans="1:19" x14ac:dyDescent="0.3">
      <c r="A558" s="1" t="s">
        <v>971</v>
      </c>
      <c r="B558" s="1" t="s">
        <v>582</v>
      </c>
      <c r="C558" s="1" t="s">
        <v>131</v>
      </c>
      <c r="D558" s="1" t="s">
        <v>69</v>
      </c>
      <c r="E558" s="2" t="s">
        <v>358</v>
      </c>
      <c r="F558" s="1" t="s">
        <v>35</v>
      </c>
      <c r="G558" s="1" t="s">
        <v>53</v>
      </c>
      <c r="H558" s="1" t="s">
        <v>98</v>
      </c>
      <c r="I558" s="1" t="s">
        <v>47</v>
      </c>
      <c r="J558" s="1" t="s">
        <v>65</v>
      </c>
      <c r="K558" s="1" t="s">
        <v>48</v>
      </c>
      <c r="L558" s="3">
        <v>9579.16</v>
      </c>
      <c r="M558" s="1">
        <v>2</v>
      </c>
      <c r="N558" s="3">
        <v>19158.32</v>
      </c>
      <c r="O558" s="4">
        <v>0</v>
      </c>
      <c r="P558" s="3">
        <v>19158.32</v>
      </c>
      <c r="Q558" s="4">
        <v>38.799999999999997</v>
      </c>
      <c r="R558" s="3">
        <v>7433.43</v>
      </c>
      <c r="S558" s="1" t="s">
        <v>40</v>
      </c>
    </row>
    <row r="559" spans="1:19" x14ac:dyDescent="0.3">
      <c r="A559" s="5" t="s">
        <v>972</v>
      </c>
      <c r="B559" s="5" t="s">
        <v>973</v>
      </c>
      <c r="C559" s="5" t="s">
        <v>131</v>
      </c>
      <c r="D559" s="5" t="s">
        <v>69</v>
      </c>
      <c r="E559" s="6" t="s">
        <v>206</v>
      </c>
      <c r="F559" s="5" t="s">
        <v>52</v>
      </c>
      <c r="G559" s="5" t="s">
        <v>63</v>
      </c>
      <c r="H559" s="5" t="s">
        <v>64</v>
      </c>
      <c r="I559" s="5" t="s">
        <v>27</v>
      </c>
      <c r="J559" s="5" t="s">
        <v>47</v>
      </c>
      <c r="K559" s="5" t="s">
        <v>159</v>
      </c>
      <c r="L559" s="7">
        <v>880.85</v>
      </c>
      <c r="M559" s="5">
        <v>18</v>
      </c>
      <c r="N559" s="7">
        <v>15855.3</v>
      </c>
      <c r="O559" s="8">
        <v>7.3</v>
      </c>
      <c r="P559" s="7">
        <v>14697.86</v>
      </c>
      <c r="Q559" s="8">
        <v>36</v>
      </c>
      <c r="R559" s="7">
        <v>5291.23</v>
      </c>
      <c r="S559" s="5" t="s">
        <v>40</v>
      </c>
    </row>
    <row r="560" spans="1:19" x14ac:dyDescent="0.3">
      <c r="A560" s="1" t="s">
        <v>974</v>
      </c>
      <c r="B560" s="1" t="s">
        <v>975</v>
      </c>
      <c r="C560" s="1" t="s">
        <v>85</v>
      </c>
      <c r="D560" s="1" t="s">
        <v>86</v>
      </c>
      <c r="E560" s="2" t="s">
        <v>34</v>
      </c>
      <c r="F560" s="1" t="s">
        <v>35</v>
      </c>
      <c r="G560" s="1" t="s">
        <v>25</v>
      </c>
      <c r="H560" s="1" t="s">
        <v>46</v>
      </c>
      <c r="I560" s="1" t="s">
        <v>38</v>
      </c>
      <c r="J560" s="1" t="s">
        <v>47</v>
      </c>
      <c r="K560" s="1" t="s">
        <v>29</v>
      </c>
      <c r="L560" s="3">
        <v>35630.230000000003</v>
      </c>
      <c r="M560" s="1">
        <v>15</v>
      </c>
      <c r="N560" s="3">
        <v>534453.44999999995</v>
      </c>
      <c r="O560" s="4">
        <v>23</v>
      </c>
      <c r="P560" s="3">
        <v>411529.16</v>
      </c>
      <c r="Q560" s="4">
        <v>32.299999999999997</v>
      </c>
      <c r="R560" s="3">
        <v>132923.92000000001</v>
      </c>
      <c r="S560" s="1" t="s">
        <v>40</v>
      </c>
    </row>
    <row r="561" spans="1:19" x14ac:dyDescent="0.3">
      <c r="A561" s="5" t="s">
        <v>976</v>
      </c>
      <c r="B561" s="5" t="s">
        <v>775</v>
      </c>
      <c r="C561" s="5" t="s">
        <v>43</v>
      </c>
      <c r="D561" s="5" t="s">
        <v>22</v>
      </c>
      <c r="E561" s="6" t="s">
        <v>213</v>
      </c>
      <c r="F561" s="5" t="s">
        <v>62</v>
      </c>
      <c r="G561" s="5" t="s">
        <v>63</v>
      </c>
      <c r="H561" s="5" t="s">
        <v>167</v>
      </c>
      <c r="I561" s="5" t="s">
        <v>72</v>
      </c>
      <c r="J561" s="5" t="s">
        <v>28</v>
      </c>
      <c r="K561" s="5" t="s">
        <v>48</v>
      </c>
      <c r="L561" s="7">
        <v>2095.38</v>
      </c>
      <c r="M561" s="5">
        <v>25</v>
      </c>
      <c r="N561" s="7">
        <v>52384.5</v>
      </c>
      <c r="O561" s="8">
        <v>6.2</v>
      </c>
      <c r="P561" s="7">
        <v>49136.66</v>
      </c>
      <c r="Q561" s="8">
        <v>55.5</v>
      </c>
      <c r="R561" s="7">
        <v>27270.85</v>
      </c>
      <c r="S561" s="5" t="s">
        <v>79</v>
      </c>
    </row>
    <row r="562" spans="1:19" x14ac:dyDescent="0.3">
      <c r="A562" s="1" t="s">
        <v>977</v>
      </c>
      <c r="B562" s="1" t="s">
        <v>58</v>
      </c>
      <c r="C562" s="1" t="s">
        <v>59</v>
      </c>
      <c r="D562" s="1" t="s">
        <v>60</v>
      </c>
      <c r="E562" s="2" t="s">
        <v>174</v>
      </c>
      <c r="F562" s="1" t="s">
        <v>45</v>
      </c>
      <c r="G562" s="1" t="s">
        <v>63</v>
      </c>
      <c r="H562" s="1" t="s">
        <v>87</v>
      </c>
      <c r="I562" s="1" t="s">
        <v>55</v>
      </c>
      <c r="J562" s="1" t="s">
        <v>93</v>
      </c>
      <c r="K562" s="1" t="s">
        <v>56</v>
      </c>
      <c r="L562" s="3">
        <v>847.96</v>
      </c>
      <c r="M562" s="1">
        <v>14</v>
      </c>
      <c r="N562" s="3">
        <v>11871.44</v>
      </c>
      <c r="O562" s="4">
        <v>0.3</v>
      </c>
      <c r="P562" s="3">
        <v>11835.83</v>
      </c>
      <c r="Q562" s="4">
        <v>22.9</v>
      </c>
      <c r="R562" s="3">
        <v>2710.41</v>
      </c>
      <c r="S562" s="1" t="s">
        <v>40</v>
      </c>
    </row>
    <row r="563" spans="1:19" x14ac:dyDescent="0.3">
      <c r="A563" s="5" t="s">
        <v>978</v>
      </c>
      <c r="B563" s="5" t="s">
        <v>979</v>
      </c>
      <c r="C563" s="5" t="s">
        <v>117</v>
      </c>
      <c r="D563" s="5" t="s">
        <v>86</v>
      </c>
      <c r="E563" s="6" t="s">
        <v>34</v>
      </c>
      <c r="F563" s="5" t="s">
        <v>35</v>
      </c>
      <c r="G563" s="5" t="s">
        <v>53</v>
      </c>
      <c r="H563" s="5" t="s">
        <v>77</v>
      </c>
      <c r="I563" s="5" t="s">
        <v>72</v>
      </c>
      <c r="J563" s="5" t="s">
        <v>47</v>
      </c>
      <c r="K563" s="5" t="s">
        <v>29</v>
      </c>
      <c r="L563" s="7">
        <v>3112.03</v>
      </c>
      <c r="M563" s="5">
        <v>9</v>
      </c>
      <c r="N563" s="7">
        <v>28008.27</v>
      </c>
      <c r="O563" s="8">
        <v>17.5</v>
      </c>
      <c r="P563" s="7">
        <v>23106.82</v>
      </c>
      <c r="Q563" s="8">
        <v>39.6</v>
      </c>
      <c r="R563" s="7">
        <v>9150.2999999999993</v>
      </c>
      <c r="S563" s="5" t="s">
        <v>30</v>
      </c>
    </row>
    <row r="564" spans="1:19" x14ac:dyDescent="0.3">
      <c r="A564" s="1" t="s">
        <v>980</v>
      </c>
      <c r="B564" s="1" t="s">
        <v>749</v>
      </c>
      <c r="C564" s="1" t="s">
        <v>96</v>
      </c>
      <c r="D564" s="1" t="s">
        <v>86</v>
      </c>
      <c r="E564" s="2" t="s">
        <v>139</v>
      </c>
      <c r="F564" s="1" t="s">
        <v>45</v>
      </c>
      <c r="G564" s="1" t="s">
        <v>53</v>
      </c>
      <c r="H564" s="1" t="s">
        <v>54</v>
      </c>
      <c r="I564" s="1" t="s">
        <v>38</v>
      </c>
      <c r="J564" s="1" t="s">
        <v>93</v>
      </c>
      <c r="K564" s="1" t="s">
        <v>88</v>
      </c>
      <c r="L564" s="3">
        <v>715.12</v>
      </c>
      <c r="M564" s="1">
        <v>3</v>
      </c>
      <c r="N564" s="3">
        <v>2145.36</v>
      </c>
      <c r="O564" s="4">
        <v>3.4</v>
      </c>
      <c r="P564" s="3">
        <v>2072.42</v>
      </c>
      <c r="Q564" s="4">
        <v>29.4</v>
      </c>
      <c r="R564" s="3">
        <v>609.29</v>
      </c>
      <c r="S564" s="1" t="s">
        <v>79</v>
      </c>
    </row>
    <row r="565" spans="1:19" x14ac:dyDescent="0.3">
      <c r="A565" s="5" t="s">
        <v>981</v>
      </c>
      <c r="B565" s="5" t="s">
        <v>668</v>
      </c>
      <c r="C565" s="5" t="s">
        <v>43</v>
      </c>
      <c r="D565" s="5" t="s">
        <v>22</v>
      </c>
      <c r="E565" s="6" t="s">
        <v>145</v>
      </c>
      <c r="F565" s="5" t="s">
        <v>62</v>
      </c>
      <c r="G565" s="5" t="s">
        <v>25</v>
      </c>
      <c r="H565" s="5" t="s">
        <v>46</v>
      </c>
      <c r="I565" s="5" t="s">
        <v>47</v>
      </c>
      <c r="J565" s="5" t="s">
        <v>47</v>
      </c>
      <c r="K565" s="5" t="s">
        <v>111</v>
      </c>
      <c r="L565" s="7">
        <v>2606.04</v>
      </c>
      <c r="M565" s="5">
        <v>11</v>
      </c>
      <c r="N565" s="7">
        <v>28666.44</v>
      </c>
      <c r="O565" s="8">
        <v>5.9</v>
      </c>
      <c r="P565" s="7">
        <v>26975.119999999999</v>
      </c>
      <c r="Q565" s="8">
        <v>65.900000000000006</v>
      </c>
      <c r="R565" s="7">
        <v>17776.599999999999</v>
      </c>
      <c r="S565" s="5" t="s">
        <v>40</v>
      </c>
    </row>
    <row r="566" spans="1:19" x14ac:dyDescent="0.3">
      <c r="A566" s="1" t="s">
        <v>982</v>
      </c>
      <c r="B566" s="1" t="s">
        <v>188</v>
      </c>
      <c r="C566" s="1" t="s">
        <v>131</v>
      </c>
      <c r="D566" s="1" t="s">
        <v>69</v>
      </c>
      <c r="E566" s="2" t="s">
        <v>34</v>
      </c>
      <c r="F566" s="1" t="s">
        <v>35</v>
      </c>
      <c r="G566" s="1" t="s">
        <v>36</v>
      </c>
      <c r="H566" s="1" t="s">
        <v>136</v>
      </c>
      <c r="I566" s="1" t="s">
        <v>47</v>
      </c>
      <c r="J566" s="1" t="s">
        <v>93</v>
      </c>
      <c r="K566" s="1" t="s">
        <v>29</v>
      </c>
      <c r="L566" s="3">
        <v>31834.69</v>
      </c>
      <c r="M566" s="1">
        <v>5</v>
      </c>
      <c r="N566" s="3">
        <v>159173.45000000001</v>
      </c>
      <c r="O566" s="4">
        <v>17.399999999999999</v>
      </c>
      <c r="P566" s="3">
        <v>131477.26999999999</v>
      </c>
      <c r="Q566" s="4">
        <v>42.8</v>
      </c>
      <c r="R566" s="3">
        <v>56272.27</v>
      </c>
      <c r="S566" s="1" t="s">
        <v>40</v>
      </c>
    </row>
    <row r="567" spans="1:19" x14ac:dyDescent="0.3">
      <c r="A567" s="5" t="s">
        <v>983</v>
      </c>
      <c r="B567" s="5" t="s">
        <v>141</v>
      </c>
      <c r="C567" s="5" t="s">
        <v>135</v>
      </c>
      <c r="D567" s="5" t="s">
        <v>69</v>
      </c>
      <c r="E567" s="6" t="s">
        <v>174</v>
      </c>
      <c r="F567" s="5" t="s">
        <v>45</v>
      </c>
      <c r="G567" s="5" t="s">
        <v>36</v>
      </c>
      <c r="H567" s="5" t="s">
        <v>119</v>
      </c>
      <c r="I567" s="5" t="s">
        <v>27</v>
      </c>
      <c r="J567" s="5" t="s">
        <v>65</v>
      </c>
      <c r="K567" s="5" t="s">
        <v>88</v>
      </c>
      <c r="L567" s="7">
        <v>856.65</v>
      </c>
      <c r="M567" s="5">
        <v>1</v>
      </c>
      <c r="N567" s="7">
        <v>856.65</v>
      </c>
      <c r="O567" s="8">
        <v>4.5</v>
      </c>
      <c r="P567" s="7">
        <v>818.1</v>
      </c>
      <c r="Q567" s="8">
        <v>39.299999999999997</v>
      </c>
      <c r="R567" s="7">
        <v>321.51</v>
      </c>
      <c r="S567" s="5" t="s">
        <v>40</v>
      </c>
    </row>
    <row r="568" spans="1:19" x14ac:dyDescent="0.3">
      <c r="A568" s="1" t="s">
        <v>984</v>
      </c>
      <c r="B568" s="1" t="s">
        <v>985</v>
      </c>
      <c r="C568" s="1" t="s">
        <v>117</v>
      </c>
      <c r="D568" s="1" t="s">
        <v>86</v>
      </c>
      <c r="E568" s="2" t="s">
        <v>114</v>
      </c>
      <c r="F568" s="1" t="s">
        <v>45</v>
      </c>
      <c r="G568" s="1" t="s">
        <v>63</v>
      </c>
      <c r="H568" s="1" t="s">
        <v>92</v>
      </c>
      <c r="I568" s="1" t="s">
        <v>72</v>
      </c>
      <c r="J568" s="1" t="s">
        <v>28</v>
      </c>
      <c r="K568" s="1" t="s">
        <v>56</v>
      </c>
      <c r="L568" s="3">
        <v>1366.52</v>
      </c>
      <c r="M568" s="1">
        <v>22</v>
      </c>
      <c r="N568" s="3">
        <v>30063.439999999999</v>
      </c>
      <c r="O568" s="4">
        <v>4.9000000000000004</v>
      </c>
      <c r="P568" s="3">
        <v>28590.33</v>
      </c>
      <c r="Q568" s="4">
        <v>18.899999999999999</v>
      </c>
      <c r="R568" s="3">
        <v>5403.57</v>
      </c>
      <c r="S568" s="1" t="s">
        <v>40</v>
      </c>
    </row>
    <row r="569" spans="1:19" x14ac:dyDescent="0.3">
      <c r="A569" s="5" t="s">
        <v>986</v>
      </c>
      <c r="B569" s="5" t="s">
        <v>81</v>
      </c>
      <c r="C569" s="5" t="s">
        <v>75</v>
      </c>
      <c r="D569" s="5" t="s">
        <v>60</v>
      </c>
      <c r="E569" s="6" t="s">
        <v>246</v>
      </c>
      <c r="F569" s="5" t="s">
        <v>52</v>
      </c>
      <c r="G569" s="5" t="s">
        <v>36</v>
      </c>
      <c r="H569" s="5" t="s">
        <v>136</v>
      </c>
      <c r="I569" s="5" t="s">
        <v>55</v>
      </c>
      <c r="J569" s="5" t="s">
        <v>65</v>
      </c>
      <c r="K569" s="5" t="s">
        <v>39</v>
      </c>
      <c r="L569" s="7">
        <v>1989.62</v>
      </c>
      <c r="M569" s="5">
        <v>15</v>
      </c>
      <c r="N569" s="7">
        <v>29844.3</v>
      </c>
      <c r="O569" s="8">
        <v>5.6</v>
      </c>
      <c r="P569" s="7">
        <v>28173.02</v>
      </c>
      <c r="Q569" s="8">
        <v>24.3</v>
      </c>
      <c r="R569" s="7">
        <v>6846.04</v>
      </c>
      <c r="S569" s="5" t="s">
        <v>40</v>
      </c>
    </row>
    <row r="570" spans="1:19" x14ac:dyDescent="0.3">
      <c r="A570" s="1" t="s">
        <v>987</v>
      </c>
      <c r="B570" s="1" t="s">
        <v>988</v>
      </c>
      <c r="C570" s="1" t="s">
        <v>21</v>
      </c>
      <c r="D570" s="1" t="s">
        <v>22</v>
      </c>
      <c r="E570" s="2" t="s">
        <v>145</v>
      </c>
      <c r="F570" s="1" t="s">
        <v>62</v>
      </c>
      <c r="G570" s="1" t="s">
        <v>36</v>
      </c>
      <c r="H570" s="1" t="s">
        <v>105</v>
      </c>
      <c r="I570" s="1" t="s">
        <v>55</v>
      </c>
      <c r="J570" s="1" t="s">
        <v>65</v>
      </c>
      <c r="K570" s="1" t="s">
        <v>48</v>
      </c>
      <c r="L570" s="3">
        <v>3465.39</v>
      </c>
      <c r="M570" s="1">
        <v>16</v>
      </c>
      <c r="N570" s="3">
        <v>55446.239999999998</v>
      </c>
      <c r="O570" s="4">
        <v>1.5</v>
      </c>
      <c r="P570" s="3">
        <v>54614.55</v>
      </c>
      <c r="Q570" s="4">
        <v>52.3</v>
      </c>
      <c r="R570" s="3">
        <v>28563.41</v>
      </c>
      <c r="S570" s="1" t="s">
        <v>112</v>
      </c>
    </row>
    <row r="571" spans="1:19" x14ac:dyDescent="0.3">
      <c r="A571" s="5" t="s">
        <v>989</v>
      </c>
      <c r="B571" s="5" t="s">
        <v>862</v>
      </c>
      <c r="C571" s="5" t="s">
        <v>96</v>
      </c>
      <c r="D571" s="5" t="s">
        <v>86</v>
      </c>
      <c r="E571" s="6" t="s">
        <v>224</v>
      </c>
      <c r="F571" s="5" t="s">
        <v>166</v>
      </c>
      <c r="G571" s="5" t="s">
        <v>109</v>
      </c>
      <c r="H571" s="5" t="s">
        <v>189</v>
      </c>
      <c r="I571" s="5" t="s">
        <v>47</v>
      </c>
      <c r="J571" s="5" t="s">
        <v>28</v>
      </c>
      <c r="K571" s="5" t="s">
        <v>149</v>
      </c>
      <c r="L571" s="7">
        <v>1738.39</v>
      </c>
      <c r="M571" s="5">
        <v>15</v>
      </c>
      <c r="N571" s="7">
        <v>26075.85</v>
      </c>
      <c r="O571" s="8">
        <v>20.3</v>
      </c>
      <c r="P571" s="7">
        <v>20782.45</v>
      </c>
      <c r="Q571" s="8">
        <v>59.2</v>
      </c>
      <c r="R571" s="7">
        <v>12303.21</v>
      </c>
      <c r="S571" s="5" t="s">
        <v>40</v>
      </c>
    </row>
    <row r="572" spans="1:19" x14ac:dyDescent="0.3">
      <c r="A572" s="1" t="s">
        <v>990</v>
      </c>
      <c r="B572" s="1" t="s">
        <v>241</v>
      </c>
      <c r="C572" s="1" t="s">
        <v>43</v>
      </c>
      <c r="D572" s="1" t="s">
        <v>22</v>
      </c>
      <c r="E572" s="2" t="s">
        <v>155</v>
      </c>
      <c r="F572" s="1" t="s">
        <v>24</v>
      </c>
      <c r="G572" s="1" t="s">
        <v>25</v>
      </c>
      <c r="H572" s="1" t="s">
        <v>132</v>
      </c>
      <c r="I572" s="1" t="s">
        <v>72</v>
      </c>
      <c r="J572" s="1" t="s">
        <v>28</v>
      </c>
      <c r="K572" s="1" t="s">
        <v>48</v>
      </c>
      <c r="L572" s="3">
        <v>92021.7</v>
      </c>
      <c r="M572" s="1">
        <v>12</v>
      </c>
      <c r="N572" s="3">
        <v>1104260.3999999999</v>
      </c>
      <c r="O572" s="4">
        <v>23.9</v>
      </c>
      <c r="P572" s="3">
        <v>840342.16</v>
      </c>
      <c r="Q572" s="4">
        <v>12.8</v>
      </c>
      <c r="R572" s="3">
        <v>107563.8</v>
      </c>
      <c r="S572" s="1" t="s">
        <v>40</v>
      </c>
    </row>
    <row r="573" spans="1:19" x14ac:dyDescent="0.3">
      <c r="A573" s="5" t="s">
        <v>991</v>
      </c>
      <c r="B573" s="5" t="s">
        <v>536</v>
      </c>
      <c r="C573" s="5" t="s">
        <v>43</v>
      </c>
      <c r="D573" s="5" t="s">
        <v>22</v>
      </c>
      <c r="E573" s="6" t="s">
        <v>44</v>
      </c>
      <c r="F573" s="5" t="s">
        <v>45</v>
      </c>
      <c r="G573" s="5" t="s">
        <v>63</v>
      </c>
      <c r="H573" s="5" t="s">
        <v>64</v>
      </c>
      <c r="I573" s="5" t="s">
        <v>38</v>
      </c>
      <c r="J573" s="5" t="s">
        <v>93</v>
      </c>
      <c r="K573" s="5" t="s">
        <v>29</v>
      </c>
      <c r="L573" s="7">
        <v>926.01</v>
      </c>
      <c r="M573" s="5">
        <v>12</v>
      </c>
      <c r="N573" s="7">
        <v>11112.12</v>
      </c>
      <c r="O573" s="8">
        <v>21.6</v>
      </c>
      <c r="P573" s="7">
        <v>8711.9</v>
      </c>
      <c r="Q573" s="8">
        <v>21.6</v>
      </c>
      <c r="R573" s="7">
        <v>1881.77</v>
      </c>
      <c r="S573" s="5" t="s">
        <v>30</v>
      </c>
    </row>
    <row r="574" spans="1:19" x14ac:dyDescent="0.3">
      <c r="A574" s="1" t="s">
        <v>992</v>
      </c>
      <c r="B574" s="1" t="s">
        <v>267</v>
      </c>
      <c r="C574" s="1" t="s">
        <v>33</v>
      </c>
      <c r="D574" s="1" t="s">
        <v>22</v>
      </c>
      <c r="E574" s="2" t="s">
        <v>23</v>
      </c>
      <c r="F574" s="1" t="s">
        <v>24</v>
      </c>
      <c r="G574" s="1" t="s">
        <v>109</v>
      </c>
      <c r="H574" s="1" t="s">
        <v>152</v>
      </c>
      <c r="I574" s="1" t="s">
        <v>55</v>
      </c>
      <c r="J574" s="1" t="s">
        <v>28</v>
      </c>
      <c r="K574" s="1" t="s">
        <v>29</v>
      </c>
      <c r="L574" s="3">
        <v>12165.8</v>
      </c>
      <c r="M574" s="1">
        <v>1</v>
      </c>
      <c r="N574" s="3">
        <v>12165.8</v>
      </c>
      <c r="O574" s="4">
        <v>17</v>
      </c>
      <c r="P574" s="3">
        <v>10097.61</v>
      </c>
      <c r="Q574" s="4">
        <v>18.8</v>
      </c>
      <c r="R574" s="3">
        <v>1898.35</v>
      </c>
      <c r="S574" s="1" t="s">
        <v>40</v>
      </c>
    </row>
    <row r="575" spans="1:19" x14ac:dyDescent="0.3">
      <c r="A575" s="5" t="s">
        <v>993</v>
      </c>
      <c r="B575" s="5" t="s">
        <v>952</v>
      </c>
      <c r="C575" s="5" t="s">
        <v>131</v>
      </c>
      <c r="D575" s="5" t="s">
        <v>69</v>
      </c>
      <c r="E575" s="6" t="s">
        <v>165</v>
      </c>
      <c r="F575" s="5" t="s">
        <v>166</v>
      </c>
      <c r="G575" s="5" t="s">
        <v>53</v>
      </c>
      <c r="H575" s="5" t="s">
        <v>71</v>
      </c>
      <c r="I575" s="5" t="s">
        <v>27</v>
      </c>
      <c r="J575" s="5" t="s">
        <v>65</v>
      </c>
      <c r="K575" s="5" t="s">
        <v>88</v>
      </c>
      <c r="L575" s="7">
        <v>4435.3900000000003</v>
      </c>
      <c r="M575" s="5">
        <v>25</v>
      </c>
      <c r="N575" s="7">
        <v>110884.75</v>
      </c>
      <c r="O575" s="8">
        <v>13.3</v>
      </c>
      <c r="P575" s="7">
        <v>96137.08</v>
      </c>
      <c r="Q575" s="8">
        <v>51.7</v>
      </c>
      <c r="R575" s="7">
        <v>49702.87</v>
      </c>
      <c r="S575" s="5" t="s">
        <v>40</v>
      </c>
    </row>
    <row r="576" spans="1:19" x14ac:dyDescent="0.3">
      <c r="A576" s="1" t="s">
        <v>994</v>
      </c>
      <c r="B576" s="1" t="s">
        <v>725</v>
      </c>
      <c r="C576" s="1" t="s">
        <v>101</v>
      </c>
      <c r="D576" s="1" t="s">
        <v>60</v>
      </c>
      <c r="E576" s="2" t="s">
        <v>128</v>
      </c>
      <c r="F576" s="1" t="s">
        <v>45</v>
      </c>
      <c r="G576" s="1" t="s">
        <v>109</v>
      </c>
      <c r="H576" s="1" t="s">
        <v>189</v>
      </c>
      <c r="I576" s="1" t="s">
        <v>38</v>
      </c>
      <c r="J576" s="1" t="s">
        <v>93</v>
      </c>
      <c r="K576" s="1" t="s">
        <v>149</v>
      </c>
      <c r="L576" s="3">
        <v>259.83999999999997</v>
      </c>
      <c r="M576" s="1">
        <v>4</v>
      </c>
      <c r="N576" s="3">
        <v>1039.3599999999999</v>
      </c>
      <c r="O576" s="4">
        <v>7.7</v>
      </c>
      <c r="P576" s="3">
        <v>959.33</v>
      </c>
      <c r="Q576" s="4">
        <v>27.2</v>
      </c>
      <c r="R576" s="3">
        <v>260.94</v>
      </c>
      <c r="S576" s="1" t="s">
        <v>40</v>
      </c>
    </row>
    <row r="577" spans="1:19" x14ac:dyDescent="0.3">
      <c r="A577" s="5" t="s">
        <v>995</v>
      </c>
      <c r="B577" s="5" t="s">
        <v>574</v>
      </c>
      <c r="C577" s="5" t="s">
        <v>117</v>
      </c>
      <c r="D577" s="5" t="s">
        <v>86</v>
      </c>
      <c r="E577" s="6" t="s">
        <v>139</v>
      </c>
      <c r="F577" s="5" t="s">
        <v>45</v>
      </c>
      <c r="G577" s="5" t="s">
        <v>53</v>
      </c>
      <c r="H577" s="5" t="s">
        <v>71</v>
      </c>
      <c r="I577" s="5" t="s">
        <v>38</v>
      </c>
      <c r="J577" s="5" t="s">
        <v>65</v>
      </c>
      <c r="K577" s="5" t="s">
        <v>39</v>
      </c>
      <c r="L577" s="7">
        <v>378.63</v>
      </c>
      <c r="M577" s="5">
        <v>1</v>
      </c>
      <c r="N577" s="7">
        <v>378.63</v>
      </c>
      <c r="O577" s="8">
        <v>5.3</v>
      </c>
      <c r="P577" s="7">
        <v>358.56</v>
      </c>
      <c r="Q577" s="8">
        <v>21.2</v>
      </c>
      <c r="R577" s="7">
        <v>76.010000000000005</v>
      </c>
      <c r="S577" s="5" t="s">
        <v>79</v>
      </c>
    </row>
    <row r="578" spans="1:19" x14ac:dyDescent="0.3">
      <c r="A578" s="1" t="s">
        <v>996</v>
      </c>
      <c r="B578" s="1" t="s">
        <v>302</v>
      </c>
      <c r="C578" s="1" t="s">
        <v>75</v>
      </c>
      <c r="D578" s="1" t="s">
        <v>60</v>
      </c>
      <c r="E578" s="2" t="s">
        <v>139</v>
      </c>
      <c r="F578" s="1" t="s">
        <v>45</v>
      </c>
      <c r="G578" s="1" t="s">
        <v>25</v>
      </c>
      <c r="H578" s="1" t="s">
        <v>26</v>
      </c>
      <c r="I578" s="1" t="s">
        <v>72</v>
      </c>
      <c r="J578" s="1" t="s">
        <v>93</v>
      </c>
      <c r="K578" s="1" t="s">
        <v>102</v>
      </c>
      <c r="L578" s="3">
        <v>723.13</v>
      </c>
      <c r="M578" s="1">
        <v>2</v>
      </c>
      <c r="N578" s="3">
        <v>1446.26</v>
      </c>
      <c r="O578" s="4">
        <v>12.3</v>
      </c>
      <c r="P578" s="3">
        <v>1268.3699999999999</v>
      </c>
      <c r="Q578" s="4">
        <v>31.9</v>
      </c>
      <c r="R578" s="3">
        <v>404.61</v>
      </c>
      <c r="S578" s="1" t="s">
        <v>112</v>
      </c>
    </row>
    <row r="579" spans="1:19" x14ac:dyDescent="0.3">
      <c r="A579" s="5" t="s">
        <v>997</v>
      </c>
      <c r="B579" s="5" t="s">
        <v>550</v>
      </c>
      <c r="C579" s="5" t="s">
        <v>33</v>
      </c>
      <c r="D579" s="5" t="s">
        <v>22</v>
      </c>
      <c r="E579" s="6" t="s">
        <v>114</v>
      </c>
      <c r="F579" s="5" t="s">
        <v>45</v>
      </c>
      <c r="G579" s="5" t="s">
        <v>109</v>
      </c>
      <c r="H579" s="5" t="s">
        <v>152</v>
      </c>
      <c r="I579" s="5" t="s">
        <v>47</v>
      </c>
      <c r="J579" s="5" t="s">
        <v>47</v>
      </c>
      <c r="K579" s="5" t="s">
        <v>111</v>
      </c>
      <c r="L579" s="7">
        <v>168.63</v>
      </c>
      <c r="M579" s="5">
        <v>24</v>
      </c>
      <c r="N579" s="7">
        <v>4047.12</v>
      </c>
      <c r="O579" s="8">
        <v>4.8</v>
      </c>
      <c r="P579" s="7">
        <v>3852.86</v>
      </c>
      <c r="Q579" s="8">
        <v>23.6</v>
      </c>
      <c r="R579" s="7">
        <v>909.27</v>
      </c>
      <c r="S579" s="5" t="s">
        <v>30</v>
      </c>
    </row>
    <row r="580" spans="1:19" x14ac:dyDescent="0.3">
      <c r="A580" s="1" t="s">
        <v>998</v>
      </c>
      <c r="B580" s="1" t="s">
        <v>212</v>
      </c>
      <c r="C580" s="1" t="s">
        <v>96</v>
      </c>
      <c r="D580" s="1" t="s">
        <v>86</v>
      </c>
      <c r="E580" s="2" t="s">
        <v>155</v>
      </c>
      <c r="F580" s="1" t="s">
        <v>24</v>
      </c>
      <c r="G580" s="1" t="s">
        <v>36</v>
      </c>
      <c r="H580" s="1" t="s">
        <v>105</v>
      </c>
      <c r="I580" s="1" t="s">
        <v>55</v>
      </c>
      <c r="J580" s="1" t="s">
        <v>28</v>
      </c>
      <c r="K580" s="1" t="s">
        <v>78</v>
      </c>
      <c r="L580" s="3">
        <v>78259.02</v>
      </c>
      <c r="M580" s="1">
        <v>3</v>
      </c>
      <c r="N580" s="3">
        <v>234777.06</v>
      </c>
      <c r="O580" s="4">
        <v>23.6</v>
      </c>
      <c r="P580" s="3">
        <v>179369.67</v>
      </c>
      <c r="Q580" s="4">
        <v>20.9</v>
      </c>
      <c r="R580" s="3">
        <v>37488.26</v>
      </c>
      <c r="S580" s="1" t="s">
        <v>40</v>
      </c>
    </row>
    <row r="581" spans="1:19" x14ac:dyDescent="0.3">
      <c r="A581" s="5" t="s">
        <v>999</v>
      </c>
      <c r="B581" s="5" t="s">
        <v>495</v>
      </c>
      <c r="C581" s="5" t="s">
        <v>101</v>
      </c>
      <c r="D581" s="5" t="s">
        <v>60</v>
      </c>
      <c r="E581" s="6" t="s">
        <v>224</v>
      </c>
      <c r="F581" s="5" t="s">
        <v>166</v>
      </c>
      <c r="G581" s="5" t="s">
        <v>63</v>
      </c>
      <c r="H581" s="5" t="s">
        <v>92</v>
      </c>
      <c r="I581" s="5" t="s">
        <v>72</v>
      </c>
      <c r="J581" s="5" t="s">
        <v>65</v>
      </c>
      <c r="K581" s="5" t="s">
        <v>159</v>
      </c>
      <c r="L581" s="7">
        <v>4487.37</v>
      </c>
      <c r="M581" s="5">
        <v>12</v>
      </c>
      <c r="N581" s="7">
        <v>53848.44</v>
      </c>
      <c r="O581" s="8">
        <v>0.5</v>
      </c>
      <c r="P581" s="7">
        <v>53579.199999999997</v>
      </c>
      <c r="Q581" s="8">
        <v>43.8</v>
      </c>
      <c r="R581" s="7">
        <v>23467.69</v>
      </c>
      <c r="S581" s="5" t="s">
        <v>112</v>
      </c>
    </row>
    <row r="582" spans="1:19" x14ac:dyDescent="0.3">
      <c r="A582" s="1" t="s">
        <v>1000</v>
      </c>
      <c r="B582" s="1" t="s">
        <v>445</v>
      </c>
      <c r="C582" s="1" t="s">
        <v>43</v>
      </c>
      <c r="D582" s="1" t="s">
        <v>22</v>
      </c>
      <c r="E582" s="2" t="s">
        <v>23</v>
      </c>
      <c r="F582" s="1" t="s">
        <v>24</v>
      </c>
      <c r="G582" s="1" t="s">
        <v>36</v>
      </c>
      <c r="H582" s="1" t="s">
        <v>136</v>
      </c>
      <c r="I582" s="1" t="s">
        <v>72</v>
      </c>
      <c r="J582" s="1" t="s">
        <v>28</v>
      </c>
      <c r="K582" s="1" t="s">
        <v>56</v>
      </c>
      <c r="L582" s="3">
        <v>47878.26</v>
      </c>
      <c r="M582" s="1">
        <v>9</v>
      </c>
      <c r="N582" s="3">
        <v>430904.34</v>
      </c>
      <c r="O582" s="4">
        <v>10.8</v>
      </c>
      <c r="P582" s="3">
        <v>384366.67</v>
      </c>
      <c r="Q582" s="4">
        <v>13.1</v>
      </c>
      <c r="R582" s="3">
        <v>50352.03</v>
      </c>
      <c r="S582" s="1" t="s">
        <v>79</v>
      </c>
    </row>
    <row r="583" spans="1:19" x14ac:dyDescent="0.3">
      <c r="A583" s="5" t="s">
        <v>1001</v>
      </c>
      <c r="B583" s="5" t="s">
        <v>333</v>
      </c>
      <c r="C583" s="5" t="s">
        <v>96</v>
      </c>
      <c r="D583" s="5" t="s">
        <v>86</v>
      </c>
      <c r="E583" s="6" t="s">
        <v>148</v>
      </c>
      <c r="F583" s="5" t="s">
        <v>52</v>
      </c>
      <c r="G583" s="5" t="s">
        <v>53</v>
      </c>
      <c r="H583" s="5" t="s">
        <v>77</v>
      </c>
      <c r="I583" s="5" t="s">
        <v>72</v>
      </c>
      <c r="J583" s="5" t="s">
        <v>93</v>
      </c>
      <c r="K583" s="5" t="s">
        <v>111</v>
      </c>
      <c r="L583" s="7">
        <v>7446.83</v>
      </c>
      <c r="M583" s="5">
        <v>20</v>
      </c>
      <c r="N583" s="7">
        <v>148936.6</v>
      </c>
      <c r="O583" s="8">
        <v>11.7</v>
      </c>
      <c r="P583" s="7">
        <v>131511.01999999999</v>
      </c>
      <c r="Q583" s="8">
        <v>29.9</v>
      </c>
      <c r="R583" s="7">
        <v>39321.79</v>
      </c>
      <c r="S583" s="5" t="s">
        <v>79</v>
      </c>
    </row>
    <row r="584" spans="1:19" x14ac:dyDescent="0.3">
      <c r="A584" s="1" t="s">
        <v>1002</v>
      </c>
      <c r="B584" s="1" t="s">
        <v>623</v>
      </c>
      <c r="C584" s="1" t="s">
        <v>21</v>
      </c>
      <c r="D584" s="1" t="s">
        <v>22</v>
      </c>
      <c r="E584" s="2" t="s">
        <v>279</v>
      </c>
      <c r="F584" s="1" t="s">
        <v>166</v>
      </c>
      <c r="G584" s="1" t="s">
        <v>36</v>
      </c>
      <c r="H584" s="1" t="s">
        <v>119</v>
      </c>
      <c r="I584" s="1" t="s">
        <v>72</v>
      </c>
      <c r="J584" s="1" t="s">
        <v>47</v>
      </c>
      <c r="K584" s="1" t="s">
        <v>149</v>
      </c>
      <c r="L584" s="3">
        <v>1808.66</v>
      </c>
      <c r="M584" s="1">
        <v>15</v>
      </c>
      <c r="N584" s="3">
        <v>27129.9</v>
      </c>
      <c r="O584" s="4">
        <v>4.2</v>
      </c>
      <c r="P584" s="3">
        <v>25990.44</v>
      </c>
      <c r="Q584" s="4">
        <v>38.700000000000003</v>
      </c>
      <c r="R584" s="3">
        <v>10058.299999999999</v>
      </c>
      <c r="S584" s="1" t="s">
        <v>40</v>
      </c>
    </row>
    <row r="585" spans="1:19" x14ac:dyDescent="0.3">
      <c r="A585" s="5" t="s">
        <v>1003</v>
      </c>
      <c r="B585" s="5" t="s">
        <v>1004</v>
      </c>
      <c r="C585" s="5" t="s">
        <v>117</v>
      </c>
      <c r="D585" s="5" t="s">
        <v>86</v>
      </c>
      <c r="E585" s="6" t="s">
        <v>51</v>
      </c>
      <c r="F585" s="5" t="s">
        <v>52</v>
      </c>
      <c r="G585" s="5" t="s">
        <v>63</v>
      </c>
      <c r="H585" s="5" t="s">
        <v>87</v>
      </c>
      <c r="I585" s="5" t="s">
        <v>47</v>
      </c>
      <c r="J585" s="5" t="s">
        <v>28</v>
      </c>
      <c r="K585" s="5" t="s">
        <v>111</v>
      </c>
      <c r="L585" s="7">
        <v>6183.79</v>
      </c>
      <c r="M585" s="5">
        <v>10</v>
      </c>
      <c r="N585" s="7">
        <v>61837.9</v>
      </c>
      <c r="O585" s="8">
        <v>16.8</v>
      </c>
      <c r="P585" s="7">
        <v>51449.13</v>
      </c>
      <c r="Q585" s="8">
        <v>34.700000000000003</v>
      </c>
      <c r="R585" s="7">
        <v>17852.849999999999</v>
      </c>
      <c r="S585" s="5" t="s">
        <v>40</v>
      </c>
    </row>
    <row r="586" spans="1:19" x14ac:dyDescent="0.3">
      <c r="A586" s="1" t="s">
        <v>1005</v>
      </c>
      <c r="B586" s="1" t="s">
        <v>1006</v>
      </c>
      <c r="C586" s="1" t="s">
        <v>75</v>
      </c>
      <c r="D586" s="1" t="s">
        <v>60</v>
      </c>
      <c r="E586" s="2" t="s">
        <v>194</v>
      </c>
      <c r="F586" s="1" t="s">
        <v>52</v>
      </c>
      <c r="G586" s="1" t="s">
        <v>109</v>
      </c>
      <c r="H586" s="1" t="s">
        <v>122</v>
      </c>
      <c r="I586" s="1" t="s">
        <v>55</v>
      </c>
      <c r="J586" s="1" t="s">
        <v>28</v>
      </c>
      <c r="K586" s="1" t="s">
        <v>39</v>
      </c>
      <c r="L586" s="3">
        <v>4774.75</v>
      </c>
      <c r="M586" s="1">
        <v>2</v>
      </c>
      <c r="N586" s="3">
        <v>9549.5</v>
      </c>
      <c r="O586" s="4">
        <v>12.7</v>
      </c>
      <c r="P586" s="3">
        <v>8336.7099999999991</v>
      </c>
      <c r="Q586" s="4">
        <v>26.9</v>
      </c>
      <c r="R586" s="3">
        <v>2242.5700000000002</v>
      </c>
      <c r="S586" s="1" t="s">
        <v>40</v>
      </c>
    </row>
    <row r="587" spans="1:19" x14ac:dyDescent="0.3">
      <c r="A587" s="5" t="s">
        <v>1007</v>
      </c>
      <c r="B587" s="5" t="s">
        <v>562</v>
      </c>
      <c r="C587" s="5" t="s">
        <v>85</v>
      </c>
      <c r="D587" s="5" t="s">
        <v>86</v>
      </c>
      <c r="E587" s="6" t="s">
        <v>246</v>
      </c>
      <c r="F587" s="5" t="s">
        <v>52</v>
      </c>
      <c r="G587" s="5" t="s">
        <v>63</v>
      </c>
      <c r="H587" s="5" t="s">
        <v>64</v>
      </c>
      <c r="I587" s="5" t="s">
        <v>38</v>
      </c>
      <c r="J587" s="5" t="s">
        <v>47</v>
      </c>
      <c r="K587" s="5" t="s">
        <v>39</v>
      </c>
      <c r="L587" s="7">
        <v>7740.3</v>
      </c>
      <c r="M587" s="5">
        <v>5</v>
      </c>
      <c r="N587" s="7">
        <v>38701.5</v>
      </c>
      <c r="O587" s="8">
        <v>23.8</v>
      </c>
      <c r="P587" s="7">
        <v>29490.54</v>
      </c>
      <c r="Q587" s="8">
        <v>28.3</v>
      </c>
      <c r="R587" s="7">
        <v>8345.82</v>
      </c>
      <c r="S587" s="5" t="s">
        <v>40</v>
      </c>
    </row>
    <row r="588" spans="1:19" x14ac:dyDescent="0.3">
      <c r="A588" s="1" t="s">
        <v>1008</v>
      </c>
      <c r="B588" s="1" t="s">
        <v>409</v>
      </c>
      <c r="C588" s="1" t="s">
        <v>101</v>
      </c>
      <c r="D588" s="1" t="s">
        <v>60</v>
      </c>
      <c r="E588" s="2" t="s">
        <v>158</v>
      </c>
      <c r="F588" s="1" t="s">
        <v>35</v>
      </c>
      <c r="G588" s="1" t="s">
        <v>109</v>
      </c>
      <c r="H588" s="1" t="s">
        <v>110</v>
      </c>
      <c r="I588" s="1" t="s">
        <v>38</v>
      </c>
      <c r="J588" s="1" t="s">
        <v>93</v>
      </c>
      <c r="K588" s="1" t="s">
        <v>56</v>
      </c>
      <c r="L588" s="3">
        <v>5453.18</v>
      </c>
      <c r="M588" s="1">
        <v>17</v>
      </c>
      <c r="N588" s="3">
        <v>92704.06</v>
      </c>
      <c r="O588" s="4">
        <v>16.3</v>
      </c>
      <c r="P588" s="3">
        <v>77593.3</v>
      </c>
      <c r="Q588" s="4">
        <v>32.1</v>
      </c>
      <c r="R588" s="3">
        <v>24907.45</v>
      </c>
      <c r="S588" s="1" t="s">
        <v>40</v>
      </c>
    </row>
    <row r="589" spans="1:19" x14ac:dyDescent="0.3">
      <c r="A589" s="5" t="s">
        <v>1009</v>
      </c>
      <c r="B589" s="5" t="s">
        <v>1010</v>
      </c>
      <c r="C589" s="5" t="s">
        <v>43</v>
      </c>
      <c r="D589" s="5" t="s">
        <v>22</v>
      </c>
      <c r="E589" s="6" t="s">
        <v>128</v>
      </c>
      <c r="F589" s="5" t="s">
        <v>45</v>
      </c>
      <c r="G589" s="5" t="s">
        <v>25</v>
      </c>
      <c r="H589" s="5" t="s">
        <v>132</v>
      </c>
      <c r="I589" s="5" t="s">
        <v>27</v>
      </c>
      <c r="J589" s="5" t="s">
        <v>47</v>
      </c>
      <c r="K589" s="5" t="s">
        <v>159</v>
      </c>
      <c r="L589" s="7">
        <v>1379.87</v>
      </c>
      <c r="M589" s="5">
        <v>18</v>
      </c>
      <c r="N589" s="7">
        <v>24837.66</v>
      </c>
      <c r="O589" s="8">
        <v>20.5</v>
      </c>
      <c r="P589" s="7">
        <v>19745.939999999999</v>
      </c>
      <c r="Q589" s="8">
        <v>19.100000000000001</v>
      </c>
      <c r="R589" s="7">
        <v>3771.47</v>
      </c>
      <c r="S589" s="5" t="s">
        <v>40</v>
      </c>
    </row>
    <row r="590" spans="1:19" x14ac:dyDescent="0.3">
      <c r="A590" s="1" t="s">
        <v>1011</v>
      </c>
      <c r="B590" s="1" t="s">
        <v>463</v>
      </c>
      <c r="C590" s="1" t="s">
        <v>59</v>
      </c>
      <c r="D590" s="1" t="s">
        <v>60</v>
      </c>
      <c r="E590" s="2" t="s">
        <v>148</v>
      </c>
      <c r="F590" s="1" t="s">
        <v>52</v>
      </c>
      <c r="G590" s="1" t="s">
        <v>63</v>
      </c>
      <c r="H590" s="1" t="s">
        <v>64</v>
      </c>
      <c r="I590" s="1" t="s">
        <v>47</v>
      </c>
      <c r="J590" s="1" t="s">
        <v>47</v>
      </c>
      <c r="K590" s="1" t="s">
        <v>159</v>
      </c>
      <c r="L590" s="3">
        <v>2442.67</v>
      </c>
      <c r="M590" s="1">
        <v>15</v>
      </c>
      <c r="N590" s="3">
        <v>36640.050000000003</v>
      </c>
      <c r="O590" s="4">
        <v>10.3</v>
      </c>
      <c r="P590" s="3">
        <v>32866.120000000003</v>
      </c>
      <c r="Q590" s="4">
        <v>43.9</v>
      </c>
      <c r="R590" s="3">
        <v>14428.23</v>
      </c>
      <c r="S590" s="1" t="s">
        <v>79</v>
      </c>
    </row>
    <row r="591" spans="1:19" x14ac:dyDescent="0.3">
      <c r="A591" s="5" t="s">
        <v>1012</v>
      </c>
      <c r="B591" s="5" t="s">
        <v>1013</v>
      </c>
      <c r="C591" s="5" t="s">
        <v>75</v>
      </c>
      <c r="D591" s="5" t="s">
        <v>60</v>
      </c>
      <c r="E591" s="6" t="s">
        <v>61</v>
      </c>
      <c r="F591" s="5" t="s">
        <v>62</v>
      </c>
      <c r="G591" s="5" t="s">
        <v>63</v>
      </c>
      <c r="H591" s="5" t="s">
        <v>167</v>
      </c>
      <c r="I591" s="5" t="s">
        <v>72</v>
      </c>
      <c r="J591" s="5" t="s">
        <v>28</v>
      </c>
      <c r="K591" s="5" t="s">
        <v>149</v>
      </c>
      <c r="L591" s="7">
        <v>2695.65</v>
      </c>
      <c r="M591" s="5">
        <v>20</v>
      </c>
      <c r="N591" s="7">
        <v>53913</v>
      </c>
      <c r="O591" s="8">
        <v>7.1</v>
      </c>
      <c r="P591" s="7">
        <v>50085.18</v>
      </c>
      <c r="Q591" s="8">
        <v>59.5</v>
      </c>
      <c r="R591" s="7">
        <v>29800.68</v>
      </c>
      <c r="S591" s="5" t="s">
        <v>112</v>
      </c>
    </row>
    <row r="592" spans="1:19" x14ac:dyDescent="0.3">
      <c r="A592" s="1" t="s">
        <v>1014</v>
      </c>
      <c r="B592" s="1" t="s">
        <v>720</v>
      </c>
      <c r="C592" s="1" t="s">
        <v>33</v>
      </c>
      <c r="D592" s="1" t="s">
        <v>22</v>
      </c>
      <c r="E592" s="2" t="s">
        <v>51</v>
      </c>
      <c r="F592" s="1" t="s">
        <v>52</v>
      </c>
      <c r="G592" s="1" t="s">
        <v>36</v>
      </c>
      <c r="H592" s="1" t="s">
        <v>119</v>
      </c>
      <c r="I592" s="1" t="s">
        <v>38</v>
      </c>
      <c r="J592" s="1" t="s">
        <v>47</v>
      </c>
      <c r="K592" s="1" t="s">
        <v>29</v>
      </c>
      <c r="L592" s="3">
        <v>4019.61</v>
      </c>
      <c r="M592" s="1">
        <v>15</v>
      </c>
      <c r="N592" s="3">
        <v>60294.15</v>
      </c>
      <c r="O592" s="4">
        <v>13.7</v>
      </c>
      <c r="P592" s="3">
        <v>52033.85</v>
      </c>
      <c r="Q592" s="4">
        <v>24.3</v>
      </c>
      <c r="R592" s="3">
        <v>12644.23</v>
      </c>
      <c r="S592" s="1" t="s">
        <v>40</v>
      </c>
    </row>
    <row r="593" spans="1:19" x14ac:dyDescent="0.3">
      <c r="A593" s="5" t="s">
        <v>1015</v>
      </c>
      <c r="B593" s="5" t="s">
        <v>493</v>
      </c>
      <c r="C593" s="5" t="s">
        <v>43</v>
      </c>
      <c r="D593" s="5" t="s">
        <v>22</v>
      </c>
      <c r="E593" s="6" t="s">
        <v>34</v>
      </c>
      <c r="F593" s="5" t="s">
        <v>35</v>
      </c>
      <c r="G593" s="5" t="s">
        <v>25</v>
      </c>
      <c r="H593" s="5" t="s">
        <v>215</v>
      </c>
      <c r="I593" s="5" t="s">
        <v>38</v>
      </c>
      <c r="J593" s="5" t="s">
        <v>28</v>
      </c>
      <c r="K593" s="5" t="s">
        <v>56</v>
      </c>
      <c r="L593" s="7">
        <v>26205.96</v>
      </c>
      <c r="M593" s="5">
        <v>18</v>
      </c>
      <c r="N593" s="7">
        <v>471707.28</v>
      </c>
      <c r="O593" s="8">
        <v>13.9</v>
      </c>
      <c r="P593" s="7">
        <v>406139.97</v>
      </c>
      <c r="Q593" s="8">
        <v>48</v>
      </c>
      <c r="R593" s="7">
        <v>194947.19</v>
      </c>
      <c r="S593" s="5" t="s">
        <v>40</v>
      </c>
    </row>
    <row r="594" spans="1:19" x14ac:dyDescent="0.3">
      <c r="A594" s="1" t="s">
        <v>1016</v>
      </c>
      <c r="B594" s="1" t="s">
        <v>427</v>
      </c>
      <c r="C594" s="1" t="s">
        <v>135</v>
      </c>
      <c r="D594" s="1" t="s">
        <v>69</v>
      </c>
      <c r="E594" s="2" t="s">
        <v>303</v>
      </c>
      <c r="F594" s="1" t="s">
        <v>62</v>
      </c>
      <c r="G594" s="1" t="s">
        <v>53</v>
      </c>
      <c r="H594" s="1" t="s">
        <v>71</v>
      </c>
      <c r="I594" s="1" t="s">
        <v>55</v>
      </c>
      <c r="J594" s="1" t="s">
        <v>28</v>
      </c>
      <c r="K594" s="1" t="s">
        <v>39</v>
      </c>
      <c r="L594" s="3">
        <v>892.37</v>
      </c>
      <c r="M594" s="1">
        <v>9</v>
      </c>
      <c r="N594" s="3">
        <v>8031.33</v>
      </c>
      <c r="O594" s="4">
        <v>14.5</v>
      </c>
      <c r="P594" s="3">
        <v>6866.79</v>
      </c>
      <c r="Q594" s="4">
        <v>71.2</v>
      </c>
      <c r="R594" s="3">
        <v>4889.1499999999996</v>
      </c>
      <c r="S594" s="1" t="s">
        <v>40</v>
      </c>
    </row>
    <row r="595" spans="1:19" x14ac:dyDescent="0.3">
      <c r="A595" s="5" t="s">
        <v>1017</v>
      </c>
      <c r="B595" s="5" t="s">
        <v>826</v>
      </c>
      <c r="C595" s="5" t="s">
        <v>21</v>
      </c>
      <c r="D595" s="5" t="s">
        <v>22</v>
      </c>
      <c r="E595" s="6" t="s">
        <v>170</v>
      </c>
      <c r="F595" s="5" t="s">
        <v>52</v>
      </c>
      <c r="G595" s="5" t="s">
        <v>109</v>
      </c>
      <c r="H595" s="5" t="s">
        <v>110</v>
      </c>
      <c r="I595" s="5" t="s">
        <v>55</v>
      </c>
      <c r="J595" s="5" t="s">
        <v>47</v>
      </c>
      <c r="K595" s="5" t="s">
        <v>39</v>
      </c>
      <c r="L595" s="7">
        <v>8205.44</v>
      </c>
      <c r="M595" s="5">
        <v>14</v>
      </c>
      <c r="N595" s="7">
        <v>114876.16</v>
      </c>
      <c r="O595" s="8">
        <v>11.9</v>
      </c>
      <c r="P595" s="7">
        <v>101205.9</v>
      </c>
      <c r="Q595" s="8">
        <v>45.5</v>
      </c>
      <c r="R595" s="7">
        <v>46048.68</v>
      </c>
      <c r="S595" s="5" t="s">
        <v>40</v>
      </c>
    </row>
    <row r="596" spans="1:19" x14ac:dyDescent="0.3">
      <c r="A596" s="1" t="s">
        <v>1018</v>
      </c>
      <c r="B596" s="1" t="s">
        <v>819</v>
      </c>
      <c r="C596" s="1" t="s">
        <v>117</v>
      </c>
      <c r="D596" s="1" t="s">
        <v>86</v>
      </c>
      <c r="E596" s="2" t="s">
        <v>61</v>
      </c>
      <c r="F596" s="1" t="s">
        <v>62</v>
      </c>
      <c r="G596" s="1" t="s">
        <v>36</v>
      </c>
      <c r="H596" s="1" t="s">
        <v>119</v>
      </c>
      <c r="I596" s="1" t="s">
        <v>55</v>
      </c>
      <c r="J596" s="1" t="s">
        <v>28</v>
      </c>
      <c r="K596" s="1" t="s">
        <v>48</v>
      </c>
      <c r="L596" s="3">
        <v>2967.66</v>
      </c>
      <c r="M596" s="1">
        <v>22</v>
      </c>
      <c r="N596" s="3">
        <v>65288.52</v>
      </c>
      <c r="O596" s="4">
        <v>4.2</v>
      </c>
      <c r="P596" s="3">
        <v>62546.400000000001</v>
      </c>
      <c r="Q596" s="4">
        <v>50.7</v>
      </c>
      <c r="R596" s="3">
        <v>31711.02</v>
      </c>
      <c r="S596" s="1" t="s">
        <v>40</v>
      </c>
    </row>
    <row r="597" spans="1:19" x14ac:dyDescent="0.3">
      <c r="A597" s="5" t="s">
        <v>1019</v>
      </c>
      <c r="B597" s="5" t="s">
        <v>552</v>
      </c>
      <c r="C597" s="5" t="s">
        <v>135</v>
      </c>
      <c r="D597" s="5" t="s">
        <v>69</v>
      </c>
      <c r="E597" s="6" t="s">
        <v>142</v>
      </c>
      <c r="F597" s="5" t="s">
        <v>24</v>
      </c>
      <c r="G597" s="5" t="s">
        <v>25</v>
      </c>
      <c r="H597" s="5" t="s">
        <v>46</v>
      </c>
      <c r="I597" s="5" t="s">
        <v>72</v>
      </c>
      <c r="J597" s="5" t="s">
        <v>47</v>
      </c>
      <c r="K597" s="5" t="s">
        <v>48</v>
      </c>
      <c r="L597" s="7">
        <v>38003.03</v>
      </c>
      <c r="M597" s="5">
        <v>16</v>
      </c>
      <c r="N597" s="7">
        <v>608048.48</v>
      </c>
      <c r="O597" s="8">
        <v>5.6</v>
      </c>
      <c r="P597" s="7">
        <v>573997.77</v>
      </c>
      <c r="Q597" s="8">
        <v>28.3</v>
      </c>
      <c r="R597" s="7">
        <v>162441.37</v>
      </c>
      <c r="S597" s="5" t="s">
        <v>79</v>
      </c>
    </row>
    <row r="598" spans="1:19" x14ac:dyDescent="0.3">
      <c r="A598" s="1" t="s">
        <v>1020</v>
      </c>
      <c r="B598" s="1" t="s">
        <v>552</v>
      </c>
      <c r="C598" s="1" t="s">
        <v>135</v>
      </c>
      <c r="D598" s="1" t="s">
        <v>69</v>
      </c>
      <c r="E598" s="2" t="s">
        <v>97</v>
      </c>
      <c r="F598" s="1" t="s">
        <v>35</v>
      </c>
      <c r="G598" s="1" t="s">
        <v>63</v>
      </c>
      <c r="H598" s="1" t="s">
        <v>92</v>
      </c>
      <c r="I598" s="1" t="s">
        <v>72</v>
      </c>
      <c r="J598" s="1" t="s">
        <v>47</v>
      </c>
      <c r="K598" s="1" t="s">
        <v>159</v>
      </c>
      <c r="L598" s="3">
        <v>20873.830000000002</v>
      </c>
      <c r="M598" s="1">
        <v>22</v>
      </c>
      <c r="N598" s="3">
        <v>459224.26</v>
      </c>
      <c r="O598" s="4">
        <v>9.6</v>
      </c>
      <c r="P598" s="3">
        <v>415138.73</v>
      </c>
      <c r="Q598" s="4">
        <v>36.700000000000003</v>
      </c>
      <c r="R598" s="3">
        <v>152355.91</v>
      </c>
      <c r="S598" s="1" t="s">
        <v>40</v>
      </c>
    </row>
    <row r="599" spans="1:19" x14ac:dyDescent="0.3">
      <c r="A599" s="5" t="s">
        <v>1021</v>
      </c>
      <c r="B599" s="5" t="s">
        <v>920</v>
      </c>
      <c r="C599" s="5" t="s">
        <v>33</v>
      </c>
      <c r="D599" s="5" t="s">
        <v>22</v>
      </c>
      <c r="E599" s="6" t="s">
        <v>177</v>
      </c>
      <c r="F599" s="5" t="s">
        <v>166</v>
      </c>
      <c r="G599" s="5" t="s">
        <v>109</v>
      </c>
      <c r="H599" s="5" t="s">
        <v>110</v>
      </c>
      <c r="I599" s="5" t="s">
        <v>72</v>
      </c>
      <c r="J599" s="5" t="s">
        <v>93</v>
      </c>
      <c r="K599" s="5" t="s">
        <v>48</v>
      </c>
      <c r="L599" s="7">
        <v>1791.52</v>
      </c>
      <c r="M599" s="5">
        <v>1</v>
      </c>
      <c r="N599" s="7">
        <v>1791.52</v>
      </c>
      <c r="O599" s="8">
        <v>5</v>
      </c>
      <c r="P599" s="7">
        <v>1701.94</v>
      </c>
      <c r="Q599" s="8">
        <v>53.6</v>
      </c>
      <c r="R599" s="7">
        <v>912.24</v>
      </c>
      <c r="S599" s="5" t="s">
        <v>30</v>
      </c>
    </row>
    <row r="600" spans="1:19" x14ac:dyDescent="0.3">
      <c r="A600" s="1" t="s">
        <v>1022</v>
      </c>
      <c r="B600" s="1" t="s">
        <v>357</v>
      </c>
      <c r="C600" s="1" t="s">
        <v>96</v>
      </c>
      <c r="D600" s="1" t="s">
        <v>86</v>
      </c>
      <c r="E600" s="2" t="s">
        <v>303</v>
      </c>
      <c r="F600" s="1" t="s">
        <v>62</v>
      </c>
      <c r="G600" s="1" t="s">
        <v>109</v>
      </c>
      <c r="H600" s="1" t="s">
        <v>122</v>
      </c>
      <c r="I600" s="1" t="s">
        <v>27</v>
      </c>
      <c r="J600" s="1" t="s">
        <v>28</v>
      </c>
      <c r="K600" s="1" t="s">
        <v>48</v>
      </c>
      <c r="L600" s="3">
        <v>1248.42</v>
      </c>
      <c r="M600" s="1">
        <v>20</v>
      </c>
      <c r="N600" s="3">
        <v>24968.400000000001</v>
      </c>
      <c r="O600" s="4">
        <v>14.9</v>
      </c>
      <c r="P600" s="3">
        <v>21248.11</v>
      </c>
      <c r="Q600" s="4">
        <v>60.9</v>
      </c>
      <c r="R600" s="3">
        <v>12940.1</v>
      </c>
      <c r="S600" s="1" t="s">
        <v>40</v>
      </c>
    </row>
    <row r="601" spans="1:19" x14ac:dyDescent="0.3">
      <c r="A601" s="5" t="s">
        <v>1023</v>
      </c>
      <c r="B601" s="5" t="s">
        <v>687</v>
      </c>
      <c r="C601" s="5" t="s">
        <v>68</v>
      </c>
      <c r="D601" s="5" t="s">
        <v>69</v>
      </c>
      <c r="E601" s="6" t="s">
        <v>82</v>
      </c>
      <c r="F601" s="5" t="s">
        <v>24</v>
      </c>
      <c r="G601" s="5" t="s">
        <v>25</v>
      </c>
      <c r="H601" s="5" t="s">
        <v>26</v>
      </c>
      <c r="I601" s="5" t="s">
        <v>47</v>
      </c>
      <c r="J601" s="5" t="s">
        <v>47</v>
      </c>
      <c r="K601" s="5" t="s">
        <v>159</v>
      </c>
      <c r="L601" s="7">
        <v>10150.129999999999</v>
      </c>
      <c r="M601" s="5">
        <v>2</v>
      </c>
      <c r="N601" s="7">
        <v>20300.259999999998</v>
      </c>
      <c r="O601" s="8">
        <v>19.5</v>
      </c>
      <c r="P601" s="7">
        <v>16341.71</v>
      </c>
      <c r="Q601" s="8">
        <v>30.3</v>
      </c>
      <c r="R601" s="7">
        <v>4951.54</v>
      </c>
      <c r="S601" s="5" t="s">
        <v>30</v>
      </c>
    </row>
    <row r="602" spans="1:19" x14ac:dyDescent="0.3">
      <c r="A602" s="1" t="s">
        <v>1024</v>
      </c>
      <c r="B602" s="1" t="s">
        <v>463</v>
      </c>
      <c r="C602" s="1" t="s">
        <v>59</v>
      </c>
      <c r="D602" s="1" t="s">
        <v>60</v>
      </c>
      <c r="E602" s="2" t="s">
        <v>201</v>
      </c>
      <c r="F602" s="1" t="s">
        <v>24</v>
      </c>
      <c r="G602" s="1" t="s">
        <v>53</v>
      </c>
      <c r="H602" s="1" t="s">
        <v>54</v>
      </c>
      <c r="I602" s="1" t="s">
        <v>55</v>
      </c>
      <c r="J602" s="1" t="s">
        <v>93</v>
      </c>
      <c r="K602" s="1" t="s">
        <v>56</v>
      </c>
      <c r="L602" s="3">
        <v>82860.42</v>
      </c>
      <c r="M602" s="1">
        <v>19</v>
      </c>
      <c r="N602" s="3">
        <v>1574347.98</v>
      </c>
      <c r="O602" s="4">
        <v>19.899999999999999</v>
      </c>
      <c r="P602" s="3">
        <v>1261052.73</v>
      </c>
      <c r="Q602" s="4">
        <v>24.1</v>
      </c>
      <c r="R602" s="3">
        <v>303913.71000000002</v>
      </c>
      <c r="S602" s="1" t="s">
        <v>40</v>
      </c>
    </row>
    <row r="603" spans="1:19" x14ac:dyDescent="0.3">
      <c r="A603" s="5" t="s">
        <v>1025</v>
      </c>
      <c r="B603" s="5" t="s">
        <v>1026</v>
      </c>
      <c r="C603" s="5" t="s">
        <v>21</v>
      </c>
      <c r="D603" s="5" t="s">
        <v>22</v>
      </c>
      <c r="E603" s="6" t="s">
        <v>201</v>
      </c>
      <c r="F603" s="5" t="s">
        <v>24</v>
      </c>
      <c r="G603" s="5" t="s">
        <v>25</v>
      </c>
      <c r="H603" s="5" t="s">
        <v>46</v>
      </c>
      <c r="I603" s="5" t="s">
        <v>72</v>
      </c>
      <c r="J603" s="5" t="s">
        <v>93</v>
      </c>
      <c r="K603" s="5" t="s">
        <v>88</v>
      </c>
      <c r="L603" s="7">
        <v>68192.490000000005</v>
      </c>
      <c r="M603" s="5">
        <v>3</v>
      </c>
      <c r="N603" s="7">
        <v>204577.47</v>
      </c>
      <c r="O603" s="8">
        <v>14.2</v>
      </c>
      <c r="P603" s="7">
        <v>175527.47</v>
      </c>
      <c r="Q603" s="8">
        <v>19.7</v>
      </c>
      <c r="R603" s="7">
        <v>34578.910000000003</v>
      </c>
      <c r="S603" s="5" t="s">
        <v>112</v>
      </c>
    </row>
    <row r="604" spans="1:19" x14ac:dyDescent="0.3">
      <c r="A604" s="1" t="s">
        <v>1027</v>
      </c>
      <c r="B604" s="1" t="s">
        <v>584</v>
      </c>
      <c r="C604" s="1" t="s">
        <v>75</v>
      </c>
      <c r="D604" s="1" t="s">
        <v>60</v>
      </c>
      <c r="E604" s="2" t="s">
        <v>410</v>
      </c>
      <c r="F604" s="1" t="s">
        <v>166</v>
      </c>
      <c r="G604" s="1" t="s">
        <v>109</v>
      </c>
      <c r="H604" s="1" t="s">
        <v>152</v>
      </c>
      <c r="I604" s="1" t="s">
        <v>47</v>
      </c>
      <c r="J604" s="1" t="s">
        <v>65</v>
      </c>
      <c r="K604" s="1" t="s">
        <v>88</v>
      </c>
      <c r="L604" s="3">
        <v>3995.68</v>
      </c>
      <c r="M604" s="1">
        <v>16</v>
      </c>
      <c r="N604" s="3">
        <v>63930.879999999997</v>
      </c>
      <c r="O604" s="4">
        <v>9.4</v>
      </c>
      <c r="P604" s="3">
        <v>57921.38</v>
      </c>
      <c r="Q604" s="4">
        <v>52.7</v>
      </c>
      <c r="R604" s="3">
        <v>30524.57</v>
      </c>
      <c r="S604" s="1" t="s">
        <v>40</v>
      </c>
    </row>
    <row r="605" spans="1:19" x14ac:dyDescent="0.3">
      <c r="A605" s="5" t="s">
        <v>1028</v>
      </c>
      <c r="B605" s="5" t="s">
        <v>1029</v>
      </c>
      <c r="C605" s="5" t="s">
        <v>85</v>
      </c>
      <c r="D605" s="5" t="s">
        <v>86</v>
      </c>
      <c r="E605" s="6" t="s">
        <v>145</v>
      </c>
      <c r="F605" s="5" t="s">
        <v>62</v>
      </c>
      <c r="G605" s="5" t="s">
        <v>109</v>
      </c>
      <c r="H605" s="5" t="s">
        <v>122</v>
      </c>
      <c r="I605" s="5" t="s">
        <v>72</v>
      </c>
      <c r="J605" s="5" t="s">
        <v>93</v>
      </c>
      <c r="K605" s="5" t="s">
        <v>78</v>
      </c>
      <c r="L605" s="7">
        <v>3297.07</v>
      </c>
      <c r="M605" s="5">
        <v>13</v>
      </c>
      <c r="N605" s="7">
        <v>42861.91</v>
      </c>
      <c r="O605" s="8">
        <v>10.9</v>
      </c>
      <c r="P605" s="7">
        <v>38189.96</v>
      </c>
      <c r="Q605" s="8">
        <v>56.6</v>
      </c>
      <c r="R605" s="7">
        <v>21615.52</v>
      </c>
      <c r="S605" s="5" t="s">
        <v>40</v>
      </c>
    </row>
    <row r="606" spans="1:19" x14ac:dyDescent="0.3">
      <c r="A606" s="1" t="s">
        <v>1030</v>
      </c>
      <c r="B606" s="1" t="s">
        <v>1031</v>
      </c>
      <c r="C606" s="1" t="s">
        <v>96</v>
      </c>
      <c r="D606" s="1" t="s">
        <v>86</v>
      </c>
      <c r="E606" s="2" t="s">
        <v>82</v>
      </c>
      <c r="F606" s="1" t="s">
        <v>24</v>
      </c>
      <c r="G606" s="1" t="s">
        <v>53</v>
      </c>
      <c r="H606" s="1" t="s">
        <v>54</v>
      </c>
      <c r="I606" s="1" t="s">
        <v>72</v>
      </c>
      <c r="J606" s="1" t="s">
        <v>28</v>
      </c>
      <c r="K606" s="1" t="s">
        <v>88</v>
      </c>
      <c r="L606" s="3">
        <v>37028.949999999997</v>
      </c>
      <c r="M606" s="1">
        <v>4</v>
      </c>
      <c r="N606" s="3">
        <v>148115.79999999999</v>
      </c>
      <c r="O606" s="4">
        <v>24.5</v>
      </c>
      <c r="P606" s="3">
        <v>111827.43</v>
      </c>
      <c r="Q606" s="4">
        <v>32</v>
      </c>
      <c r="R606" s="3">
        <v>35784.78</v>
      </c>
      <c r="S606" s="1" t="s">
        <v>40</v>
      </c>
    </row>
    <row r="607" spans="1:19" x14ac:dyDescent="0.3">
      <c r="A607" s="5" t="s">
        <v>1032</v>
      </c>
      <c r="B607" s="5" t="s">
        <v>42</v>
      </c>
      <c r="C607" s="5" t="s">
        <v>43</v>
      </c>
      <c r="D607" s="5" t="s">
        <v>22</v>
      </c>
      <c r="E607" s="6" t="s">
        <v>51</v>
      </c>
      <c r="F607" s="5" t="s">
        <v>52</v>
      </c>
      <c r="G607" s="5" t="s">
        <v>36</v>
      </c>
      <c r="H607" s="5" t="s">
        <v>136</v>
      </c>
      <c r="I607" s="5" t="s">
        <v>55</v>
      </c>
      <c r="J607" s="5" t="s">
        <v>65</v>
      </c>
      <c r="K607" s="5" t="s">
        <v>149</v>
      </c>
      <c r="L607" s="7">
        <v>1158.33</v>
      </c>
      <c r="M607" s="5">
        <v>21</v>
      </c>
      <c r="N607" s="7">
        <v>24324.93</v>
      </c>
      <c r="O607" s="8">
        <v>20.9</v>
      </c>
      <c r="P607" s="7">
        <v>19241.02</v>
      </c>
      <c r="Q607" s="8">
        <v>22.3</v>
      </c>
      <c r="R607" s="7">
        <v>4290.75</v>
      </c>
      <c r="S607" s="5" t="s">
        <v>40</v>
      </c>
    </row>
    <row r="608" spans="1:19" x14ac:dyDescent="0.3">
      <c r="A608" s="1" t="s">
        <v>1033</v>
      </c>
      <c r="B608" s="1" t="s">
        <v>926</v>
      </c>
      <c r="C608" s="1" t="s">
        <v>131</v>
      </c>
      <c r="D608" s="1" t="s">
        <v>69</v>
      </c>
      <c r="E608" s="2" t="s">
        <v>97</v>
      </c>
      <c r="F608" s="1" t="s">
        <v>35</v>
      </c>
      <c r="G608" s="1" t="s">
        <v>109</v>
      </c>
      <c r="H608" s="1" t="s">
        <v>152</v>
      </c>
      <c r="I608" s="1" t="s">
        <v>27</v>
      </c>
      <c r="J608" s="1" t="s">
        <v>93</v>
      </c>
      <c r="K608" s="1" t="s">
        <v>111</v>
      </c>
      <c r="L608" s="3">
        <v>38549.919999999998</v>
      </c>
      <c r="M608" s="1">
        <v>17</v>
      </c>
      <c r="N608" s="3">
        <v>655348.64</v>
      </c>
      <c r="O608" s="4">
        <v>24</v>
      </c>
      <c r="P608" s="3">
        <v>498064.97</v>
      </c>
      <c r="Q608" s="4">
        <v>42.5</v>
      </c>
      <c r="R608" s="3">
        <v>211677.61</v>
      </c>
      <c r="S608" s="1" t="s">
        <v>30</v>
      </c>
    </row>
    <row r="609" spans="1:19" x14ac:dyDescent="0.3">
      <c r="A609" s="5" t="s">
        <v>1034</v>
      </c>
      <c r="B609" s="5" t="s">
        <v>121</v>
      </c>
      <c r="C609" s="5" t="s">
        <v>117</v>
      </c>
      <c r="D609" s="5" t="s">
        <v>86</v>
      </c>
      <c r="E609" s="6" t="s">
        <v>306</v>
      </c>
      <c r="F609" s="5" t="s">
        <v>35</v>
      </c>
      <c r="G609" s="5" t="s">
        <v>36</v>
      </c>
      <c r="H609" s="5" t="s">
        <v>37</v>
      </c>
      <c r="I609" s="5" t="s">
        <v>72</v>
      </c>
      <c r="J609" s="5" t="s">
        <v>47</v>
      </c>
      <c r="K609" s="5" t="s">
        <v>48</v>
      </c>
      <c r="L609" s="7">
        <v>16546.14</v>
      </c>
      <c r="M609" s="5">
        <v>11</v>
      </c>
      <c r="N609" s="7">
        <v>182007.54</v>
      </c>
      <c r="O609" s="8">
        <v>6.6</v>
      </c>
      <c r="P609" s="7">
        <v>169995.04</v>
      </c>
      <c r="Q609" s="8">
        <v>50</v>
      </c>
      <c r="R609" s="7">
        <v>84997.52</v>
      </c>
      <c r="S609" s="5" t="s">
        <v>40</v>
      </c>
    </row>
    <row r="610" spans="1:19" x14ac:dyDescent="0.3">
      <c r="A610" s="1" t="s">
        <v>1035</v>
      </c>
      <c r="B610" s="1" t="s">
        <v>732</v>
      </c>
      <c r="C610" s="1" t="s">
        <v>101</v>
      </c>
      <c r="D610" s="1" t="s">
        <v>60</v>
      </c>
      <c r="E610" s="2" t="s">
        <v>306</v>
      </c>
      <c r="F610" s="1" t="s">
        <v>35</v>
      </c>
      <c r="G610" s="1" t="s">
        <v>109</v>
      </c>
      <c r="H610" s="1" t="s">
        <v>122</v>
      </c>
      <c r="I610" s="1" t="s">
        <v>55</v>
      </c>
      <c r="J610" s="1" t="s">
        <v>65</v>
      </c>
      <c r="K610" s="1" t="s">
        <v>159</v>
      </c>
      <c r="L610" s="3">
        <v>3953.33</v>
      </c>
      <c r="M610" s="1">
        <v>10</v>
      </c>
      <c r="N610" s="3">
        <v>39533.300000000003</v>
      </c>
      <c r="O610" s="4">
        <v>12.8</v>
      </c>
      <c r="P610" s="3">
        <v>34473.040000000001</v>
      </c>
      <c r="Q610" s="4">
        <v>48.3</v>
      </c>
      <c r="R610" s="3">
        <v>16650.48</v>
      </c>
      <c r="S610" s="1" t="s">
        <v>40</v>
      </c>
    </row>
    <row r="611" spans="1:19" x14ac:dyDescent="0.3">
      <c r="A611" s="5" t="s">
        <v>1036</v>
      </c>
      <c r="B611" s="5" t="s">
        <v>260</v>
      </c>
      <c r="C611" s="5" t="s">
        <v>43</v>
      </c>
      <c r="D611" s="5" t="s">
        <v>22</v>
      </c>
      <c r="E611" s="6" t="s">
        <v>206</v>
      </c>
      <c r="F611" s="5" t="s">
        <v>52</v>
      </c>
      <c r="G611" s="5" t="s">
        <v>36</v>
      </c>
      <c r="H611" s="5" t="s">
        <v>119</v>
      </c>
      <c r="I611" s="5" t="s">
        <v>47</v>
      </c>
      <c r="J611" s="5" t="s">
        <v>65</v>
      </c>
      <c r="K611" s="5" t="s">
        <v>88</v>
      </c>
      <c r="L611" s="7">
        <v>4867.51</v>
      </c>
      <c r="M611" s="5">
        <v>24</v>
      </c>
      <c r="N611" s="7">
        <v>116820.24</v>
      </c>
      <c r="O611" s="8">
        <v>1.8</v>
      </c>
      <c r="P611" s="7">
        <v>114717.48</v>
      </c>
      <c r="Q611" s="8">
        <v>29.2</v>
      </c>
      <c r="R611" s="7">
        <v>33497.5</v>
      </c>
      <c r="S611" s="5" t="s">
        <v>40</v>
      </c>
    </row>
    <row r="612" spans="1:19" x14ac:dyDescent="0.3">
      <c r="A612" s="1" t="s">
        <v>1037</v>
      </c>
      <c r="B612" s="1" t="s">
        <v>736</v>
      </c>
      <c r="C612" s="1" t="s">
        <v>21</v>
      </c>
      <c r="D612" s="1" t="s">
        <v>22</v>
      </c>
      <c r="E612" s="2" t="s">
        <v>108</v>
      </c>
      <c r="F612" s="1" t="s">
        <v>35</v>
      </c>
      <c r="G612" s="1" t="s">
        <v>63</v>
      </c>
      <c r="H612" s="1" t="s">
        <v>87</v>
      </c>
      <c r="I612" s="1" t="s">
        <v>47</v>
      </c>
      <c r="J612" s="1" t="s">
        <v>28</v>
      </c>
      <c r="K612" s="1" t="s">
        <v>56</v>
      </c>
      <c r="L612" s="3">
        <v>26086.03</v>
      </c>
      <c r="M612" s="1">
        <v>3</v>
      </c>
      <c r="N612" s="3">
        <v>78258.09</v>
      </c>
      <c r="O612" s="4">
        <v>5.3</v>
      </c>
      <c r="P612" s="3">
        <v>74110.41</v>
      </c>
      <c r="Q612" s="4">
        <v>30.9</v>
      </c>
      <c r="R612" s="3">
        <v>22900.12</v>
      </c>
      <c r="S612" s="1" t="s">
        <v>30</v>
      </c>
    </row>
    <row r="613" spans="1:19" x14ac:dyDescent="0.3">
      <c r="A613" s="5" t="s">
        <v>1038</v>
      </c>
      <c r="B613" s="5" t="s">
        <v>798</v>
      </c>
      <c r="C613" s="5" t="s">
        <v>117</v>
      </c>
      <c r="D613" s="5" t="s">
        <v>86</v>
      </c>
      <c r="E613" s="6" t="s">
        <v>306</v>
      </c>
      <c r="F613" s="5" t="s">
        <v>35</v>
      </c>
      <c r="G613" s="5" t="s">
        <v>25</v>
      </c>
      <c r="H613" s="5" t="s">
        <v>26</v>
      </c>
      <c r="I613" s="5" t="s">
        <v>38</v>
      </c>
      <c r="J613" s="5" t="s">
        <v>47</v>
      </c>
      <c r="K613" s="5" t="s">
        <v>159</v>
      </c>
      <c r="L613" s="7">
        <v>34432.01</v>
      </c>
      <c r="M613" s="5">
        <v>8</v>
      </c>
      <c r="N613" s="7">
        <v>275456.08</v>
      </c>
      <c r="O613" s="8">
        <v>17.8</v>
      </c>
      <c r="P613" s="7">
        <v>226424.9</v>
      </c>
      <c r="Q613" s="8">
        <v>48.5</v>
      </c>
      <c r="R613" s="7">
        <v>109816.08</v>
      </c>
      <c r="S613" s="5" t="s">
        <v>40</v>
      </c>
    </row>
    <row r="614" spans="1:19" x14ac:dyDescent="0.3">
      <c r="A614" s="1" t="s">
        <v>1039</v>
      </c>
      <c r="B614" s="1" t="s">
        <v>183</v>
      </c>
      <c r="C614" s="1" t="s">
        <v>59</v>
      </c>
      <c r="D614" s="1" t="s">
        <v>60</v>
      </c>
      <c r="E614" s="2" t="s">
        <v>206</v>
      </c>
      <c r="F614" s="1" t="s">
        <v>52</v>
      </c>
      <c r="G614" s="1" t="s">
        <v>63</v>
      </c>
      <c r="H614" s="1" t="s">
        <v>92</v>
      </c>
      <c r="I614" s="1" t="s">
        <v>55</v>
      </c>
      <c r="J614" s="1" t="s">
        <v>47</v>
      </c>
      <c r="K614" s="1" t="s">
        <v>111</v>
      </c>
      <c r="L614" s="3">
        <v>1380.21</v>
      </c>
      <c r="M614" s="1">
        <v>20</v>
      </c>
      <c r="N614" s="3">
        <v>27604.2</v>
      </c>
      <c r="O614" s="4">
        <v>22.2</v>
      </c>
      <c r="P614" s="3">
        <v>21476.07</v>
      </c>
      <c r="Q614" s="4">
        <v>35.6</v>
      </c>
      <c r="R614" s="3">
        <v>7645.48</v>
      </c>
      <c r="S614" s="1" t="s">
        <v>40</v>
      </c>
    </row>
    <row r="615" spans="1:19" x14ac:dyDescent="0.3">
      <c r="A615" s="5" t="s">
        <v>1040</v>
      </c>
      <c r="B615" s="5" t="s">
        <v>1041</v>
      </c>
      <c r="C615" s="5" t="s">
        <v>59</v>
      </c>
      <c r="D615" s="5" t="s">
        <v>60</v>
      </c>
      <c r="E615" s="6" t="s">
        <v>170</v>
      </c>
      <c r="F615" s="5" t="s">
        <v>52</v>
      </c>
      <c r="G615" s="5" t="s">
        <v>25</v>
      </c>
      <c r="H615" s="5" t="s">
        <v>215</v>
      </c>
      <c r="I615" s="5" t="s">
        <v>38</v>
      </c>
      <c r="J615" s="5" t="s">
        <v>28</v>
      </c>
      <c r="K615" s="5" t="s">
        <v>149</v>
      </c>
      <c r="L615" s="7">
        <v>5815.23</v>
      </c>
      <c r="M615" s="5">
        <v>22</v>
      </c>
      <c r="N615" s="7">
        <v>127935.06</v>
      </c>
      <c r="O615" s="8">
        <v>19.3</v>
      </c>
      <c r="P615" s="7">
        <v>103243.59</v>
      </c>
      <c r="Q615" s="8">
        <v>46.1</v>
      </c>
      <c r="R615" s="7">
        <v>47595.29</v>
      </c>
      <c r="S615" s="5" t="s">
        <v>40</v>
      </c>
    </row>
    <row r="616" spans="1:19" x14ac:dyDescent="0.3">
      <c r="A616" s="1" t="s">
        <v>1042</v>
      </c>
      <c r="B616" s="1" t="s">
        <v>264</v>
      </c>
      <c r="C616" s="1" t="s">
        <v>33</v>
      </c>
      <c r="D616" s="1" t="s">
        <v>22</v>
      </c>
      <c r="E616" s="2" t="s">
        <v>170</v>
      </c>
      <c r="F616" s="1" t="s">
        <v>52</v>
      </c>
      <c r="G616" s="1" t="s">
        <v>25</v>
      </c>
      <c r="H616" s="1" t="s">
        <v>215</v>
      </c>
      <c r="I616" s="1" t="s">
        <v>72</v>
      </c>
      <c r="J616" s="1" t="s">
        <v>65</v>
      </c>
      <c r="K616" s="1" t="s">
        <v>48</v>
      </c>
      <c r="L616" s="3">
        <v>7519.88</v>
      </c>
      <c r="M616" s="1">
        <v>20</v>
      </c>
      <c r="N616" s="3">
        <v>150397.6</v>
      </c>
      <c r="O616" s="4">
        <v>23.2</v>
      </c>
      <c r="P616" s="3">
        <v>115505.36</v>
      </c>
      <c r="Q616" s="4">
        <v>40</v>
      </c>
      <c r="R616" s="3">
        <v>46202.14</v>
      </c>
      <c r="S616" s="1" t="s">
        <v>79</v>
      </c>
    </row>
    <row r="617" spans="1:19" x14ac:dyDescent="0.3">
      <c r="A617" s="5" t="s">
        <v>1043</v>
      </c>
      <c r="B617" s="5" t="s">
        <v>296</v>
      </c>
      <c r="C617" s="5" t="s">
        <v>21</v>
      </c>
      <c r="D617" s="5" t="s">
        <v>22</v>
      </c>
      <c r="E617" s="6" t="s">
        <v>346</v>
      </c>
      <c r="F617" s="5" t="s">
        <v>35</v>
      </c>
      <c r="G617" s="5" t="s">
        <v>109</v>
      </c>
      <c r="H617" s="5" t="s">
        <v>122</v>
      </c>
      <c r="I617" s="5" t="s">
        <v>27</v>
      </c>
      <c r="J617" s="5" t="s">
        <v>93</v>
      </c>
      <c r="K617" s="5" t="s">
        <v>29</v>
      </c>
      <c r="L617" s="7">
        <v>6883.13</v>
      </c>
      <c r="M617" s="5">
        <v>3</v>
      </c>
      <c r="N617" s="7">
        <v>20649.39</v>
      </c>
      <c r="O617" s="8">
        <v>21.4</v>
      </c>
      <c r="P617" s="7">
        <v>16230.42</v>
      </c>
      <c r="Q617" s="8">
        <v>48.4</v>
      </c>
      <c r="R617" s="7">
        <v>7855.52</v>
      </c>
      <c r="S617" s="5" t="s">
        <v>40</v>
      </c>
    </row>
    <row r="618" spans="1:19" x14ac:dyDescent="0.3">
      <c r="A618" s="1" t="s">
        <v>1044</v>
      </c>
      <c r="B618" s="1" t="s">
        <v>523</v>
      </c>
      <c r="C618" s="1" t="s">
        <v>43</v>
      </c>
      <c r="D618" s="1" t="s">
        <v>22</v>
      </c>
      <c r="E618" s="2" t="s">
        <v>139</v>
      </c>
      <c r="F618" s="1" t="s">
        <v>45</v>
      </c>
      <c r="G618" s="1" t="s">
        <v>53</v>
      </c>
      <c r="H618" s="1" t="s">
        <v>54</v>
      </c>
      <c r="I618" s="1" t="s">
        <v>72</v>
      </c>
      <c r="J618" s="1" t="s">
        <v>47</v>
      </c>
      <c r="K618" s="1" t="s">
        <v>111</v>
      </c>
      <c r="L618" s="3">
        <v>1454.31</v>
      </c>
      <c r="M618" s="1">
        <v>10</v>
      </c>
      <c r="N618" s="3">
        <v>14543.1</v>
      </c>
      <c r="O618" s="4">
        <v>1</v>
      </c>
      <c r="P618" s="3">
        <v>14397.67</v>
      </c>
      <c r="Q618" s="4">
        <v>18.899999999999999</v>
      </c>
      <c r="R618" s="3">
        <v>2721.16</v>
      </c>
      <c r="S618" s="1" t="s">
        <v>40</v>
      </c>
    </row>
    <row r="619" spans="1:19" x14ac:dyDescent="0.3">
      <c r="A619" s="5" t="s">
        <v>1045</v>
      </c>
      <c r="B619" s="5" t="s">
        <v>741</v>
      </c>
      <c r="C619" s="5" t="s">
        <v>68</v>
      </c>
      <c r="D619" s="5" t="s">
        <v>69</v>
      </c>
      <c r="E619" s="6" t="s">
        <v>44</v>
      </c>
      <c r="F619" s="5" t="s">
        <v>45</v>
      </c>
      <c r="G619" s="5" t="s">
        <v>53</v>
      </c>
      <c r="H619" s="5" t="s">
        <v>98</v>
      </c>
      <c r="I619" s="5" t="s">
        <v>27</v>
      </c>
      <c r="J619" s="5" t="s">
        <v>65</v>
      </c>
      <c r="K619" s="5" t="s">
        <v>111</v>
      </c>
      <c r="L619" s="7">
        <v>1435.71</v>
      </c>
      <c r="M619" s="5">
        <v>24</v>
      </c>
      <c r="N619" s="7">
        <v>34457.040000000001</v>
      </c>
      <c r="O619" s="8">
        <v>11</v>
      </c>
      <c r="P619" s="7">
        <v>30666.77</v>
      </c>
      <c r="Q619" s="8">
        <v>27.8</v>
      </c>
      <c r="R619" s="7">
        <v>8525.36</v>
      </c>
      <c r="S619" s="5" t="s">
        <v>79</v>
      </c>
    </row>
    <row r="620" spans="1:19" x14ac:dyDescent="0.3">
      <c r="A620" s="1" t="s">
        <v>1046</v>
      </c>
      <c r="B620" s="1" t="s">
        <v>1047</v>
      </c>
      <c r="C620" s="1" t="s">
        <v>135</v>
      </c>
      <c r="D620" s="1" t="s">
        <v>69</v>
      </c>
      <c r="E620" s="2" t="s">
        <v>139</v>
      </c>
      <c r="F620" s="1" t="s">
        <v>45</v>
      </c>
      <c r="G620" s="1" t="s">
        <v>109</v>
      </c>
      <c r="H620" s="1" t="s">
        <v>110</v>
      </c>
      <c r="I620" s="1" t="s">
        <v>55</v>
      </c>
      <c r="J620" s="1" t="s">
        <v>93</v>
      </c>
      <c r="K620" s="1" t="s">
        <v>102</v>
      </c>
      <c r="L620" s="3">
        <v>1050.22</v>
      </c>
      <c r="M620" s="1">
        <v>13</v>
      </c>
      <c r="N620" s="3">
        <v>13652.86</v>
      </c>
      <c r="O620" s="4">
        <v>21.8</v>
      </c>
      <c r="P620" s="3">
        <v>10676.54</v>
      </c>
      <c r="Q620" s="4">
        <v>40.4</v>
      </c>
      <c r="R620" s="3">
        <v>4313.32</v>
      </c>
      <c r="S620" s="1" t="s">
        <v>40</v>
      </c>
    </row>
    <row r="621" spans="1:19" x14ac:dyDescent="0.3">
      <c r="A621" s="5" t="s">
        <v>1048</v>
      </c>
      <c r="B621" s="5" t="s">
        <v>1049</v>
      </c>
      <c r="C621" s="5" t="s">
        <v>117</v>
      </c>
      <c r="D621" s="5" t="s">
        <v>86</v>
      </c>
      <c r="E621" s="6" t="s">
        <v>201</v>
      </c>
      <c r="F621" s="5" t="s">
        <v>24</v>
      </c>
      <c r="G621" s="5" t="s">
        <v>53</v>
      </c>
      <c r="H621" s="5" t="s">
        <v>54</v>
      </c>
      <c r="I621" s="5" t="s">
        <v>38</v>
      </c>
      <c r="J621" s="5" t="s">
        <v>47</v>
      </c>
      <c r="K621" s="5" t="s">
        <v>88</v>
      </c>
      <c r="L621" s="7">
        <v>66191.23</v>
      </c>
      <c r="M621" s="5">
        <v>23</v>
      </c>
      <c r="N621" s="7">
        <v>1522398.29</v>
      </c>
      <c r="O621" s="8">
        <v>7.7</v>
      </c>
      <c r="P621" s="7">
        <v>1405173.62</v>
      </c>
      <c r="Q621" s="8">
        <v>14.6</v>
      </c>
      <c r="R621" s="7">
        <v>205155.35</v>
      </c>
      <c r="S621" s="5" t="s">
        <v>40</v>
      </c>
    </row>
    <row r="622" spans="1:19" x14ac:dyDescent="0.3">
      <c r="A622" s="1" t="s">
        <v>1050</v>
      </c>
      <c r="B622" s="1" t="s">
        <v>81</v>
      </c>
      <c r="C622" s="1" t="s">
        <v>75</v>
      </c>
      <c r="D622" s="1" t="s">
        <v>60</v>
      </c>
      <c r="E622" s="2" t="s">
        <v>194</v>
      </c>
      <c r="F622" s="1" t="s">
        <v>52</v>
      </c>
      <c r="G622" s="1" t="s">
        <v>63</v>
      </c>
      <c r="H622" s="1" t="s">
        <v>87</v>
      </c>
      <c r="I622" s="1" t="s">
        <v>55</v>
      </c>
      <c r="J622" s="1" t="s">
        <v>47</v>
      </c>
      <c r="K622" s="1" t="s">
        <v>102</v>
      </c>
      <c r="L622" s="3">
        <v>2464.83</v>
      </c>
      <c r="M622" s="1">
        <v>7</v>
      </c>
      <c r="N622" s="3">
        <v>17253.810000000001</v>
      </c>
      <c r="O622" s="4">
        <v>0.2</v>
      </c>
      <c r="P622" s="3">
        <v>17219.3</v>
      </c>
      <c r="Q622" s="4">
        <v>25.8</v>
      </c>
      <c r="R622" s="3">
        <v>4442.58</v>
      </c>
      <c r="S622" s="1" t="s">
        <v>40</v>
      </c>
    </row>
    <row r="623" spans="1:19" x14ac:dyDescent="0.3">
      <c r="A623" s="5" t="s">
        <v>1051</v>
      </c>
      <c r="B623" s="5" t="s">
        <v>1052</v>
      </c>
      <c r="C623" s="5" t="s">
        <v>117</v>
      </c>
      <c r="D623" s="5" t="s">
        <v>86</v>
      </c>
      <c r="E623" s="6" t="s">
        <v>206</v>
      </c>
      <c r="F623" s="5" t="s">
        <v>52</v>
      </c>
      <c r="G623" s="5" t="s">
        <v>53</v>
      </c>
      <c r="H623" s="5" t="s">
        <v>71</v>
      </c>
      <c r="I623" s="5" t="s">
        <v>72</v>
      </c>
      <c r="J623" s="5" t="s">
        <v>93</v>
      </c>
      <c r="K623" s="5" t="s">
        <v>149</v>
      </c>
      <c r="L623" s="7">
        <v>3960.74</v>
      </c>
      <c r="M623" s="5">
        <v>5</v>
      </c>
      <c r="N623" s="7">
        <v>19803.7</v>
      </c>
      <c r="O623" s="8">
        <v>17.7</v>
      </c>
      <c r="P623" s="7">
        <v>16298.45</v>
      </c>
      <c r="Q623" s="8">
        <v>37.700000000000003</v>
      </c>
      <c r="R623" s="7">
        <v>6144.52</v>
      </c>
      <c r="S623" s="5" t="s">
        <v>112</v>
      </c>
    </row>
    <row r="624" spans="1:19" x14ac:dyDescent="0.3">
      <c r="A624" s="1" t="s">
        <v>1053</v>
      </c>
      <c r="B624" s="1" t="s">
        <v>625</v>
      </c>
      <c r="C624" s="1" t="s">
        <v>43</v>
      </c>
      <c r="D624" s="1" t="s">
        <v>22</v>
      </c>
      <c r="E624" s="2" t="s">
        <v>155</v>
      </c>
      <c r="F624" s="1" t="s">
        <v>24</v>
      </c>
      <c r="G624" s="1" t="s">
        <v>25</v>
      </c>
      <c r="H624" s="1" t="s">
        <v>46</v>
      </c>
      <c r="I624" s="1" t="s">
        <v>27</v>
      </c>
      <c r="J624" s="1" t="s">
        <v>93</v>
      </c>
      <c r="K624" s="1" t="s">
        <v>149</v>
      </c>
      <c r="L624" s="3">
        <v>16448.09</v>
      </c>
      <c r="M624" s="1">
        <v>7</v>
      </c>
      <c r="N624" s="3">
        <v>115136.63</v>
      </c>
      <c r="O624" s="4">
        <v>7.5</v>
      </c>
      <c r="P624" s="3">
        <v>106501.38</v>
      </c>
      <c r="Q624" s="4">
        <v>27.8</v>
      </c>
      <c r="R624" s="3">
        <v>29607.38</v>
      </c>
      <c r="S624" s="1" t="s">
        <v>40</v>
      </c>
    </row>
    <row r="625" spans="1:19" x14ac:dyDescent="0.3">
      <c r="A625" s="5" t="s">
        <v>1054</v>
      </c>
      <c r="B625" s="5" t="s">
        <v>898</v>
      </c>
      <c r="C625" s="5" t="s">
        <v>43</v>
      </c>
      <c r="D625" s="5" t="s">
        <v>22</v>
      </c>
      <c r="E625" s="6" t="s">
        <v>148</v>
      </c>
      <c r="F625" s="5" t="s">
        <v>52</v>
      </c>
      <c r="G625" s="5" t="s">
        <v>63</v>
      </c>
      <c r="H625" s="5" t="s">
        <v>87</v>
      </c>
      <c r="I625" s="5" t="s">
        <v>55</v>
      </c>
      <c r="J625" s="5" t="s">
        <v>47</v>
      </c>
      <c r="K625" s="5" t="s">
        <v>159</v>
      </c>
      <c r="L625" s="7">
        <v>1241.1500000000001</v>
      </c>
      <c r="M625" s="5">
        <v>8</v>
      </c>
      <c r="N625" s="7">
        <v>9929.2000000000007</v>
      </c>
      <c r="O625" s="8">
        <v>9.1</v>
      </c>
      <c r="P625" s="7">
        <v>9025.64</v>
      </c>
      <c r="Q625" s="8">
        <v>25.6</v>
      </c>
      <c r="R625" s="7">
        <v>2310.56</v>
      </c>
      <c r="S625" s="5" t="s">
        <v>40</v>
      </c>
    </row>
    <row r="626" spans="1:19" x14ac:dyDescent="0.3">
      <c r="A626" s="1" t="s">
        <v>1055</v>
      </c>
      <c r="B626" s="1" t="s">
        <v>695</v>
      </c>
      <c r="C626" s="1" t="s">
        <v>33</v>
      </c>
      <c r="D626" s="1" t="s">
        <v>22</v>
      </c>
      <c r="E626" s="2" t="s">
        <v>23</v>
      </c>
      <c r="F626" s="1" t="s">
        <v>24</v>
      </c>
      <c r="G626" s="1" t="s">
        <v>53</v>
      </c>
      <c r="H626" s="1" t="s">
        <v>54</v>
      </c>
      <c r="I626" s="1" t="s">
        <v>27</v>
      </c>
      <c r="J626" s="1" t="s">
        <v>28</v>
      </c>
      <c r="K626" s="1" t="s">
        <v>111</v>
      </c>
      <c r="L626" s="3">
        <v>42851.39</v>
      </c>
      <c r="M626" s="1">
        <v>4</v>
      </c>
      <c r="N626" s="3">
        <v>171405.56</v>
      </c>
      <c r="O626" s="4">
        <v>13.5</v>
      </c>
      <c r="P626" s="3">
        <v>148265.81</v>
      </c>
      <c r="Q626" s="4">
        <v>27.9</v>
      </c>
      <c r="R626" s="3">
        <v>41366.160000000003</v>
      </c>
      <c r="S626" s="1" t="s">
        <v>40</v>
      </c>
    </row>
    <row r="627" spans="1:19" x14ac:dyDescent="0.3">
      <c r="A627" s="5" t="s">
        <v>1056</v>
      </c>
      <c r="B627" s="5" t="s">
        <v>461</v>
      </c>
      <c r="C627" s="5" t="s">
        <v>117</v>
      </c>
      <c r="D627" s="5" t="s">
        <v>86</v>
      </c>
      <c r="E627" s="6" t="s">
        <v>217</v>
      </c>
      <c r="F627" s="5" t="s">
        <v>62</v>
      </c>
      <c r="G627" s="5" t="s">
        <v>63</v>
      </c>
      <c r="H627" s="5" t="s">
        <v>92</v>
      </c>
      <c r="I627" s="5" t="s">
        <v>47</v>
      </c>
      <c r="J627" s="5" t="s">
        <v>93</v>
      </c>
      <c r="K627" s="5" t="s">
        <v>48</v>
      </c>
      <c r="L627" s="7">
        <v>1861.05</v>
      </c>
      <c r="M627" s="5">
        <v>5</v>
      </c>
      <c r="N627" s="7">
        <v>9305.25</v>
      </c>
      <c r="O627" s="8">
        <v>10</v>
      </c>
      <c r="P627" s="7">
        <v>8374.73</v>
      </c>
      <c r="Q627" s="8">
        <v>71.5</v>
      </c>
      <c r="R627" s="7">
        <v>5987.93</v>
      </c>
      <c r="S627" s="5" t="s">
        <v>79</v>
      </c>
    </row>
    <row r="628" spans="1:19" x14ac:dyDescent="0.3">
      <c r="A628" s="1" t="s">
        <v>1057</v>
      </c>
      <c r="B628" s="1" t="s">
        <v>577</v>
      </c>
      <c r="C628" s="1" t="s">
        <v>135</v>
      </c>
      <c r="D628" s="1" t="s">
        <v>69</v>
      </c>
      <c r="E628" s="2" t="s">
        <v>148</v>
      </c>
      <c r="F628" s="1" t="s">
        <v>52</v>
      </c>
      <c r="G628" s="1" t="s">
        <v>36</v>
      </c>
      <c r="H628" s="1" t="s">
        <v>136</v>
      </c>
      <c r="I628" s="1" t="s">
        <v>72</v>
      </c>
      <c r="J628" s="1" t="s">
        <v>47</v>
      </c>
      <c r="K628" s="1" t="s">
        <v>159</v>
      </c>
      <c r="L628" s="3">
        <v>961.64</v>
      </c>
      <c r="M628" s="1">
        <v>3</v>
      </c>
      <c r="N628" s="3">
        <v>2884.92</v>
      </c>
      <c r="O628" s="4">
        <v>6.8</v>
      </c>
      <c r="P628" s="3">
        <v>2688.75</v>
      </c>
      <c r="Q628" s="4">
        <v>39.6</v>
      </c>
      <c r="R628" s="3">
        <v>1064.74</v>
      </c>
      <c r="S628" s="1" t="s">
        <v>40</v>
      </c>
    </row>
    <row r="629" spans="1:19" x14ac:dyDescent="0.3">
      <c r="A629" s="5" t="s">
        <v>1058</v>
      </c>
      <c r="B629" s="5" t="s">
        <v>475</v>
      </c>
      <c r="C629" s="5" t="s">
        <v>117</v>
      </c>
      <c r="D629" s="5" t="s">
        <v>86</v>
      </c>
      <c r="E629" s="6" t="s">
        <v>165</v>
      </c>
      <c r="F629" s="5" t="s">
        <v>166</v>
      </c>
      <c r="G629" s="5" t="s">
        <v>63</v>
      </c>
      <c r="H629" s="5" t="s">
        <v>87</v>
      </c>
      <c r="I629" s="5" t="s">
        <v>72</v>
      </c>
      <c r="J629" s="5" t="s">
        <v>47</v>
      </c>
      <c r="K629" s="5" t="s">
        <v>102</v>
      </c>
      <c r="L629" s="7">
        <v>4521.1400000000003</v>
      </c>
      <c r="M629" s="5">
        <v>2</v>
      </c>
      <c r="N629" s="7">
        <v>9042.2800000000007</v>
      </c>
      <c r="O629" s="8">
        <v>10.4</v>
      </c>
      <c r="P629" s="7">
        <v>8101.88</v>
      </c>
      <c r="Q629" s="8">
        <v>60.8</v>
      </c>
      <c r="R629" s="7">
        <v>4925.9399999999996</v>
      </c>
      <c r="S629" s="5" t="s">
        <v>40</v>
      </c>
    </row>
    <row r="630" spans="1:19" x14ac:dyDescent="0.3">
      <c r="A630" s="1" t="s">
        <v>1059</v>
      </c>
      <c r="B630" s="1" t="s">
        <v>1060</v>
      </c>
      <c r="C630" s="1" t="s">
        <v>101</v>
      </c>
      <c r="D630" s="1" t="s">
        <v>60</v>
      </c>
      <c r="E630" s="2" t="s">
        <v>206</v>
      </c>
      <c r="F630" s="1" t="s">
        <v>52</v>
      </c>
      <c r="G630" s="1" t="s">
        <v>25</v>
      </c>
      <c r="H630" s="1" t="s">
        <v>26</v>
      </c>
      <c r="I630" s="1" t="s">
        <v>47</v>
      </c>
      <c r="J630" s="1" t="s">
        <v>65</v>
      </c>
      <c r="K630" s="1" t="s">
        <v>29</v>
      </c>
      <c r="L630" s="3">
        <v>7045.21</v>
      </c>
      <c r="M630" s="1">
        <v>7</v>
      </c>
      <c r="N630" s="3">
        <v>49316.47</v>
      </c>
      <c r="O630" s="4">
        <v>3.7</v>
      </c>
      <c r="P630" s="3">
        <v>47491.76</v>
      </c>
      <c r="Q630" s="4">
        <v>28.9</v>
      </c>
      <c r="R630" s="3">
        <v>13725.12</v>
      </c>
      <c r="S630" s="1" t="s">
        <v>40</v>
      </c>
    </row>
    <row r="631" spans="1:19" x14ac:dyDescent="0.3">
      <c r="A631" s="5" t="s">
        <v>1061</v>
      </c>
      <c r="B631" s="5" t="s">
        <v>50</v>
      </c>
      <c r="C631" s="5" t="s">
        <v>43</v>
      </c>
      <c r="D631" s="5" t="s">
        <v>22</v>
      </c>
      <c r="E631" s="6" t="s">
        <v>142</v>
      </c>
      <c r="F631" s="5" t="s">
        <v>24</v>
      </c>
      <c r="G631" s="5" t="s">
        <v>63</v>
      </c>
      <c r="H631" s="5" t="s">
        <v>64</v>
      </c>
      <c r="I631" s="5" t="s">
        <v>47</v>
      </c>
      <c r="J631" s="5" t="s">
        <v>28</v>
      </c>
      <c r="K631" s="5" t="s">
        <v>48</v>
      </c>
      <c r="L631" s="7">
        <v>71401.39</v>
      </c>
      <c r="M631" s="5">
        <v>12</v>
      </c>
      <c r="N631" s="7">
        <v>856816.68</v>
      </c>
      <c r="O631" s="8">
        <v>14.3</v>
      </c>
      <c r="P631" s="7">
        <v>734291.89</v>
      </c>
      <c r="Q631" s="8">
        <v>30.4</v>
      </c>
      <c r="R631" s="7">
        <v>223224.73</v>
      </c>
      <c r="S631" s="5" t="s">
        <v>40</v>
      </c>
    </row>
    <row r="632" spans="1:19" x14ac:dyDescent="0.3">
      <c r="A632" s="1" t="s">
        <v>1062</v>
      </c>
      <c r="B632" s="1" t="s">
        <v>503</v>
      </c>
      <c r="C632" s="1" t="s">
        <v>75</v>
      </c>
      <c r="D632" s="1" t="s">
        <v>60</v>
      </c>
      <c r="E632" s="2" t="s">
        <v>34</v>
      </c>
      <c r="F632" s="1" t="s">
        <v>35</v>
      </c>
      <c r="G632" s="1" t="s">
        <v>63</v>
      </c>
      <c r="H632" s="1" t="s">
        <v>64</v>
      </c>
      <c r="I632" s="1" t="s">
        <v>72</v>
      </c>
      <c r="J632" s="1" t="s">
        <v>28</v>
      </c>
      <c r="K632" s="1" t="s">
        <v>56</v>
      </c>
      <c r="L632" s="3">
        <v>42395.18</v>
      </c>
      <c r="M632" s="1">
        <v>25</v>
      </c>
      <c r="N632" s="3">
        <v>1059879.5</v>
      </c>
      <c r="O632" s="4">
        <v>10</v>
      </c>
      <c r="P632" s="3">
        <v>953891.55</v>
      </c>
      <c r="Q632" s="4">
        <v>48.7</v>
      </c>
      <c r="R632" s="3">
        <v>464545.18</v>
      </c>
      <c r="S632" s="1" t="s">
        <v>30</v>
      </c>
    </row>
    <row r="633" spans="1:19" x14ac:dyDescent="0.3">
      <c r="A633" s="5" t="s">
        <v>1063</v>
      </c>
      <c r="B633" s="5" t="s">
        <v>1064</v>
      </c>
      <c r="C633" s="5" t="s">
        <v>43</v>
      </c>
      <c r="D633" s="5" t="s">
        <v>22</v>
      </c>
      <c r="E633" s="6" t="s">
        <v>97</v>
      </c>
      <c r="F633" s="5" t="s">
        <v>35</v>
      </c>
      <c r="G633" s="5" t="s">
        <v>25</v>
      </c>
      <c r="H633" s="5" t="s">
        <v>26</v>
      </c>
      <c r="I633" s="5" t="s">
        <v>55</v>
      </c>
      <c r="J633" s="5" t="s">
        <v>93</v>
      </c>
      <c r="K633" s="5" t="s">
        <v>56</v>
      </c>
      <c r="L633" s="7">
        <v>14388.93</v>
      </c>
      <c r="M633" s="5">
        <v>13</v>
      </c>
      <c r="N633" s="7">
        <v>187056.09</v>
      </c>
      <c r="O633" s="8">
        <v>15.8</v>
      </c>
      <c r="P633" s="7">
        <v>157501.23000000001</v>
      </c>
      <c r="Q633" s="8">
        <v>43.6</v>
      </c>
      <c r="R633" s="7">
        <v>68670.539999999994</v>
      </c>
      <c r="S633" s="5" t="s">
        <v>40</v>
      </c>
    </row>
    <row r="634" spans="1:19" x14ac:dyDescent="0.3">
      <c r="A634" s="1" t="s">
        <v>1065</v>
      </c>
      <c r="B634" s="1" t="s">
        <v>200</v>
      </c>
      <c r="C634" s="1" t="s">
        <v>43</v>
      </c>
      <c r="D634" s="1" t="s">
        <v>22</v>
      </c>
      <c r="E634" s="2" t="s">
        <v>224</v>
      </c>
      <c r="F634" s="1" t="s">
        <v>166</v>
      </c>
      <c r="G634" s="1" t="s">
        <v>53</v>
      </c>
      <c r="H634" s="1" t="s">
        <v>98</v>
      </c>
      <c r="I634" s="1" t="s">
        <v>72</v>
      </c>
      <c r="J634" s="1" t="s">
        <v>93</v>
      </c>
      <c r="K634" s="1" t="s">
        <v>159</v>
      </c>
      <c r="L634" s="3">
        <v>1168.6300000000001</v>
      </c>
      <c r="M634" s="1">
        <v>15</v>
      </c>
      <c r="N634" s="3">
        <v>17529.45</v>
      </c>
      <c r="O634" s="4">
        <v>1.3</v>
      </c>
      <c r="P634" s="3">
        <v>17301.57</v>
      </c>
      <c r="Q634" s="4">
        <v>49.6</v>
      </c>
      <c r="R634" s="3">
        <v>8581.58</v>
      </c>
      <c r="S634" s="1" t="s">
        <v>40</v>
      </c>
    </row>
    <row r="635" spans="1:19" x14ac:dyDescent="0.3">
      <c r="A635" s="5" t="s">
        <v>1066</v>
      </c>
      <c r="B635" s="5" t="s">
        <v>328</v>
      </c>
      <c r="C635" s="5" t="s">
        <v>85</v>
      </c>
      <c r="D635" s="5" t="s">
        <v>86</v>
      </c>
      <c r="E635" s="6" t="s">
        <v>51</v>
      </c>
      <c r="F635" s="5" t="s">
        <v>52</v>
      </c>
      <c r="G635" s="5" t="s">
        <v>53</v>
      </c>
      <c r="H635" s="5" t="s">
        <v>77</v>
      </c>
      <c r="I635" s="5" t="s">
        <v>72</v>
      </c>
      <c r="J635" s="5" t="s">
        <v>28</v>
      </c>
      <c r="K635" s="5" t="s">
        <v>149</v>
      </c>
      <c r="L635" s="7">
        <v>3600.87</v>
      </c>
      <c r="M635" s="5">
        <v>12</v>
      </c>
      <c r="N635" s="7">
        <v>43210.44</v>
      </c>
      <c r="O635" s="8">
        <v>11.2</v>
      </c>
      <c r="P635" s="7">
        <v>38370.870000000003</v>
      </c>
      <c r="Q635" s="8">
        <v>24.1</v>
      </c>
      <c r="R635" s="7">
        <v>9247.3799999999992</v>
      </c>
      <c r="S635" s="5" t="s">
        <v>30</v>
      </c>
    </row>
    <row r="636" spans="1:19" x14ac:dyDescent="0.3">
      <c r="A636" s="1" t="s">
        <v>1067</v>
      </c>
      <c r="B636" s="1" t="s">
        <v>470</v>
      </c>
      <c r="C636" s="1" t="s">
        <v>101</v>
      </c>
      <c r="D636" s="1" t="s">
        <v>60</v>
      </c>
      <c r="E636" s="2" t="s">
        <v>118</v>
      </c>
      <c r="F636" s="1" t="s">
        <v>62</v>
      </c>
      <c r="G636" s="1" t="s">
        <v>63</v>
      </c>
      <c r="H636" s="1" t="s">
        <v>87</v>
      </c>
      <c r="I636" s="1" t="s">
        <v>27</v>
      </c>
      <c r="J636" s="1" t="s">
        <v>28</v>
      </c>
      <c r="K636" s="1" t="s">
        <v>111</v>
      </c>
      <c r="L636" s="3">
        <v>2270.5100000000002</v>
      </c>
      <c r="M636" s="1">
        <v>5</v>
      </c>
      <c r="N636" s="3">
        <v>11352.55</v>
      </c>
      <c r="O636" s="4">
        <v>8</v>
      </c>
      <c r="P636" s="3">
        <v>10444.35</v>
      </c>
      <c r="Q636" s="4">
        <v>48.2</v>
      </c>
      <c r="R636" s="3">
        <v>5034.18</v>
      </c>
      <c r="S636" s="1" t="s">
        <v>30</v>
      </c>
    </row>
    <row r="637" spans="1:19" x14ac:dyDescent="0.3">
      <c r="A637" s="5" t="s">
        <v>1068</v>
      </c>
      <c r="B637" s="5" t="s">
        <v>730</v>
      </c>
      <c r="C637" s="5" t="s">
        <v>101</v>
      </c>
      <c r="D637" s="5" t="s">
        <v>60</v>
      </c>
      <c r="E637" s="6" t="s">
        <v>279</v>
      </c>
      <c r="F637" s="5" t="s">
        <v>166</v>
      </c>
      <c r="G637" s="5" t="s">
        <v>63</v>
      </c>
      <c r="H637" s="5" t="s">
        <v>64</v>
      </c>
      <c r="I637" s="5" t="s">
        <v>72</v>
      </c>
      <c r="J637" s="5" t="s">
        <v>47</v>
      </c>
      <c r="K637" s="5" t="s">
        <v>111</v>
      </c>
      <c r="L637" s="7">
        <v>4320.74</v>
      </c>
      <c r="M637" s="5">
        <v>5</v>
      </c>
      <c r="N637" s="7">
        <v>21603.7</v>
      </c>
      <c r="O637" s="8">
        <v>12.2</v>
      </c>
      <c r="P637" s="7">
        <v>18968.05</v>
      </c>
      <c r="Q637" s="8">
        <v>49.5</v>
      </c>
      <c r="R637" s="7">
        <v>9389.18</v>
      </c>
      <c r="S637" s="5" t="s">
        <v>40</v>
      </c>
    </row>
    <row r="638" spans="1:19" x14ac:dyDescent="0.3">
      <c r="A638" s="1" t="s">
        <v>1069</v>
      </c>
      <c r="B638" s="1" t="s">
        <v>763</v>
      </c>
      <c r="C638" s="1" t="s">
        <v>59</v>
      </c>
      <c r="D638" s="1" t="s">
        <v>60</v>
      </c>
      <c r="E638" s="2" t="s">
        <v>34</v>
      </c>
      <c r="F638" s="1" t="s">
        <v>35</v>
      </c>
      <c r="G638" s="1" t="s">
        <v>63</v>
      </c>
      <c r="H638" s="1" t="s">
        <v>92</v>
      </c>
      <c r="I638" s="1" t="s">
        <v>38</v>
      </c>
      <c r="J638" s="1" t="s">
        <v>93</v>
      </c>
      <c r="K638" s="1" t="s">
        <v>48</v>
      </c>
      <c r="L638" s="3">
        <v>28153.84</v>
      </c>
      <c r="M638" s="1">
        <v>15</v>
      </c>
      <c r="N638" s="3">
        <v>422307.6</v>
      </c>
      <c r="O638" s="4">
        <v>23.8</v>
      </c>
      <c r="P638" s="3">
        <v>321798.39</v>
      </c>
      <c r="Q638" s="4">
        <v>35.200000000000003</v>
      </c>
      <c r="R638" s="3">
        <v>113273.03</v>
      </c>
      <c r="S638" s="1" t="s">
        <v>40</v>
      </c>
    </row>
    <row r="639" spans="1:19" x14ac:dyDescent="0.3">
      <c r="A639" s="5" t="s">
        <v>1070</v>
      </c>
      <c r="B639" s="5" t="s">
        <v>81</v>
      </c>
      <c r="C639" s="5" t="s">
        <v>75</v>
      </c>
      <c r="D639" s="5" t="s">
        <v>60</v>
      </c>
      <c r="E639" s="6" t="s">
        <v>23</v>
      </c>
      <c r="F639" s="5" t="s">
        <v>24</v>
      </c>
      <c r="G639" s="5" t="s">
        <v>53</v>
      </c>
      <c r="H639" s="5" t="s">
        <v>77</v>
      </c>
      <c r="I639" s="5" t="s">
        <v>38</v>
      </c>
      <c r="J639" s="5" t="s">
        <v>47</v>
      </c>
      <c r="K639" s="5" t="s">
        <v>29</v>
      </c>
      <c r="L639" s="7">
        <v>36535.03</v>
      </c>
      <c r="M639" s="5">
        <v>17</v>
      </c>
      <c r="N639" s="7">
        <v>621095.51</v>
      </c>
      <c r="O639" s="8">
        <v>15.8</v>
      </c>
      <c r="P639" s="7">
        <v>522962.42</v>
      </c>
      <c r="Q639" s="8">
        <v>23.3</v>
      </c>
      <c r="R639" s="7">
        <v>121850.24000000001</v>
      </c>
      <c r="S639" s="5" t="s">
        <v>79</v>
      </c>
    </row>
    <row r="640" spans="1:19" x14ac:dyDescent="0.3">
      <c r="A640" s="1" t="s">
        <v>1071</v>
      </c>
      <c r="B640" s="1" t="s">
        <v>1072</v>
      </c>
      <c r="C640" s="1" t="s">
        <v>59</v>
      </c>
      <c r="D640" s="1" t="s">
        <v>60</v>
      </c>
      <c r="E640" s="2" t="s">
        <v>91</v>
      </c>
      <c r="F640" s="1" t="s">
        <v>52</v>
      </c>
      <c r="G640" s="1" t="s">
        <v>25</v>
      </c>
      <c r="H640" s="1" t="s">
        <v>132</v>
      </c>
      <c r="I640" s="1" t="s">
        <v>55</v>
      </c>
      <c r="J640" s="1" t="s">
        <v>65</v>
      </c>
      <c r="K640" s="1" t="s">
        <v>102</v>
      </c>
      <c r="L640" s="3">
        <v>4149.8</v>
      </c>
      <c r="M640" s="1">
        <v>14</v>
      </c>
      <c r="N640" s="3">
        <v>58097.2</v>
      </c>
      <c r="O640" s="4">
        <v>6.9</v>
      </c>
      <c r="P640" s="3">
        <v>54088.49</v>
      </c>
      <c r="Q640" s="4">
        <v>33.799999999999997</v>
      </c>
      <c r="R640" s="3">
        <v>18281.91</v>
      </c>
      <c r="S640" s="1" t="s">
        <v>30</v>
      </c>
    </row>
    <row r="641" spans="1:19" x14ac:dyDescent="0.3">
      <c r="A641" s="5" t="s">
        <v>1073</v>
      </c>
      <c r="B641" s="5" t="s">
        <v>435</v>
      </c>
      <c r="C641" s="5" t="s">
        <v>96</v>
      </c>
      <c r="D641" s="5" t="s">
        <v>86</v>
      </c>
      <c r="E641" s="6" t="s">
        <v>128</v>
      </c>
      <c r="F641" s="5" t="s">
        <v>45</v>
      </c>
      <c r="G641" s="5" t="s">
        <v>25</v>
      </c>
      <c r="H641" s="5" t="s">
        <v>132</v>
      </c>
      <c r="I641" s="5" t="s">
        <v>55</v>
      </c>
      <c r="J641" s="5" t="s">
        <v>93</v>
      </c>
      <c r="K641" s="5" t="s">
        <v>159</v>
      </c>
      <c r="L641" s="7">
        <v>541.58000000000004</v>
      </c>
      <c r="M641" s="5">
        <v>18</v>
      </c>
      <c r="N641" s="7">
        <v>9748.44</v>
      </c>
      <c r="O641" s="8">
        <v>10.6</v>
      </c>
      <c r="P641" s="7">
        <v>8715.11</v>
      </c>
      <c r="Q641" s="8">
        <v>33.4</v>
      </c>
      <c r="R641" s="7">
        <v>2910.85</v>
      </c>
      <c r="S641" s="5" t="s">
        <v>40</v>
      </c>
    </row>
    <row r="642" spans="1:19" x14ac:dyDescent="0.3">
      <c r="A642" s="1" t="s">
        <v>1074</v>
      </c>
      <c r="B642" s="1" t="s">
        <v>546</v>
      </c>
      <c r="C642" s="1" t="s">
        <v>101</v>
      </c>
      <c r="D642" s="1" t="s">
        <v>60</v>
      </c>
      <c r="E642" s="2" t="s">
        <v>91</v>
      </c>
      <c r="F642" s="1" t="s">
        <v>52</v>
      </c>
      <c r="G642" s="1" t="s">
        <v>53</v>
      </c>
      <c r="H642" s="1" t="s">
        <v>98</v>
      </c>
      <c r="I642" s="1" t="s">
        <v>38</v>
      </c>
      <c r="J642" s="1" t="s">
        <v>28</v>
      </c>
      <c r="K642" s="1" t="s">
        <v>88</v>
      </c>
      <c r="L642" s="3">
        <v>1109.25</v>
      </c>
      <c r="M642" s="1">
        <v>3</v>
      </c>
      <c r="N642" s="3">
        <v>3327.75</v>
      </c>
      <c r="O642" s="4">
        <v>11.1</v>
      </c>
      <c r="P642" s="3">
        <v>2958.37</v>
      </c>
      <c r="Q642" s="4">
        <v>26.7</v>
      </c>
      <c r="R642" s="3">
        <v>789.88</v>
      </c>
      <c r="S642" s="1" t="s">
        <v>79</v>
      </c>
    </row>
    <row r="643" spans="1:19" x14ac:dyDescent="0.3">
      <c r="A643" s="5" t="s">
        <v>1075</v>
      </c>
      <c r="B643" s="5" t="s">
        <v>397</v>
      </c>
      <c r="C643" s="5" t="s">
        <v>96</v>
      </c>
      <c r="D643" s="5" t="s">
        <v>86</v>
      </c>
      <c r="E643" s="6" t="s">
        <v>256</v>
      </c>
      <c r="F643" s="5" t="s">
        <v>166</v>
      </c>
      <c r="G643" s="5" t="s">
        <v>36</v>
      </c>
      <c r="H643" s="5" t="s">
        <v>136</v>
      </c>
      <c r="I643" s="5" t="s">
        <v>38</v>
      </c>
      <c r="J643" s="5" t="s">
        <v>65</v>
      </c>
      <c r="K643" s="5" t="s">
        <v>48</v>
      </c>
      <c r="L643" s="7">
        <v>3422.59</v>
      </c>
      <c r="M643" s="5">
        <v>5</v>
      </c>
      <c r="N643" s="7">
        <v>17112.95</v>
      </c>
      <c r="O643" s="8">
        <v>21.5</v>
      </c>
      <c r="P643" s="7">
        <v>13433.67</v>
      </c>
      <c r="Q643" s="8">
        <v>41.1</v>
      </c>
      <c r="R643" s="7">
        <v>5521.24</v>
      </c>
      <c r="S643" s="5" t="s">
        <v>40</v>
      </c>
    </row>
    <row r="644" spans="1:19" x14ac:dyDescent="0.3">
      <c r="A644" s="1" t="s">
        <v>1076</v>
      </c>
      <c r="B644" s="1" t="s">
        <v>814</v>
      </c>
      <c r="C644" s="1" t="s">
        <v>131</v>
      </c>
      <c r="D644" s="1" t="s">
        <v>69</v>
      </c>
      <c r="E644" s="2" t="s">
        <v>303</v>
      </c>
      <c r="F644" s="1" t="s">
        <v>62</v>
      </c>
      <c r="G644" s="1" t="s">
        <v>53</v>
      </c>
      <c r="H644" s="1" t="s">
        <v>71</v>
      </c>
      <c r="I644" s="1" t="s">
        <v>55</v>
      </c>
      <c r="J644" s="1" t="s">
        <v>28</v>
      </c>
      <c r="K644" s="1" t="s">
        <v>39</v>
      </c>
      <c r="L644" s="3">
        <v>2763.27</v>
      </c>
      <c r="M644" s="1">
        <v>23</v>
      </c>
      <c r="N644" s="3">
        <v>63555.21</v>
      </c>
      <c r="O644" s="4">
        <v>9.8000000000000007</v>
      </c>
      <c r="P644" s="3">
        <v>57326.8</v>
      </c>
      <c r="Q644" s="4">
        <v>69.099999999999994</v>
      </c>
      <c r="R644" s="3">
        <v>39612.82</v>
      </c>
      <c r="S644" s="1" t="s">
        <v>79</v>
      </c>
    </row>
    <row r="645" spans="1:19" x14ac:dyDescent="0.3">
      <c r="A645" s="5" t="s">
        <v>1077</v>
      </c>
      <c r="B645" s="5" t="s">
        <v>230</v>
      </c>
      <c r="C645" s="5" t="s">
        <v>117</v>
      </c>
      <c r="D645" s="5" t="s">
        <v>86</v>
      </c>
      <c r="E645" s="6" t="s">
        <v>97</v>
      </c>
      <c r="F645" s="5" t="s">
        <v>35</v>
      </c>
      <c r="G645" s="5" t="s">
        <v>63</v>
      </c>
      <c r="H645" s="5" t="s">
        <v>167</v>
      </c>
      <c r="I645" s="5" t="s">
        <v>55</v>
      </c>
      <c r="J645" s="5" t="s">
        <v>93</v>
      </c>
      <c r="K645" s="5" t="s">
        <v>111</v>
      </c>
      <c r="L645" s="7">
        <v>4026.37</v>
      </c>
      <c r="M645" s="5">
        <v>6</v>
      </c>
      <c r="N645" s="7">
        <v>24158.22</v>
      </c>
      <c r="O645" s="8">
        <v>21.8</v>
      </c>
      <c r="P645" s="7">
        <v>18891.73</v>
      </c>
      <c r="Q645" s="8">
        <v>34</v>
      </c>
      <c r="R645" s="7">
        <v>6423.19</v>
      </c>
      <c r="S645" s="5" t="s">
        <v>79</v>
      </c>
    </row>
    <row r="646" spans="1:19" x14ac:dyDescent="0.3">
      <c r="A646" s="1" t="s">
        <v>1078</v>
      </c>
      <c r="B646" s="1" t="s">
        <v>1079</v>
      </c>
      <c r="C646" s="1" t="s">
        <v>75</v>
      </c>
      <c r="D646" s="1" t="s">
        <v>60</v>
      </c>
      <c r="E646" s="2" t="s">
        <v>246</v>
      </c>
      <c r="F646" s="1" t="s">
        <v>52</v>
      </c>
      <c r="G646" s="1" t="s">
        <v>36</v>
      </c>
      <c r="H646" s="1" t="s">
        <v>37</v>
      </c>
      <c r="I646" s="1" t="s">
        <v>27</v>
      </c>
      <c r="J646" s="1" t="s">
        <v>47</v>
      </c>
      <c r="K646" s="1" t="s">
        <v>159</v>
      </c>
      <c r="L646" s="3">
        <v>5754.71</v>
      </c>
      <c r="M646" s="1">
        <v>20</v>
      </c>
      <c r="N646" s="3">
        <v>115094.2</v>
      </c>
      <c r="O646" s="4">
        <v>2.2999999999999998</v>
      </c>
      <c r="P646" s="3">
        <v>112447.03</v>
      </c>
      <c r="Q646" s="4">
        <v>32.9</v>
      </c>
      <c r="R646" s="3">
        <v>36995.07</v>
      </c>
      <c r="S646" s="1" t="s">
        <v>40</v>
      </c>
    </row>
    <row r="647" spans="1:19" x14ac:dyDescent="0.3">
      <c r="A647" s="5" t="s">
        <v>1080</v>
      </c>
      <c r="B647" s="5" t="s">
        <v>477</v>
      </c>
      <c r="C647" s="5" t="s">
        <v>21</v>
      </c>
      <c r="D647" s="5" t="s">
        <v>22</v>
      </c>
      <c r="E647" s="6" t="s">
        <v>224</v>
      </c>
      <c r="F647" s="5" t="s">
        <v>166</v>
      </c>
      <c r="G647" s="5" t="s">
        <v>36</v>
      </c>
      <c r="H647" s="5" t="s">
        <v>136</v>
      </c>
      <c r="I647" s="5" t="s">
        <v>55</v>
      </c>
      <c r="J647" s="5" t="s">
        <v>65</v>
      </c>
      <c r="K647" s="5" t="s">
        <v>88</v>
      </c>
      <c r="L647" s="7">
        <v>1541.67</v>
      </c>
      <c r="M647" s="5">
        <v>5</v>
      </c>
      <c r="N647" s="7">
        <v>7708.35</v>
      </c>
      <c r="O647" s="8">
        <v>23.2</v>
      </c>
      <c r="P647" s="7">
        <v>5920.01</v>
      </c>
      <c r="Q647" s="8">
        <v>53.1</v>
      </c>
      <c r="R647" s="7">
        <v>3143.53</v>
      </c>
      <c r="S647" s="5" t="s">
        <v>40</v>
      </c>
    </row>
    <row r="648" spans="1:19" x14ac:dyDescent="0.3">
      <c r="A648" s="1" t="s">
        <v>1081</v>
      </c>
      <c r="B648" s="1" t="s">
        <v>429</v>
      </c>
      <c r="C648" s="1" t="s">
        <v>135</v>
      </c>
      <c r="D648" s="1" t="s">
        <v>69</v>
      </c>
      <c r="E648" s="2" t="s">
        <v>114</v>
      </c>
      <c r="F648" s="1" t="s">
        <v>45</v>
      </c>
      <c r="G648" s="1" t="s">
        <v>25</v>
      </c>
      <c r="H648" s="1" t="s">
        <v>132</v>
      </c>
      <c r="I648" s="1" t="s">
        <v>72</v>
      </c>
      <c r="J648" s="1" t="s">
        <v>93</v>
      </c>
      <c r="K648" s="1" t="s">
        <v>88</v>
      </c>
      <c r="L648" s="3">
        <v>1027.02</v>
      </c>
      <c r="M648" s="1">
        <v>6</v>
      </c>
      <c r="N648" s="3">
        <v>6162.12</v>
      </c>
      <c r="O648" s="4">
        <v>15.7</v>
      </c>
      <c r="P648" s="3">
        <v>5194.67</v>
      </c>
      <c r="Q648" s="4">
        <v>39.5</v>
      </c>
      <c r="R648" s="3">
        <v>2051.89</v>
      </c>
      <c r="S648" s="1" t="s">
        <v>30</v>
      </c>
    </row>
    <row r="649" spans="1:19" x14ac:dyDescent="0.3">
      <c r="A649" s="5" t="s">
        <v>1082</v>
      </c>
      <c r="B649" s="5" t="s">
        <v>230</v>
      </c>
      <c r="C649" s="5" t="s">
        <v>117</v>
      </c>
      <c r="D649" s="5" t="s">
        <v>86</v>
      </c>
      <c r="E649" s="6" t="s">
        <v>246</v>
      </c>
      <c r="F649" s="5" t="s">
        <v>52</v>
      </c>
      <c r="G649" s="5" t="s">
        <v>25</v>
      </c>
      <c r="H649" s="5" t="s">
        <v>26</v>
      </c>
      <c r="I649" s="5" t="s">
        <v>72</v>
      </c>
      <c r="J649" s="5" t="s">
        <v>47</v>
      </c>
      <c r="K649" s="5" t="s">
        <v>56</v>
      </c>
      <c r="L649" s="7">
        <v>3577.08</v>
      </c>
      <c r="M649" s="5">
        <v>17</v>
      </c>
      <c r="N649" s="7">
        <v>60810.36</v>
      </c>
      <c r="O649" s="8">
        <v>4.9000000000000004</v>
      </c>
      <c r="P649" s="7">
        <v>57830.65</v>
      </c>
      <c r="Q649" s="8">
        <v>32.6</v>
      </c>
      <c r="R649" s="7">
        <v>18852.79</v>
      </c>
      <c r="S649" s="5" t="s">
        <v>40</v>
      </c>
    </row>
    <row r="650" spans="1:19" x14ac:dyDescent="0.3">
      <c r="A650" s="1" t="s">
        <v>1083</v>
      </c>
      <c r="B650" s="1" t="s">
        <v>730</v>
      </c>
      <c r="C650" s="1" t="s">
        <v>101</v>
      </c>
      <c r="D650" s="1" t="s">
        <v>60</v>
      </c>
      <c r="E650" s="2" t="s">
        <v>139</v>
      </c>
      <c r="F650" s="1" t="s">
        <v>45</v>
      </c>
      <c r="G650" s="1" t="s">
        <v>63</v>
      </c>
      <c r="H650" s="1" t="s">
        <v>87</v>
      </c>
      <c r="I650" s="1" t="s">
        <v>27</v>
      </c>
      <c r="J650" s="1" t="s">
        <v>93</v>
      </c>
      <c r="K650" s="1" t="s">
        <v>48</v>
      </c>
      <c r="L650" s="3">
        <v>1341.73</v>
      </c>
      <c r="M650" s="1">
        <v>12</v>
      </c>
      <c r="N650" s="3">
        <v>16100.76</v>
      </c>
      <c r="O650" s="4">
        <v>16.399999999999999</v>
      </c>
      <c r="P650" s="3">
        <v>13460.24</v>
      </c>
      <c r="Q650" s="4">
        <v>24.7</v>
      </c>
      <c r="R650" s="3">
        <v>3324.68</v>
      </c>
      <c r="S650" s="1" t="s">
        <v>40</v>
      </c>
    </row>
    <row r="651" spans="1:19" x14ac:dyDescent="0.3">
      <c r="A651" s="5" t="s">
        <v>1084</v>
      </c>
      <c r="B651" s="5" t="s">
        <v>283</v>
      </c>
      <c r="C651" s="5" t="s">
        <v>96</v>
      </c>
      <c r="D651" s="5" t="s">
        <v>86</v>
      </c>
      <c r="E651" s="6" t="s">
        <v>91</v>
      </c>
      <c r="F651" s="5" t="s">
        <v>52</v>
      </c>
      <c r="G651" s="5" t="s">
        <v>53</v>
      </c>
      <c r="H651" s="5" t="s">
        <v>54</v>
      </c>
      <c r="I651" s="5" t="s">
        <v>27</v>
      </c>
      <c r="J651" s="5" t="s">
        <v>47</v>
      </c>
      <c r="K651" s="5" t="s">
        <v>159</v>
      </c>
      <c r="L651" s="7">
        <v>6244.26</v>
      </c>
      <c r="M651" s="5">
        <v>12</v>
      </c>
      <c r="N651" s="7">
        <v>74931.12</v>
      </c>
      <c r="O651" s="8">
        <v>18.100000000000001</v>
      </c>
      <c r="P651" s="7">
        <v>61368.59</v>
      </c>
      <c r="Q651" s="8">
        <v>32.4</v>
      </c>
      <c r="R651" s="7">
        <v>19883.419999999998</v>
      </c>
      <c r="S651" s="5" t="s">
        <v>40</v>
      </c>
    </row>
    <row r="652" spans="1:19" x14ac:dyDescent="0.3">
      <c r="A652" s="1" t="s">
        <v>1085</v>
      </c>
      <c r="B652" s="1" t="s">
        <v>144</v>
      </c>
      <c r="C652" s="1" t="s">
        <v>75</v>
      </c>
      <c r="D652" s="1" t="s">
        <v>60</v>
      </c>
      <c r="E652" s="2" t="s">
        <v>128</v>
      </c>
      <c r="F652" s="1" t="s">
        <v>45</v>
      </c>
      <c r="G652" s="1" t="s">
        <v>25</v>
      </c>
      <c r="H652" s="1" t="s">
        <v>46</v>
      </c>
      <c r="I652" s="1" t="s">
        <v>47</v>
      </c>
      <c r="J652" s="1" t="s">
        <v>47</v>
      </c>
      <c r="K652" s="1" t="s">
        <v>159</v>
      </c>
      <c r="L652" s="3">
        <v>1452.07</v>
      </c>
      <c r="M652" s="1">
        <v>19</v>
      </c>
      <c r="N652" s="3">
        <v>27589.33</v>
      </c>
      <c r="O652" s="4">
        <v>11.1</v>
      </c>
      <c r="P652" s="3">
        <v>24526.91</v>
      </c>
      <c r="Q652" s="4">
        <v>20.2</v>
      </c>
      <c r="R652" s="3">
        <v>4954.4399999999996</v>
      </c>
      <c r="S652" s="1" t="s">
        <v>40</v>
      </c>
    </row>
    <row r="653" spans="1:19" x14ac:dyDescent="0.3">
      <c r="A653" s="5" t="s">
        <v>1086</v>
      </c>
      <c r="B653" s="5" t="s">
        <v>394</v>
      </c>
      <c r="C653" s="5" t="s">
        <v>75</v>
      </c>
      <c r="D653" s="5" t="s">
        <v>60</v>
      </c>
      <c r="E653" s="6" t="s">
        <v>61</v>
      </c>
      <c r="F653" s="5" t="s">
        <v>62</v>
      </c>
      <c r="G653" s="5" t="s">
        <v>109</v>
      </c>
      <c r="H653" s="5" t="s">
        <v>152</v>
      </c>
      <c r="I653" s="5" t="s">
        <v>47</v>
      </c>
      <c r="J653" s="5" t="s">
        <v>47</v>
      </c>
      <c r="K653" s="5" t="s">
        <v>159</v>
      </c>
      <c r="L653" s="7">
        <v>2888.5</v>
      </c>
      <c r="M653" s="5">
        <v>7</v>
      </c>
      <c r="N653" s="7">
        <v>20219.5</v>
      </c>
      <c r="O653" s="8">
        <v>6.9</v>
      </c>
      <c r="P653" s="7">
        <v>18824.349999999999</v>
      </c>
      <c r="Q653" s="8">
        <v>48.9</v>
      </c>
      <c r="R653" s="7">
        <v>9205.11</v>
      </c>
      <c r="S653" s="5" t="s">
        <v>40</v>
      </c>
    </row>
    <row r="654" spans="1:19" x14ac:dyDescent="0.3">
      <c r="A654" s="1" t="s">
        <v>1087</v>
      </c>
      <c r="B654" s="1" t="s">
        <v>904</v>
      </c>
      <c r="C654" s="1" t="s">
        <v>68</v>
      </c>
      <c r="D654" s="1" t="s">
        <v>69</v>
      </c>
      <c r="E654" s="2" t="s">
        <v>61</v>
      </c>
      <c r="F654" s="1" t="s">
        <v>62</v>
      </c>
      <c r="G654" s="1" t="s">
        <v>25</v>
      </c>
      <c r="H654" s="1" t="s">
        <v>46</v>
      </c>
      <c r="I654" s="1" t="s">
        <v>47</v>
      </c>
      <c r="J654" s="1" t="s">
        <v>28</v>
      </c>
      <c r="K654" s="1" t="s">
        <v>159</v>
      </c>
      <c r="L654" s="3">
        <v>3067.38</v>
      </c>
      <c r="M654" s="1">
        <v>7</v>
      </c>
      <c r="N654" s="3">
        <v>21471.66</v>
      </c>
      <c r="O654" s="4">
        <v>16.7</v>
      </c>
      <c r="P654" s="3">
        <v>17885.89</v>
      </c>
      <c r="Q654" s="4">
        <v>60</v>
      </c>
      <c r="R654" s="3">
        <v>10731.53</v>
      </c>
      <c r="S654" s="1" t="s">
        <v>40</v>
      </c>
    </row>
    <row r="655" spans="1:19" x14ac:dyDescent="0.3">
      <c r="A655" s="5" t="s">
        <v>1088</v>
      </c>
      <c r="B655" s="5" t="s">
        <v>473</v>
      </c>
      <c r="C655" s="5" t="s">
        <v>131</v>
      </c>
      <c r="D655" s="5" t="s">
        <v>69</v>
      </c>
      <c r="E655" s="6" t="s">
        <v>158</v>
      </c>
      <c r="F655" s="5" t="s">
        <v>35</v>
      </c>
      <c r="G655" s="5" t="s">
        <v>109</v>
      </c>
      <c r="H655" s="5" t="s">
        <v>110</v>
      </c>
      <c r="I655" s="5" t="s">
        <v>38</v>
      </c>
      <c r="J655" s="5" t="s">
        <v>93</v>
      </c>
      <c r="K655" s="5" t="s">
        <v>111</v>
      </c>
      <c r="L655" s="7">
        <v>15090.9</v>
      </c>
      <c r="M655" s="5">
        <v>11</v>
      </c>
      <c r="N655" s="7">
        <v>165999.9</v>
      </c>
      <c r="O655" s="8">
        <v>4.5</v>
      </c>
      <c r="P655" s="7">
        <v>158529.9</v>
      </c>
      <c r="Q655" s="8">
        <v>33.700000000000003</v>
      </c>
      <c r="R655" s="7">
        <v>53424.58</v>
      </c>
      <c r="S655" s="5" t="s">
        <v>79</v>
      </c>
    </row>
    <row r="656" spans="1:19" x14ac:dyDescent="0.3">
      <c r="A656" s="1" t="s">
        <v>1089</v>
      </c>
      <c r="B656" s="1" t="s">
        <v>67</v>
      </c>
      <c r="C656" s="1" t="s">
        <v>68</v>
      </c>
      <c r="D656" s="1" t="s">
        <v>69</v>
      </c>
      <c r="E656" s="2" t="s">
        <v>51</v>
      </c>
      <c r="F656" s="1" t="s">
        <v>52</v>
      </c>
      <c r="G656" s="1" t="s">
        <v>109</v>
      </c>
      <c r="H656" s="1" t="s">
        <v>152</v>
      </c>
      <c r="I656" s="1" t="s">
        <v>27</v>
      </c>
      <c r="J656" s="1" t="s">
        <v>47</v>
      </c>
      <c r="K656" s="1" t="s">
        <v>56</v>
      </c>
      <c r="L656" s="3">
        <v>3943.27</v>
      </c>
      <c r="M656" s="1">
        <v>3</v>
      </c>
      <c r="N656" s="3">
        <v>11829.81</v>
      </c>
      <c r="O656" s="4">
        <v>22.7</v>
      </c>
      <c r="P656" s="3">
        <v>9144.44</v>
      </c>
      <c r="Q656" s="4">
        <v>35.9</v>
      </c>
      <c r="R656" s="3">
        <v>3282.85</v>
      </c>
      <c r="S656" s="1" t="s">
        <v>40</v>
      </c>
    </row>
    <row r="657" spans="1:19" x14ac:dyDescent="0.3">
      <c r="A657" s="5" t="s">
        <v>1090</v>
      </c>
      <c r="B657" s="5" t="s">
        <v>1079</v>
      </c>
      <c r="C657" s="5" t="s">
        <v>75</v>
      </c>
      <c r="D657" s="5" t="s">
        <v>60</v>
      </c>
      <c r="E657" s="6" t="s">
        <v>114</v>
      </c>
      <c r="F657" s="5" t="s">
        <v>45</v>
      </c>
      <c r="G657" s="5" t="s">
        <v>36</v>
      </c>
      <c r="H657" s="5" t="s">
        <v>136</v>
      </c>
      <c r="I657" s="5" t="s">
        <v>47</v>
      </c>
      <c r="J657" s="5" t="s">
        <v>47</v>
      </c>
      <c r="K657" s="5" t="s">
        <v>102</v>
      </c>
      <c r="L657" s="7">
        <v>964.53</v>
      </c>
      <c r="M657" s="5">
        <v>6</v>
      </c>
      <c r="N657" s="7">
        <v>5787.18</v>
      </c>
      <c r="O657" s="8">
        <v>11.9</v>
      </c>
      <c r="P657" s="7">
        <v>5098.51</v>
      </c>
      <c r="Q657" s="8">
        <v>20.8</v>
      </c>
      <c r="R657" s="7">
        <v>1060.49</v>
      </c>
      <c r="S657" s="5" t="s">
        <v>40</v>
      </c>
    </row>
    <row r="658" spans="1:19" x14ac:dyDescent="0.3">
      <c r="A658" s="1" t="s">
        <v>1091</v>
      </c>
      <c r="B658" s="1" t="s">
        <v>345</v>
      </c>
      <c r="C658" s="1" t="s">
        <v>117</v>
      </c>
      <c r="D658" s="1" t="s">
        <v>86</v>
      </c>
      <c r="E658" s="2" t="s">
        <v>76</v>
      </c>
      <c r="F658" s="1" t="s">
        <v>45</v>
      </c>
      <c r="G658" s="1" t="s">
        <v>25</v>
      </c>
      <c r="H658" s="1" t="s">
        <v>215</v>
      </c>
      <c r="I658" s="1" t="s">
        <v>27</v>
      </c>
      <c r="J658" s="1" t="s">
        <v>47</v>
      </c>
      <c r="K658" s="1" t="s">
        <v>78</v>
      </c>
      <c r="L658" s="3">
        <v>1080.56</v>
      </c>
      <c r="M658" s="1">
        <v>1</v>
      </c>
      <c r="N658" s="3">
        <v>1080.56</v>
      </c>
      <c r="O658" s="4">
        <v>20.9</v>
      </c>
      <c r="P658" s="3">
        <v>854.72</v>
      </c>
      <c r="Q658" s="4">
        <v>21.2</v>
      </c>
      <c r="R658" s="3">
        <v>181.2</v>
      </c>
      <c r="S658" s="1" t="s">
        <v>40</v>
      </c>
    </row>
    <row r="659" spans="1:19" x14ac:dyDescent="0.3">
      <c r="A659" s="5" t="s">
        <v>1092</v>
      </c>
      <c r="B659" s="5" t="s">
        <v>807</v>
      </c>
      <c r="C659" s="5" t="s">
        <v>117</v>
      </c>
      <c r="D659" s="5" t="s">
        <v>86</v>
      </c>
      <c r="E659" s="6" t="s">
        <v>61</v>
      </c>
      <c r="F659" s="5" t="s">
        <v>62</v>
      </c>
      <c r="G659" s="5" t="s">
        <v>53</v>
      </c>
      <c r="H659" s="5" t="s">
        <v>54</v>
      </c>
      <c r="I659" s="5" t="s">
        <v>55</v>
      </c>
      <c r="J659" s="5" t="s">
        <v>65</v>
      </c>
      <c r="K659" s="5" t="s">
        <v>102</v>
      </c>
      <c r="L659" s="7">
        <v>3012.41</v>
      </c>
      <c r="M659" s="5">
        <v>12</v>
      </c>
      <c r="N659" s="7">
        <v>36148.92</v>
      </c>
      <c r="O659" s="8">
        <v>0.7</v>
      </c>
      <c r="P659" s="7">
        <v>35895.879999999997</v>
      </c>
      <c r="Q659" s="8">
        <v>55.7</v>
      </c>
      <c r="R659" s="7">
        <v>19994.009999999998</v>
      </c>
      <c r="S659" s="5" t="s">
        <v>79</v>
      </c>
    </row>
    <row r="660" spans="1:19" x14ac:dyDescent="0.3">
      <c r="A660" s="1" t="s">
        <v>1093</v>
      </c>
      <c r="B660" s="1" t="s">
        <v>141</v>
      </c>
      <c r="C660" s="1" t="s">
        <v>135</v>
      </c>
      <c r="D660" s="1" t="s">
        <v>69</v>
      </c>
      <c r="E660" s="2" t="s">
        <v>184</v>
      </c>
      <c r="F660" s="1" t="s">
        <v>45</v>
      </c>
      <c r="G660" s="1" t="s">
        <v>25</v>
      </c>
      <c r="H660" s="1" t="s">
        <v>26</v>
      </c>
      <c r="I660" s="1" t="s">
        <v>72</v>
      </c>
      <c r="J660" s="1" t="s">
        <v>47</v>
      </c>
      <c r="K660" s="1" t="s">
        <v>88</v>
      </c>
      <c r="L660" s="3">
        <v>284.3</v>
      </c>
      <c r="M660" s="1">
        <v>12</v>
      </c>
      <c r="N660" s="3">
        <v>3411.6</v>
      </c>
      <c r="O660" s="4">
        <v>5.8</v>
      </c>
      <c r="P660" s="3">
        <v>3213.73</v>
      </c>
      <c r="Q660" s="4">
        <v>34.799999999999997</v>
      </c>
      <c r="R660" s="3">
        <v>1118.3800000000001</v>
      </c>
      <c r="S660" s="1" t="s">
        <v>40</v>
      </c>
    </row>
    <row r="661" spans="1:19" x14ac:dyDescent="0.3">
      <c r="A661" s="5" t="s">
        <v>1094</v>
      </c>
      <c r="B661" s="5" t="s">
        <v>824</v>
      </c>
      <c r="C661" s="5" t="s">
        <v>135</v>
      </c>
      <c r="D661" s="5" t="s">
        <v>69</v>
      </c>
      <c r="E661" s="6" t="s">
        <v>51</v>
      </c>
      <c r="F661" s="5" t="s">
        <v>52</v>
      </c>
      <c r="G661" s="5" t="s">
        <v>63</v>
      </c>
      <c r="H661" s="5" t="s">
        <v>87</v>
      </c>
      <c r="I661" s="5" t="s">
        <v>72</v>
      </c>
      <c r="J661" s="5" t="s">
        <v>47</v>
      </c>
      <c r="K661" s="5" t="s">
        <v>159</v>
      </c>
      <c r="L661" s="7">
        <v>3059.42</v>
      </c>
      <c r="M661" s="5">
        <v>10</v>
      </c>
      <c r="N661" s="7">
        <v>30594.2</v>
      </c>
      <c r="O661" s="8">
        <v>7.1</v>
      </c>
      <c r="P661" s="7">
        <v>28422.01</v>
      </c>
      <c r="Q661" s="8">
        <v>45</v>
      </c>
      <c r="R661" s="7">
        <v>12789.9</v>
      </c>
      <c r="S661" s="5" t="s">
        <v>40</v>
      </c>
    </row>
    <row r="662" spans="1:19" x14ac:dyDescent="0.3">
      <c r="A662" s="1" t="s">
        <v>1095</v>
      </c>
      <c r="B662" s="1" t="s">
        <v>401</v>
      </c>
      <c r="C662" s="1" t="s">
        <v>101</v>
      </c>
      <c r="D662" s="1" t="s">
        <v>60</v>
      </c>
      <c r="E662" s="2" t="s">
        <v>158</v>
      </c>
      <c r="F662" s="1" t="s">
        <v>35</v>
      </c>
      <c r="G662" s="1" t="s">
        <v>109</v>
      </c>
      <c r="H662" s="1" t="s">
        <v>152</v>
      </c>
      <c r="I662" s="1" t="s">
        <v>72</v>
      </c>
      <c r="J662" s="1" t="s">
        <v>93</v>
      </c>
      <c r="K662" s="1" t="s">
        <v>29</v>
      </c>
      <c r="L662" s="3">
        <v>29355.83</v>
      </c>
      <c r="M662" s="1">
        <v>10</v>
      </c>
      <c r="N662" s="3">
        <v>293558.3</v>
      </c>
      <c r="O662" s="4">
        <v>20</v>
      </c>
      <c r="P662" s="3">
        <v>234846.64</v>
      </c>
      <c r="Q662" s="4">
        <v>29</v>
      </c>
      <c r="R662" s="3">
        <v>68105.53</v>
      </c>
      <c r="S662" s="1" t="s">
        <v>30</v>
      </c>
    </row>
    <row r="663" spans="1:19" x14ac:dyDescent="0.3">
      <c r="A663" s="5" t="s">
        <v>1096</v>
      </c>
      <c r="B663" s="5" t="s">
        <v>988</v>
      </c>
      <c r="C663" s="5" t="s">
        <v>21</v>
      </c>
      <c r="D663" s="5" t="s">
        <v>22</v>
      </c>
      <c r="E663" s="6" t="s">
        <v>82</v>
      </c>
      <c r="F663" s="5" t="s">
        <v>24</v>
      </c>
      <c r="G663" s="5" t="s">
        <v>63</v>
      </c>
      <c r="H663" s="5" t="s">
        <v>167</v>
      </c>
      <c r="I663" s="5" t="s">
        <v>47</v>
      </c>
      <c r="J663" s="5" t="s">
        <v>28</v>
      </c>
      <c r="K663" s="5" t="s">
        <v>111</v>
      </c>
      <c r="L663" s="7">
        <v>93845.59</v>
      </c>
      <c r="M663" s="5">
        <v>17</v>
      </c>
      <c r="N663" s="7">
        <v>1595375.03</v>
      </c>
      <c r="O663" s="8">
        <v>15.6</v>
      </c>
      <c r="P663" s="7">
        <v>1346496.53</v>
      </c>
      <c r="Q663" s="8">
        <v>12.2</v>
      </c>
      <c r="R663" s="7">
        <v>164272.57999999999</v>
      </c>
      <c r="S663" s="5" t="s">
        <v>40</v>
      </c>
    </row>
    <row r="664" spans="1:19" x14ac:dyDescent="0.3">
      <c r="A664" s="1" t="s">
        <v>1097</v>
      </c>
      <c r="B664" s="1" t="s">
        <v>1098</v>
      </c>
      <c r="C664" s="1" t="s">
        <v>96</v>
      </c>
      <c r="D664" s="1" t="s">
        <v>86</v>
      </c>
      <c r="E664" s="2" t="s">
        <v>142</v>
      </c>
      <c r="F664" s="1" t="s">
        <v>24</v>
      </c>
      <c r="G664" s="1" t="s">
        <v>53</v>
      </c>
      <c r="H664" s="1" t="s">
        <v>71</v>
      </c>
      <c r="I664" s="1" t="s">
        <v>55</v>
      </c>
      <c r="J664" s="1" t="s">
        <v>47</v>
      </c>
      <c r="K664" s="1" t="s">
        <v>102</v>
      </c>
      <c r="L664" s="3">
        <v>65080.56</v>
      </c>
      <c r="M664" s="1">
        <v>14</v>
      </c>
      <c r="N664" s="3">
        <v>911127.84</v>
      </c>
      <c r="O664" s="4">
        <v>21.2</v>
      </c>
      <c r="P664" s="3">
        <v>717968.74</v>
      </c>
      <c r="Q664" s="4">
        <v>18.399999999999999</v>
      </c>
      <c r="R664" s="3">
        <v>132106.25</v>
      </c>
      <c r="S664" s="1" t="s">
        <v>40</v>
      </c>
    </row>
    <row r="665" spans="1:19" x14ac:dyDescent="0.3">
      <c r="A665" s="5" t="s">
        <v>1099</v>
      </c>
      <c r="B665" s="5" t="s">
        <v>550</v>
      </c>
      <c r="C665" s="5" t="s">
        <v>33</v>
      </c>
      <c r="D665" s="5" t="s">
        <v>22</v>
      </c>
      <c r="E665" s="6" t="s">
        <v>145</v>
      </c>
      <c r="F665" s="5" t="s">
        <v>62</v>
      </c>
      <c r="G665" s="5" t="s">
        <v>36</v>
      </c>
      <c r="H665" s="5" t="s">
        <v>105</v>
      </c>
      <c r="I665" s="5" t="s">
        <v>72</v>
      </c>
      <c r="J665" s="5" t="s">
        <v>47</v>
      </c>
      <c r="K665" s="5" t="s">
        <v>29</v>
      </c>
      <c r="L665" s="7">
        <v>385.92</v>
      </c>
      <c r="M665" s="5">
        <v>6</v>
      </c>
      <c r="N665" s="7">
        <v>2315.52</v>
      </c>
      <c r="O665" s="8">
        <v>22.2</v>
      </c>
      <c r="P665" s="7">
        <v>1801.47</v>
      </c>
      <c r="Q665" s="8">
        <v>60.5</v>
      </c>
      <c r="R665" s="7">
        <v>1089.8900000000001</v>
      </c>
      <c r="S665" s="5" t="s">
        <v>40</v>
      </c>
    </row>
    <row r="666" spans="1:19" x14ac:dyDescent="0.3">
      <c r="A666" s="1" t="s">
        <v>1100</v>
      </c>
      <c r="B666" s="1" t="s">
        <v>1101</v>
      </c>
      <c r="C666" s="1" t="s">
        <v>85</v>
      </c>
      <c r="D666" s="1" t="s">
        <v>86</v>
      </c>
      <c r="E666" s="2" t="s">
        <v>206</v>
      </c>
      <c r="F666" s="1" t="s">
        <v>52</v>
      </c>
      <c r="G666" s="1" t="s">
        <v>109</v>
      </c>
      <c r="H666" s="1" t="s">
        <v>122</v>
      </c>
      <c r="I666" s="1" t="s">
        <v>38</v>
      </c>
      <c r="J666" s="1" t="s">
        <v>65</v>
      </c>
      <c r="K666" s="1" t="s">
        <v>111</v>
      </c>
      <c r="L666" s="3">
        <v>2531.06</v>
      </c>
      <c r="M666" s="1">
        <v>15</v>
      </c>
      <c r="N666" s="3">
        <v>37965.9</v>
      </c>
      <c r="O666" s="4">
        <v>17.2</v>
      </c>
      <c r="P666" s="3">
        <v>31435.77</v>
      </c>
      <c r="Q666" s="4">
        <v>34</v>
      </c>
      <c r="R666" s="3">
        <v>10688.16</v>
      </c>
      <c r="S666" s="1" t="s">
        <v>79</v>
      </c>
    </row>
    <row r="667" spans="1:19" x14ac:dyDescent="0.3">
      <c r="A667" s="5" t="s">
        <v>1102</v>
      </c>
      <c r="B667" s="5" t="s">
        <v>32</v>
      </c>
      <c r="C667" s="5" t="s">
        <v>33</v>
      </c>
      <c r="D667" s="5" t="s">
        <v>22</v>
      </c>
      <c r="E667" s="6" t="s">
        <v>320</v>
      </c>
      <c r="F667" s="5" t="s">
        <v>24</v>
      </c>
      <c r="G667" s="5" t="s">
        <v>63</v>
      </c>
      <c r="H667" s="5" t="s">
        <v>92</v>
      </c>
      <c r="I667" s="5" t="s">
        <v>72</v>
      </c>
      <c r="J667" s="5" t="s">
        <v>47</v>
      </c>
      <c r="K667" s="5" t="s">
        <v>159</v>
      </c>
      <c r="L667" s="7">
        <v>25830.59</v>
      </c>
      <c r="M667" s="5">
        <v>14</v>
      </c>
      <c r="N667" s="7">
        <v>361628.26</v>
      </c>
      <c r="O667" s="8">
        <v>9.4</v>
      </c>
      <c r="P667" s="7">
        <v>327635.20000000001</v>
      </c>
      <c r="Q667" s="8">
        <v>31</v>
      </c>
      <c r="R667" s="7">
        <v>101566.91</v>
      </c>
      <c r="S667" s="5" t="s">
        <v>40</v>
      </c>
    </row>
    <row r="668" spans="1:19" x14ac:dyDescent="0.3">
      <c r="A668" s="1" t="s">
        <v>1103</v>
      </c>
      <c r="B668" s="1" t="s">
        <v>405</v>
      </c>
      <c r="C668" s="1" t="s">
        <v>68</v>
      </c>
      <c r="D668" s="1" t="s">
        <v>69</v>
      </c>
      <c r="E668" s="2" t="s">
        <v>346</v>
      </c>
      <c r="F668" s="1" t="s">
        <v>35</v>
      </c>
      <c r="G668" s="1" t="s">
        <v>109</v>
      </c>
      <c r="H668" s="1" t="s">
        <v>110</v>
      </c>
      <c r="I668" s="1" t="s">
        <v>55</v>
      </c>
      <c r="J668" s="1" t="s">
        <v>28</v>
      </c>
      <c r="K668" s="1" t="s">
        <v>102</v>
      </c>
      <c r="L668" s="3">
        <v>17163.2</v>
      </c>
      <c r="M668" s="1">
        <v>21</v>
      </c>
      <c r="N668" s="3">
        <v>360427.2</v>
      </c>
      <c r="O668" s="4">
        <v>24.4</v>
      </c>
      <c r="P668" s="3">
        <v>272482.96000000002</v>
      </c>
      <c r="Q668" s="4">
        <v>36.799999999999997</v>
      </c>
      <c r="R668" s="3">
        <v>100273.73</v>
      </c>
      <c r="S668" s="1" t="s">
        <v>40</v>
      </c>
    </row>
    <row r="669" spans="1:19" x14ac:dyDescent="0.3">
      <c r="A669" s="5" t="s">
        <v>1104</v>
      </c>
      <c r="B669" s="5" t="s">
        <v>920</v>
      </c>
      <c r="C669" s="5" t="s">
        <v>33</v>
      </c>
      <c r="D669" s="5" t="s">
        <v>22</v>
      </c>
      <c r="E669" s="6" t="s">
        <v>410</v>
      </c>
      <c r="F669" s="5" t="s">
        <v>166</v>
      </c>
      <c r="G669" s="5" t="s">
        <v>25</v>
      </c>
      <c r="H669" s="5" t="s">
        <v>46</v>
      </c>
      <c r="I669" s="5" t="s">
        <v>38</v>
      </c>
      <c r="J669" s="5" t="s">
        <v>47</v>
      </c>
      <c r="K669" s="5" t="s">
        <v>111</v>
      </c>
      <c r="L669" s="7">
        <v>2227.34</v>
      </c>
      <c r="M669" s="5">
        <v>23</v>
      </c>
      <c r="N669" s="7">
        <v>51228.82</v>
      </c>
      <c r="O669" s="8">
        <v>16.8</v>
      </c>
      <c r="P669" s="7">
        <v>42622.38</v>
      </c>
      <c r="Q669" s="8">
        <v>61.9</v>
      </c>
      <c r="R669" s="7">
        <v>26383.25</v>
      </c>
      <c r="S669" s="5" t="s">
        <v>40</v>
      </c>
    </row>
    <row r="670" spans="1:19" x14ac:dyDescent="0.3">
      <c r="A670" s="1" t="s">
        <v>1105</v>
      </c>
      <c r="B670" s="1" t="s">
        <v>753</v>
      </c>
      <c r="C670" s="1" t="s">
        <v>96</v>
      </c>
      <c r="D670" s="1" t="s">
        <v>86</v>
      </c>
      <c r="E670" s="2" t="s">
        <v>165</v>
      </c>
      <c r="F670" s="1" t="s">
        <v>166</v>
      </c>
      <c r="G670" s="1" t="s">
        <v>63</v>
      </c>
      <c r="H670" s="1" t="s">
        <v>167</v>
      </c>
      <c r="I670" s="1" t="s">
        <v>72</v>
      </c>
      <c r="J670" s="1" t="s">
        <v>93</v>
      </c>
      <c r="K670" s="1" t="s">
        <v>78</v>
      </c>
      <c r="L670" s="3">
        <v>3221.45</v>
      </c>
      <c r="M670" s="1">
        <v>21</v>
      </c>
      <c r="N670" s="3">
        <v>67650.45</v>
      </c>
      <c r="O670" s="4">
        <v>2.5</v>
      </c>
      <c r="P670" s="3">
        <v>65959.19</v>
      </c>
      <c r="Q670" s="4">
        <v>49.7</v>
      </c>
      <c r="R670" s="3">
        <v>32781.72</v>
      </c>
      <c r="S670" s="1" t="s">
        <v>79</v>
      </c>
    </row>
    <row r="671" spans="1:19" x14ac:dyDescent="0.3">
      <c r="A671" s="5" t="s">
        <v>1106</v>
      </c>
      <c r="B671" s="5" t="s">
        <v>892</v>
      </c>
      <c r="C671" s="5" t="s">
        <v>96</v>
      </c>
      <c r="D671" s="5" t="s">
        <v>86</v>
      </c>
      <c r="E671" s="6" t="s">
        <v>194</v>
      </c>
      <c r="F671" s="5" t="s">
        <v>52</v>
      </c>
      <c r="G671" s="5" t="s">
        <v>53</v>
      </c>
      <c r="H671" s="5" t="s">
        <v>98</v>
      </c>
      <c r="I671" s="5" t="s">
        <v>27</v>
      </c>
      <c r="J671" s="5" t="s">
        <v>28</v>
      </c>
      <c r="K671" s="5" t="s">
        <v>102</v>
      </c>
      <c r="L671" s="7">
        <v>492.83</v>
      </c>
      <c r="M671" s="5">
        <v>10</v>
      </c>
      <c r="N671" s="7">
        <v>4928.3</v>
      </c>
      <c r="O671" s="8">
        <v>17.100000000000001</v>
      </c>
      <c r="P671" s="7">
        <v>4085.56</v>
      </c>
      <c r="Q671" s="8">
        <v>35.6</v>
      </c>
      <c r="R671" s="7">
        <v>1454.46</v>
      </c>
      <c r="S671" s="5" t="s">
        <v>40</v>
      </c>
    </row>
    <row r="672" spans="1:19" x14ac:dyDescent="0.3">
      <c r="A672" s="1" t="s">
        <v>1107</v>
      </c>
      <c r="B672" s="1" t="s">
        <v>552</v>
      </c>
      <c r="C672" s="1" t="s">
        <v>135</v>
      </c>
      <c r="D672" s="1" t="s">
        <v>69</v>
      </c>
      <c r="E672" s="2" t="s">
        <v>217</v>
      </c>
      <c r="F672" s="1" t="s">
        <v>62</v>
      </c>
      <c r="G672" s="1" t="s">
        <v>25</v>
      </c>
      <c r="H672" s="1" t="s">
        <v>26</v>
      </c>
      <c r="I672" s="1" t="s">
        <v>38</v>
      </c>
      <c r="J672" s="1" t="s">
        <v>65</v>
      </c>
      <c r="K672" s="1" t="s">
        <v>48</v>
      </c>
      <c r="L672" s="3">
        <v>3937.99</v>
      </c>
      <c r="M672" s="1">
        <v>21</v>
      </c>
      <c r="N672" s="3">
        <v>82697.789999999994</v>
      </c>
      <c r="O672" s="4">
        <v>12.2</v>
      </c>
      <c r="P672" s="3">
        <v>72608.66</v>
      </c>
      <c r="Q672" s="4">
        <v>56.1</v>
      </c>
      <c r="R672" s="3">
        <v>40733.46</v>
      </c>
      <c r="S672" s="1" t="s">
        <v>79</v>
      </c>
    </row>
    <row r="673" spans="1:19" x14ac:dyDescent="0.3">
      <c r="A673" s="5" t="s">
        <v>1108</v>
      </c>
      <c r="B673" s="5" t="s">
        <v>1109</v>
      </c>
      <c r="C673" s="5" t="s">
        <v>43</v>
      </c>
      <c r="D673" s="5" t="s">
        <v>22</v>
      </c>
      <c r="E673" s="6" t="s">
        <v>256</v>
      </c>
      <c r="F673" s="5" t="s">
        <v>166</v>
      </c>
      <c r="G673" s="5" t="s">
        <v>25</v>
      </c>
      <c r="H673" s="5" t="s">
        <v>132</v>
      </c>
      <c r="I673" s="5" t="s">
        <v>47</v>
      </c>
      <c r="J673" s="5" t="s">
        <v>93</v>
      </c>
      <c r="K673" s="5" t="s">
        <v>159</v>
      </c>
      <c r="L673" s="7">
        <v>1734.94</v>
      </c>
      <c r="M673" s="5">
        <v>15</v>
      </c>
      <c r="N673" s="7">
        <v>26024.1</v>
      </c>
      <c r="O673" s="8">
        <v>9.9</v>
      </c>
      <c r="P673" s="7">
        <v>23447.71</v>
      </c>
      <c r="Q673" s="8">
        <v>52.5</v>
      </c>
      <c r="R673" s="7">
        <v>12310.05</v>
      </c>
      <c r="S673" s="5" t="s">
        <v>79</v>
      </c>
    </row>
    <row r="674" spans="1:19" x14ac:dyDescent="0.3">
      <c r="A674" s="1" t="s">
        <v>1110</v>
      </c>
      <c r="B674" s="1" t="s">
        <v>124</v>
      </c>
      <c r="C674" s="1" t="s">
        <v>59</v>
      </c>
      <c r="D674" s="1" t="s">
        <v>60</v>
      </c>
      <c r="E674" s="2" t="s">
        <v>114</v>
      </c>
      <c r="F674" s="1" t="s">
        <v>45</v>
      </c>
      <c r="G674" s="1" t="s">
        <v>36</v>
      </c>
      <c r="H674" s="1" t="s">
        <v>37</v>
      </c>
      <c r="I674" s="1" t="s">
        <v>55</v>
      </c>
      <c r="J674" s="1" t="s">
        <v>93</v>
      </c>
      <c r="K674" s="1" t="s">
        <v>111</v>
      </c>
      <c r="L674" s="3">
        <v>936.54</v>
      </c>
      <c r="M674" s="1">
        <v>15</v>
      </c>
      <c r="N674" s="3">
        <v>14048.1</v>
      </c>
      <c r="O674" s="4">
        <v>5.2</v>
      </c>
      <c r="P674" s="3">
        <v>13317.6</v>
      </c>
      <c r="Q674" s="4">
        <v>34.299999999999997</v>
      </c>
      <c r="R674" s="3">
        <v>4567.9399999999996</v>
      </c>
      <c r="S674" s="1" t="s">
        <v>40</v>
      </c>
    </row>
    <row r="675" spans="1:19" x14ac:dyDescent="0.3">
      <c r="A675" s="5" t="s">
        <v>1111</v>
      </c>
      <c r="B675" s="5" t="s">
        <v>470</v>
      </c>
      <c r="C675" s="5" t="s">
        <v>101</v>
      </c>
      <c r="D675" s="5" t="s">
        <v>60</v>
      </c>
      <c r="E675" s="6" t="s">
        <v>34</v>
      </c>
      <c r="F675" s="5" t="s">
        <v>35</v>
      </c>
      <c r="G675" s="5" t="s">
        <v>53</v>
      </c>
      <c r="H675" s="5" t="s">
        <v>98</v>
      </c>
      <c r="I675" s="5" t="s">
        <v>38</v>
      </c>
      <c r="J675" s="5" t="s">
        <v>93</v>
      </c>
      <c r="K675" s="5" t="s">
        <v>111</v>
      </c>
      <c r="L675" s="7">
        <v>29415.46</v>
      </c>
      <c r="M675" s="5">
        <v>10</v>
      </c>
      <c r="N675" s="7">
        <v>294154.59999999998</v>
      </c>
      <c r="O675" s="8">
        <v>18</v>
      </c>
      <c r="P675" s="7">
        <v>241206.77</v>
      </c>
      <c r="Q675" s="8">
        <v>39.799999999999997</v>
      </c>
      <c r="R675" s="7">
        <v>96000.29</v>
      </c>
      <c r="S675" s="5" t="s">
        <v>40</v>
      </c>
    </row>
    <row r="676" spans="1:19" x14ac:dyDescent="0.3">
      <c r="A676" s="1" t="s">
        <v>1112</v>
      </c>
      <c r="B676" s="1" t="s">
        <v>1113</v>
      </c>
      <c r="C676" s="1" t="s">
        <v>131</v>
      </c>
      <c r="D676" s="1" t="s">
        <v>69</v>
      </c>
      <c r="E676" s="2" t="s">
        <v>97</v>
      </c>
      <c r="F676" s="1" t="s">
        <v>35</v>
      </c>
      <c r="G676" s="1" t="s">
        <v>53</v>
      </c>
      <c r="H676" s="1" t="s">
        <v>98</v>
      </c>
      <c r="I676" s="1" t="s">
        <v>27</v>
      </c>
      <c r="J676" s="1" t="s">
        <v>47</v>
      </c>
      <c r="K676" s="1" t="s">
        <v>102</v>
      </c>
      <c r="L676" s="3">
        <v>4074.47</v>
      </c>
      <c r="M676" s="1">
        <v>17</v>
      </c>
      <c r="N676" s="3">
        <v>69265.990000000005</v>
      </c>
      <c r="O676" s="4">
        <v>19.399999999999999</v>
      </c>
      <c r="P676" s="3">
        <v>55828.39</v>
      </c>
      <c r="Q676" s="4">
        <v>36.9</v>
      </c>
      <c r="R676" s="3">
        <v>20600.68</v>
      </c>
      <c r="S676" s="1" t="s">
        <v>79</v>
      </c>
    </row>
    <row r="677" spans="1:19" x14ac:dyDescent="0.3">
      <c r="A677" s="5" t="s">
        <v>1114</v>
      </c>
      <c r="B677" s="5" t="s">
        <v>253</v>
      </c>
      <c r="C677" s="5" t="s">
        <v>117</v>
      </c>
      <c r="D677" s="5" t="s">
        <v>86</v>
      </c>
      <c r="E677" s="6" t="s">
        <v>51</v>
      </c>
      <c r="F677" s="5" t="s">
        <v>52</v>
      </c>
      <c r="G677" s="5" t="s">
        <v>63</v>
      </c>
      <c r="H677" s="5" t="s">
        <v>64</v>
      </c>
      <c r="I677" s="5" t="s">
        <v>47</v>
      </c>
      <c r="J677" s="5" t="s">
        <v>28</v>
      </c>
      <c r="K677" s="5" t="s">
        <v>29</v>
      </c>
      <c r="L677" s="7">
        <v>5596.79</v>
      </c>
      <c r="M677" s="5">
        <v>25</v>
      </c>
      <c r="N677" s="7">
        <v>139919.75</v>
      </c>
      <c r="O677" s="8">
        <v>13.6</v>
      </c>
      <c r="P677" s="7">
        <v>120890.66</v>
      </c>
      <c r="Q677" s="8">
        <v>46.6</v>
      </c>
      <c r="R677" s="7">
        <v>56335.05</v>
      </c>
      <c r="S677" s="5" t="s">
        <v>40</v>
      </c>
    </row>
    <row r="678" spans="1:19" x14ac:dyDescent="0.3">
      <c r="A678" s="1" t="s">
        <v>1115</v>
      </c>
      <c r="B678" s="1" t="s">
        <v>296</v>
      </c>
      <c r="C678" s="1" t="s">
        <v>21</v>
      </c>
      <c r="D678" s="1" t="s">
        <v>22</v>
      </c>
      <c r="E678" s="2" t="s">
        <v>61</v>
      </c>
      <c r="F678" s="1" t="s">
        <v>62</v>
      </c>
      <c r="G678" s="1" t="s">
        <v>53</v>
      </c>
      <c r="H678" s="1" t="s">
        <v>71</v>
      </c>
      <c r="I678" s="1" t="s">
        <v>38</v>
      </c>
      <c r="J678" s="1" t="s">
        <v>47</v>
      </c>
      <c r="K678" s="1" t="s">
        <v>29</v>
      </c>
      <c r="L678" s="3">
        <v>2171.19</v>
      </c>
      <c r="M678" s="1">
        <v>24</v>
      </c>
      <c r="N678" s="3">
        <v>52108.56</v>
      </c>
      <c r="O678" s="4">
        <v>10.6</v>
      </c>
      <c r="P678" s="3">
        <v>46585.05</v>
      </c>
      <c r="Q678" s="4">
        <v>69.400000000000006</v>
      </c>
      <c r="R678" s="3">
        <v>32330.02</v>
      </c>
      <c r="S678" s="1" t="s">
        <v>40</v>
      </c>
    </row>
    <row r="679" spans="1:19" x14ac:dyDescent="0.3">
      <c r="A679" s="5" t="s">
        <v>1116</v>
      </c>
      <c r="B679" s="5" t="s">
        <v>755</v>
      </c>
      <c r="C679" s="5" t="s">
        <v>33</v>
      </c>
      <c r="D679" s="5" t="s">
        <v>22</v>
      </c>
      <c r="E679" s="6" t="s">
        <v>206</v>
      </c>
      <c r="F679" s="5" t="s">
        <v>52</v>
      </c>
      <c r="G679" s="5" t="s">
        <v>53</v>
      </c>
      <c r="H679" s="5" t="s">
        <v>77</v>
      </c>
      <c r="I679" s="5" t="s">
        <v>55</v>
      </c>
      <c r="J679" s="5" t="s">
        <v>65</v>
      </c>
      <c r="K679" s="5" t="s">
        <v>149</v>
      </c>
      <c r="L679" s="7">
        <v>2803.86</v>
      </c>
      <c r="M679" s="5">
        <v>9</v>
      </c>
      <c r="N679" s="7">
        <v>25234.74</v>
      </c>
      <c r="O679" s="8">
        <v>17.7</v>
      </c>
      <c r="P679" s="7">
        <v>20768.189999999999</v>
      </c>
      <c r="Q679" s="8">
        <v>39.4</v>
      </c>
      <c r="R679" s="7">
        <v>8182.67</v>
      </c>
      <c r="S679" s="5" t="s">
        <v>79</v>
      </c>
    </row>
    <row r="680" spans="1:19" x14ac:dyDescent="0.3">
      <c r="A680" s="1" t="s">
        <v>1117</v>
      </c>
      <c r="B680" s="1" t="s">
        <v>278</v>
      </c>
      <c r="C680" s="1" t="s">
        <v>43</v>
      </c>
      <c r="D680" s="1" t="s">
        <v>22</v>
      </c>
      <c r="E680" s="2" t="s">
        <v>165</v>
      </c>
      <c r="F680" s="1" t="s">
        <v>166</v>
      </c>
      <c r="G680" s="1" t="s">
        <v>63</v>
      </c>
      <c r="H680" s="1" t="s">
        <v>92</v>
      </c>
      <c r="I680" s="1" t="s">
        <v>72</v>
      </c>
      <c r="J680" s="1" t="s">
        <v>93</v>
      </c>
      <c r="K680" s="1" t="s">
        <v>56</v>
      </c>
      <c r="L680" s="3">
        <v>2157.75</v>
      </c>
      <c r="M680" s="1">
        <v>11</v>
      </c>
      <c r="N680" s="3">
        <v>23735.25</v>
      </c>
      <c r="O680" s="4">
        <v>7.1</v>
      </c>
      <c r="P680" s="3">
        <v>22050.05</v>
      </c>
      <c r="Q680" s="4">
        <v>38.200000000000003</v>
      </c>
      <c r="R680" s="3">
        <v>8423.1200000000008</v>
      </c>
      <c r="S680" s="1" t="s">
        <v>40</v>
      </c>
    </row>
    <row r="681" spans="1:19" x14ac:dyDescent="0.3">
      <c r="A681" s="5" t="s">
        <v>1118</v>
      </c>
      <c r="B681" s="5" t="s">
        <v>127</v>
      </c>
      <c r="C681" s="5" t="s">
        <v>85</v>
      </c>
      <c r="D681" s="5" t="s">
        <v>86</v>
      </c>
      <c r="E681" s="6" t="s">
        <v>128</v>
      </c>
      <c r="F681" s="5" t="s">
        <v>45</v>
      </c>
      <c r="G681" s="5" t="s">
        <v>53</v>
      </c>
      <c r="H681" s="5" t="s">
        <v>71</v>
      </c>
      <c r="I681" s="5" t="s">
        <v>55</v>
      </c>
      <c r="J681" s="5" t="s">
        <v>28</v>
      </c>
      <c r="K681" s="5" t="s">
        <v>29</v>
      </c>
      <c r="L681" s="7">
        <v>1112.55</v>
      </c>
      <c r="M681" s="5">
        <v>18</v>
      </c>
      <c r="N681" s="7">
        <v>20025.900000000001</v>
      </c>
      <c r="O681" s="8">
        <v>22.9</v>
      </c>
      <c r="P681" s="7">
        <v>15439.97</v>
      </c>
      <c r="Q681" s="8">
        <v>30.1</v>
      </c>
      <c r="R681" s="7">
        <v>4647.43</v>
      </c>
      <c r="S681" s="5" t="s">
        <v>40</v>
      </c>
    </row>
    <row r="682" spans="1:19" x14ac:dyDescent="0.3">
      <c r="A682" s="1" t="s">
        <v>1119</v>
      </c>
      <c r="B682" s="1" t="s">
        <v>262</v>
      </c>
      <c r="C682" s="1" t="s">
        <v>43</v>
      </c>
      <c r="D682" s="1" t="s">
        <v>22</v>
      </c>
      <c r="E682" s="2" t="s">
        <v>51</v>
      </c>
      <c r="F682" s="1" t="s">
        <v>52</v>
      </c>
      <c r="G682" s="1" t="s">
        <v>36</v>
      </c>
      <c r="H682" s="1" t="s">
        <v>105</v>
      </c>
      <c r="I682" s="1" t="s">
        <v>55</v>
      </c>
      <c r="J682" s="1" t="s">
        <v>93</v>
      </c>
      <c r="K682" s="1" t="s">
        <v>56</v>
      </c>
      <c r="L682" s="3">
        <v>2083.64</v>
      </c>
      <c r="M682" s="1">
        <v>20</v>
      </c>
      <c r="N682" s="3">
        <v>41672.800000000003</v>
      </c>
      <c r="O682" s="4">
        <v>16.100000000000001</v>
      </c>
      <c r="P682" s="3">
        <v>34963.480000000003</v>
      </c>
      <c r="Q682" s="4">
        <v>47.2</v>
      </c>
      <c r="R682" s="3">
        <v>16502.759999999998</v>
      </c>
      <c r="S682" s="1" t="s">
        <v>79</v>
      </c>
    </row>
    <row r="683" spans="1:19" x14ac:dyDescent="0.3">
      <c r="A683" s="5" t="s">
        <v>1120</v>
      </c>
      <c r="B683" s="5" t="s">
        <v>228</v>
      </c>
      <c r="C683" s="5" t="s">
        <v>33</v>
      </c>
      <c r="D683" s="5" t="s">
        <v>22</v>
      </c>
      <c r="E683" s="6" t="s">
        <v>180</v>
      </c>
      <c r="F683" s="5" t="s">
        <v>166</v>
      </c>
      <c r="G683" s="5" t="s">
        <v>63</v>
      </c>
      <c r="H683" s="5" t="s">
        <v>64</v>
      </c>
      <c r="I683" s="5" t="s">
        <v>47</v>
      </c>
      <c r="J683" s="5" t="s">
        <v>28</v>
      </c>
      <c r="K683" s="5" t="s">
        <v>159</v>
      </c>
      <c r="L683" s="7">
        <v>4953.0600000000004</v>
      </c>
      <c r="M683" s="5">
        <v>11</v>
      </c>
      <c r="N683" s="7">
        <v>54483.66</v>
      </c>
      <c r="O683" s="8">
        <v>12.7</v>
      </c>
      <c r="P683" s="7">
        <v>47564.24</v>
      </c>
      <c r="Q683" s="8">
        <v>46.6</v>
      </c>
      <c r="R683" s="7">
        <v>22164.94</v>
      </c>
      <c r="S683" s="5" t="s">
        <v>40</v>
      </c>
    </row>
    <row r="684" spans="1:19" x14ac:dyDescent="0.3">
      <c r="A684" s="1" t="s">
        <v>1121</v>
      </c>
      <c r="B684" s="1" t="s">
        <v>814</v>
      </c>
      <c r="C684" s="1" t="s">
        <v>131</v>
      </c>
      <c r="D684" s="1" t="s">
        <v>69</v>
      </c>
      <c r="E684" s="2" t="s">
        <v>256</v>
      </c>
      <c r="F684" s="1" t="s">
        <v>166</v>
      </c>
      <c r="G684" s="1" t="s">
        <v>63</v>
      </c>
      <c r="H684" s="1" t="s">
        <v>64</v>
      </c>
      <c r="I684" s="1" t="s">
        <v>38</v>
      </c>
      <c r="J684" s="1" t="s">
        <v>28</v>
      </c>
      <c r="K684" s="1" t="s">
        <v>56</v>
      </c>
      <c r="L684" s="3">
        <v>1330.92</v>
      </c>
      <c r="M684" s="1">
        <v>1</v>
      </c>
      <c r="N684" s="3">
        <v>1330.92</v>
      </c>
      <c r="O684" s="4">
        <v>15.2</v>
      </c>
      <c r="P684" s="3">
        <v>1128.6199999999999</v>
      </c>
      <c r="Q684" s="4">
        <v>58.8</v>
      </c>
      <c r="R684" s="3">
        <v>663.63</v>
      </c>
      <c r="S684" s="1" t="s">
        <v>40</v>
      </c>
    </row>
    <row r="685" spans="1:19" x14ac:dyDescent="0.3">
      <c r="A685" s="5" t="s">
        <v>1122</v>
      </c>
      <c r="B685" s="5" t="s">
        <v>775</v>
      </c>
      <c r="C685" s="5" t="s">
        <v>43</v>
      </c>
      <c r="D685" s="5" t="s">
        <v>22</v>
      </c>
      <c r="E685" s="6" t="s">
        <v>70</v>
      </c>
      <c r="F685" s="5" t="s">
        <v>24</v>
      </c>
      <c r="G685" s="5" t="s">
        <v>25</v>
      </c>
      <c r="H685" s="5" t="s">
        <v>215</v>
      </c>
      <c r="I685" s="5" t="s">
        <v>47</v>
      </c>
      <c r="J685" s="5" t="s">
        <v>28</v>
      </c>
      <c r="K685" s="5" t="s">
        <v>111</v>
      </c>
      <c r="L685" s="7">
        <v>42951.4</v>
      </c>
      <c r="M685" s="5">
        <v>14</v>
      </c>
      <c r="N685" s="7">
        <v>601319.6</v>
      </c>
      <c r="O685" s="8">
        <v>16</v>
      </c>
      <c r="P685" s="7">
        <v>505108.46</v>
      </c>
      <c r="Q685" s="8">
        <v>23.2</v>
      </c>
      <c r="R685" s="7">
        <v>117185.16</v>
      </c>
      <c r="S685" s="5" t="s">
        <v>79</v>
      </c>
    </row>
    <row r="686" spans="1:19" x14ac:dyDescent="0.3">
      <c r="A686" s="1" t="s">
        <v>1123</v>
      </c>
      <c r="B686" s="1" t="s">
        <v>296</v>
      </c>
      <c r="C686" s="1" t="s">
        <v>21</v>
      </c>
      <c r="D686" s="1" t="s">
        <v>22</v>
      </c>
      <c r="E686" s="2" t="s">
        <v>180</v>
      </c>
      <c r="F686" s="1" t="s">
        <v>166</v>
      </c>
      <c r="G686" s="1" t="s">
        <v>53</v>
      </c>
      <c r="H686" s="1" t="s">
        <v>54</v>
      </c>
      <c r="I686" s="1" t="s">
        <v>72</v>
      </c>
      <c r="J686" s="1" t="s">
        <v>47</v>
      </c>
      <c r="K686" s="1" t="s">
        <v>159</v>
      </c>
      <c r="L686" s="3">
        <v>2399.9</v>
      </c>
      <c r="M686" s="1">
        <v>6</v>
      </c>
      <c r="N686" s="3">
        <v>14399.4</v>
      </c>
      <c r="O686" s="4">
        <v>12</v>
      </c>
      <c r="P686" s="3">
        <v>12671.47</v>
      </c>
      <c r="Q686" s="4">
        <v>39.200000000000003</v>
      </c>
      <c r="R686" s="3">
        <v>4967.22</v>
      </c>
      <c r="S686" s="1" t="s">
        <v>40</v>
      </c>
    </row>
    <row r="687" spans="1:19" x14ac:dyDescent="0.3">
      <c r="A687" s="5" t="s">
        <v>1124</v>
      </c>
      <c r="B687" s="5" t="s">
        <v>433</v>
      </c>
      <c r="C687" s="5" t="s">
        <v>131</v>
      </c>
      <c r="D687" s="5" t="s">
        <v>69</v>
      </c>
      <c r="E687" s="6" t="s">
        <v>346</v>
      </c>
      <c r="F687" s="5" t="s">
        <v>35</v>
      </c>
      <c r="G687" s="5" t="s">
        <v>53</v>
      </c>
      <c r="H687" s="5" t="s">
        <v>77</v>
      </c>
      <c r="I687" s="5" t="s">
        <v>38</v>
      </c>
      <c r="J687" s="5" t="s">
        <v>65</v>
      </c>
      <c r="K687" s="5" t="s">
        <v>78</v>
      </c>
      <c r="L687" s="7">
        <v>40010.910000000003</v>
      </c>
      <c r="M687" s="5">
        <v>2</v>
      </c>
      <c r="N687" s="7">
        <v>80021.820000000007</v>
      </c>
      <c r="O687" s="8">
        <v>18.5</v>
      </c>
      <c r="P687" s="7">
        <v>65217.78</v>
      </c>
      <c r="Q687" s="8">
        <v>47.3</v>
      </c>
      <c r="R687" s="7">
        <v>30848.01</v>
      </c>
      <c r="S687" s="5" t="s">
        <v>40</v>
      </c>
    </row>
    <row r="688" spans="1:19" x14ac:dyDescent="0.3">
      <c r="A688" s="1" t="s">
        <v>1125</v>
      </c>
      <c r="B688" s="1" t="s">
        <v>651</v>
      </c>
      <c r="C688" s="1" t="s">
        <v>68</v>
      </c>
      <c r="D688" s="1" t="s">
        <v>69</v>
      </c>
      <c r="E688" s="2" t="s">
        <v>174</v>
      </c>
      <c r="F688" s="1" t="s">
        <v>45</v>
      </c>
      <c r="G688" s="1" t="s">
        <v>53</v>
      </c>
      <c r="H688" s="1" t="s">
        <v>98</v>
      </c>
      <c r="I688" s="1" t="s">
        <v>38</v>
      </c>
      <c r="J688" s="1" t="s">
        <v>93</v>
      </c>
      <c r="K688" s="1" t="s">
        <v>102</v>
      </c>
      <c r="L688" s="3">
        <v>1152.74</v>
      </c>
      <c r="M688" s="1">
        <v>3</v>
      </c>
      <c r="N688" s="3">
        <v>3458.22</v>
      </c>
      <c r="O688" s="4">
        <v>22.5</v>
      </c>
      <c r="P688" s="3">
        <v>2680.12</v>
      </c>
      <c r="Q688" s="4">
        <v>40.9</v>
      </c>
      <c r="R688" s="3">
        <v>1096.17</v>
      </c>
      <c r="S688" s="1" t="s">
        <v>40</v>
      </c>
    </row>
    <row r="689" spans="1:19" x14ac:dyDescent="0.3">
      <c r="A689" s="5" t="s">
        <v>1126</v>
      </c>
      <c r="B689" s="5" t="s">
        <v>826</v>
      </c>
      <c r="C689" s="5" t="s">
        <v>21</v>
      </c>
      <c r="D689" s="5" t="s">
        <v>22</v>
      </c>
      <c r="E689" s="6" t="s">
        <v>180</v>
      </c>
      <c r="F689" s="5" t="s">
        <v>166</v>
      </c>
      <c r="G689" s="5" t="s">
        <v>25</v>
      </c>
      <c r="H689" s="5" t="s">
        <v>26</v>
      </c>
      <c r="I689" s="5" t="s">
        <v>27</v>
      </c>
      <c r="J689" s="5" t="s">
        <v>28</v>
      </c>
      <c r="K689" s="5" t="s">
        <v>149</v>
      </c>
      <c r="L689" s="7">
        <v>4595.54</v>
      </c>
      <c r="M689" s="5">
        <v>16</v>
      </c>
      <c r="N689" s="7">
        <v>73528.639999999999</v>
      </c>
      <c r="O689" s="8">
        <v>1.5</v>
      </c>
      <c r="P689" s="7">
        <v>72425.710000000006</v>
      </c>
      <c r="Q689" s="8">
        <v>46.3</v>
      </c>
      <c r="R689" s="7">
        <v>33533.1</v>
      </c>
      <c r="S689" s="5" t="s">
        <v>79</v>
      </c>
    </row>
    <row r="690" spans="1:19" x14ac:dyDescent="0.3">
      <c r="A690" s="1" t="s">
        <v>1127</v>
      </c>
      <c r="B690" s="1" t="s">
        <v>1128</v>
      </c>
      <c r="C690" s="1" t="s">
        <v>59</v>
      </c>
      <c r="D690" s="1" t="s">
        <v>60</v>
      </c>
      <c r="E690" s="2" t="s">
        <v>82</v>
      </c>
      <c r="F690" s="1" t="s">
        <v>24</v>
      </c>
      <c r="G690" s="1" t="s">
        <v>63</v>
      </c>
      <c r="H690" s="1" t="s">
        <v>167</v>
      </c>
      <c r="I690" s="1" t="s">
        <v>72</v>
      </c>
      <c r="J690" s="1" t="s">
        <v>28</v>
      </c>
      <c r="K690" s="1" t="s">
        <v>29</v>
      </c>
      <c r="L690" s="3">
        <v>66739.789999999994</v>
      </c>
      <c r="M690" s="1">
        <v>2</v>
      </c>
      <c r="N690" s="3">
        <v>133479.57999999999</v>
      </c>
      <c r="O690" s="4">
        <v>1.3</v>
      </c>
      <c r="P690" s="3">
        <v>131744.35</v>
      </c>
      <c r="Q690" s="4">
        <v>15.6</v>
      </c>
      <c r="R690" s="3">
        <v>20552.12</v>
      </c>
      <c r="S690" s="1" t="s">
        <v>40</v>
      </c>
    </row>
    <row r="691" spans="1:19" x14ac:dyDescent="0.3">
      <c r="A691" s="5" t="s">
        <v>1129</v>
      </c>
      <c r="B691" s="5" t="s">
        <v>251</v>
      </c>
      <c r="C691" s="5" t="s">
        <v>85</v>
      </c>
      <c r="D691" s="5" t="s">
        <v>86</v>
      </c>
      <c r="E691" s="6" t="s">
        <v>224</v>
      </c>
      <c r="F691" s="5" t="s">
        <v>166</v>
      </c>
      <c r="G691" s="5" t="s">
        <v>53</v>
      </c>
      <c r="H691" s="5" t="s">
        <v>71</v>
      </c>
      <c r="I691" s="5" t="s">
        <v>27</v>
      </c>
      <c r="J691" s="5" t="s">
        <v>47</v>
      </c>
      <c r="K691" s="5" t="s">
        <v>159</v>
      </c>
      <c r="L691" s="7">
        <v>4565.68</v>
      </c>
      <c r="M691" s="5">
        <v>9</v>
      </c>
      <c r="N691" s="7">
        <v>41091.120000000003</v>
      </c>
      <c r="O691" s="8">
        <v>19.7</v>
      </c>
      <c r="P691" s="7">
        <v>32996.17</v>
      </c>
      <c r="Q691" s="8">
        <v>39.5</v>
      </c>
      <c r="R691" s="7">
        <v>13033.49</v>
      </c>
      <c r="S691" s="5" t="s">
        <v>40</v>
      </c>
    </row>
    <row r="692" spans="1:19" x14ac:dyDescent="0.3">
      <c r="A692" s="1" t="s">
        <v>1130</v>
      </c>
      <c r="B692" s="1" t="s">
        <v>1131</v>
      </c>
      <c r="C692" s="1" t="s">
        <v>33</v>
      </c>
      <c r="D692" s="1" t="s">
        <v>22</v>
      </c>
      <c r="E692" s="2" t="s">
        <v>177</v>
      </c>
      <c r="F692" s="1" t="s">
        <v>166</v>
      </c>
      <c r="G692" s="1" t="s">
        <v>25</v>
      </c>
      <c r="H692" s="1" t="s">
        <v>26</v>
      </c>
      <c r="I692" s="1" t="s">
        <v>27</v>
      </c>
      <c r="J692" s="1" t="s">
        <v>47</v>
      </c>
      <c r="K692" s="1" t="s">
        <v>159</v>
      </c>
      <c r="L692" s="3">
        <v>4137.68</v>
      </c>
      <c r="M692" s="1">
        <v>21</v>
      </c>
      <c r="N692" s="3">
        <v>86891.28</v>
      </c>
      <c r="O692" s="4">
        <v>18.2</v>
      </c>
      <c r="P692" s="3">
        <v>71077.070000000007</v>
      </c>
      <c r="Q692" s="4">
        <v>60.3</v>
      </c>
      <c r="R692" s="3">
        <v>42859.47</v>
      </c>
      <c r="S692" s="1" t="s">
        <v>30</v>
      </c>
    </row>
    <row r="693" spans="1:19" x14ac:dyDescent="0.3">
      <c r="A693" s="5" t="s">
        <v>1132</v>
      </c>
      <c r="B693" s="5" t="s">
        <v>219</v>
      </c>
      <c r="C693" s="5" t="s">
        <v>101</v>
      </c>
      <c r="D693" s="5" t="s">
        <v>60</v>
      </c>
      <c r="E693" s="6" t="s">
        <v>44</v>
      </c>
      <c r="F693" s="5" t="s">
        <v>45</v>
      </c>
      <c r="G693" s="5" t="s">
        <v>53</v>
      </c>
      <c r="H693" s="5" t="s">
        <v>71</v>
      </c>
      <c r="I693" s="5" t="s">
        <v>72</v>
      </c>
      <c r="J693" s="5" t="s">
        <v>93</v>
      </c>
      <c r="K693" s="5" t="s">
        <v>29</v>
      </c>
      <c r="L693" s="7">
        <v>1497.28</v>
      </c>
      <c r="M693" s="5">
        <v>9</v>
      </c>
      <c r="N693" s="7">
        <v>13475.52</v>
      </c>
      <c r="O693" s="8">
        <v>7.1</v>
      </c>
      <c r="P693" s="7">
        <v>12518.76</v>
      </c>
      <c r="Q693" s="8">
        <v>41.3</v>
      </c>
      <c r="R693" s="7">
        <v>5170.25</v>
      </c>
      <c r="S693" s="5" t="s">
        <v>40</v>
      </c>
    </row>
    <row r="694" spans="1:19" x14ac:dyDescent="0.3">
      <c r="A694" s="1" t="s">
        <v>1133</v>
      </c>
      <c r="B694" s="1" t="s">
        <v>770</v>
      </c>
      <c r="C694" s="1" t="s">
        <v>85</v>
      </c>
      <c r="D694" s="1" t="s">
        <v>86</v>
      </c>
      <c r="E694" s="2" t="s">
        <v>174</v>
      </c>
      <c r="F694" s="1" t="s">
        <v>45</v>
      </c>
      <c r="G694" s="1" t="s">
        <v>109</v>
      </c>
      <c r="H694" s="1" t="s">
        <v>110</v>
      </c>
      <c r="I694" s="1" t="s">
        <v>27</v>
      </c>
      <c r="J694" s="1" t="s">
        <v>65</v>
      </c>
      <c r="K694" s="1" t="s">
        <v>149</v>
      </c>
      <c r="L694" s="3">
        <v>806.4</v>
      </c>
      <c r="M694" s="1">
        <v>22</v>
      </c>
      <c r="N694" s="3">
        <v>17740.8</v>
      </c>
      <c r="O694" s="4">
        <v>15.2</v>
      </c>
      <c r="P694" s="3">
        <v>15044.2</v>
      </c>
      <c r="Q694" s="4">
        <v>33.299999999999997</v>
      </c>
      <c r="R694" s="3">
        <v>5009.72</v>
      </c>
      <c r="S694" s="1" t="s">
        <v>112</v>
      </c>
    </row>
    <row r="695" spans="1:19" x14ac:dyDescent="0.3">
      <c r="A695" s="5" t="s">
        <v>1134</v>
      </c>
      <c r="B695" s="5" t="s">
        <v>845</v>
      </c>
      <c r="C695" s="5" t="s">
        <v>21</v>
      </c>
      <c r="D695" s="5" t="s">
        <v>22</v>
      </c>
      <c r="E695" s="6" t="s">
        <v>177</v>
      </c>
      <c r="F695" s="5" t="s">
        <v>166</v>
      </c>
      <c r="G695" s="5" t="s">
        <v>53</v>
      </c>
      <c r="H695" s="5" t="s">
        <v>77</v>
      </c>
      <c r="I695" s="5" t="s">
        <v>47</v>
      </c>
      <c r="J695" s="5" t="s">
        <v>65</v>
      </c>
      <c r="K695" s="5" t="s">
        <v>56</v>
      </c>
      <c r="L695" s="7">
        <v>1531.19</v>
      </c>
      <c r="M695" s="5">
        <v>11</v>
      </c>
      <c r="N695" s="7">
        <v>16843.09</v>
      </c>
      <c r="O695" s="8">
        <v>2.8</v>
      </c>
      <c r="P695" s="7">
        <v>16371.48</v>
      </c>
      <c r="Q695" s="8">
        <v>46.7</v>
      </c>
      <c r="R695" s="7">
        <v>7645.48</v>
      </c>
      <c r="S695" s="5" t="s">
        <v>30</v>
      </c>
    </row>
    <row r="696" spans="1:19" x14ac:dyDescent="0.3">
      <c r="A696" s="1" t="s">
        <v>1135</v>
      </c>
      <c r="B696" s="1" t="s">
        <v>952</v>
      </c>
      <c r="C696" s="1" t="s">
        <v>131</v>
      </c>
      <c r="D696" s="1" t="s">
        <v>69</v>
      </c>
      <c r="E696" s="2" t="s">
        <v>61</v>
      </c>
      <c r="F696" s="1" t="s">
        <v>62</v>
      </c>
      <c r="G696" s="1" t="s">
        <v>25</v>
      </c>
      <c r="H696" s="1" t="s">
        <v>26</v>
      </c>
      <c r="I696" s="1" t="s">
        <v>38</v>
      </c>
      <c r="J696" s="1" t="s">
        <v>28</v>
      </c>
      <c r="K696" s="1" t="s">
        <v>39</v>
      </c>
      <c r="L696" s="3">
        <v>3302.66</v>
      </c>
      <c r="M696" s="1">
        <v>22</v>
      </c>
      <c r="N696" s="3">
        <v>72658.52</v>
      </c>
      <c r="O696" s="4">
        <v>12.4</v>
      </c>
      <c r="P696" s="3">
        <v>63648.86</v>
      </c>
      <c r="Q696" s="4">
        <v>55.6</v>
      </c>
      <c r="R696" s="3">
        <v>35388.769999999997</v>
      </c>
      <c r="S696" s="1" t="s">
        <v>40</v>
      </c>
    </row>
    <row r="697" spans="1:19" x14ac:dyDescent="0.3">
      <c r="A697" s="5" t="s">
        <v>1136</v>
      </c>
      <c r="B697" s="5" t="s">
        <v>725</v>
      </c>
      <c r="C697" s="5" t="s">
        <v>101</v>
      </c>
      <c r="D697" s="5" t="s">
        <v>60</v>
      </c>
      <c r="E697" s="6" t="s">
        <v>82</v>
      </c>
      <c r="F697" s="5" t="s">
        <v>24</v>
      </c>
      <c r="G697" s="5" t="s">
        <v>25</v>
      </c>
      <c r="H697" s="5" t="s">
        <v>215</v>
      </c>
      <c r="I697" s="5" t="s">
        <v>27</v>
      </c>
      <c r="J697" s="5" t="s">
        <v>28</v>
      </c>
      <c r="K697" s="5" t="s">
        <v>88</v>
      </c>
      <c r="L697" s="7">
        <v>61239.22</v>
      </c>
      <c r="M697" s="5">
        <v>17</v>
      </c>
      <c r="N697" s="7">
        <v>1041066.74</v>
      </c>
      <c r="O697" s="8">
        <v>8.4</v>
      </c>
      <c r="P697" s="7">
        <v>953617.13</v>
      </c>
      <c r="Q697" s="8">
        <v>19.8</v>
      </c>
      <c r="R697" s="7">
        <v>188816.19</v>
      </c>
      <c r="S697" s="5" t="s">
        <v>79</v>
      </c>
    </row>
    <row r="698" spans="1:19" x14ac:dyDescent="0.3">
      <c r="A698" s="1" t="s">
        <v>1137</v>
      </c>
      <c r="B698" s="1" t="s">
        <v>521</v>
      </c>
      <c r="C698" s="1" t="s">
        <v>101</v>
      </c>
      <c r="D698" s="1" t="s">
        <v>60</v>
      </c>
      <c r="E698" s="2" t="s">
        <v>158</v>
      </c>
      <c r="F698" s="1" t="s">
        <v>35</v>
      </c>
      <c r="G698" s="1" t="s">
        <v>53</v>
      </c>
      <c r="H698" s="1" t="s">
        <v>71</v>
      </c>
      <c r="I698" s="1" t="s">
        <v>55</v>
      </c>
      <c r="J698" s="1" t="s">
        <v>28</v>
      </c>
      <c r="K698" s="1" t="s">
        <v>56</v>
      </c>
      <c r="L698" s="3">
        <v>36744.94</v>
      </c>
      <c r="M698" s="1">
        <v>13</v>
      </c>
      <c r="N698" s="3">
        <v>477684.22</v>
      </c>
      <c r="O698" s="4">
        <v>10.6</v>
      </c>
      <c r="P698" s="3">
        <v>427049.69</v>
      </c>
      <c r="Q698" s="4">
        <v>35.700000000000003</v>
      </c>
      <c r="R698" s="3">
        <v>152456.74</v>
      </c>
      <c r="S698" s="1" t="s">
        <v>40</v>
      </c>
    </row>
    <row r="699" spans="1:19" x14ac:dyDescent="0.3">
      <c r="A699" s="5" t="s">
        <v>1138</v>
      </c>
      <c r="B699" s="5" t="s">
        <v>308</v>
      </c>
      <c r="C699" s="5" t="s">
        <v>135</v>
      </c>
      <c r="D699" s="5" t="s">
        <v>69</v>
      </c>
      <c r="E699" s="6" t="s">
        <v>346</v>
      </c>
      <c r="F699" s="5" t="s">
        <v>35</v>
      </c>
      <c r="G699" s="5" t="s">
        <v>36</v>
      </c>
      <c r="H699" s="5" t="s">
        <v>37</v>
      </c>
      <c r="I699" s="5" t="s">
        <v>47</v>
      </c>
      <c r="J699" s="5" t="s">
        <v>47</v>
      </c>
      <c r="K699" s="5" t="s">
        <v>149</v>
      </c>
      <c r="L699" s="7">
        <v>42496.23</v>
      </c>
      <c r="M699" s="5">
        <v>2</v>
      </c>
      <c r="N699" s="7">
        <v>84992.46</v>
      </c>
      <c r="O699" s="8">
        <v>2.9</v>
      </c>
      <c r="P699" s="7">
        <v>82527.679999999993</v>
      </c>
      <c r="Q699" s="8">
        <v>51.6</v>
      </c>
      <c r="R699" s="7">
        <v>42584.28</v>
      </c>
      <c r="S699" s="5" t="s">
        <v>30</v>
      </c>
    </row>
    <row r="700" spans="1:19" x14ac:dyDescent="0.3">
      <c r="A700" s="1" t="s">
        <v>1139</v>
      </c>
      <c r="B700" s="1" t="s">
        <v>515</v>
      </c>
      <c r="C700" s="1" t="s">
        <v>21</v>
      </c>
      <c r="D700" s="1" t="s">
        <v>22</v>
      </c>
      <c r="E700" s="2" t="s">
        <v>158</v>
      </c>
      <c r="F700" s="1" t="s">
        <v>35</v>
      </c>
      <c r="G700" s="1" t="s">
        <v>63</v>
      </c>
      <c r="H700" s="1" t="s">
        <v>64</v>
      </c>
      <c r="I700" s="1" t="s">
        <v>72</v>
      </c>
      <c r="J700" s="1" t="s">
        <v>93</v>
      </c>
      <c r="K700" s="1" t="s">
        <v>159</v>
      </c>
      <c r="L700" s="3">
        <v>44546.8</v>
      </c>
      <c r="M700" s="1">
        <v>25</v>
      </c>
      <c r="N700" s="3">
        <v>1113670</v>
      </c>
      <c r="O700" s="4">
        <v>19.2</v>
      </c>
      <c r="P700" s="3">
        <v>899845.36</v>
      </c>
      <c r="Q700" s="4">
        <v>37.799999999999997</v>
      </c>
      <c r="R700" s="3">
        <v>340141.55</v>
      </c>
      <c r="S700" s="1" t="s">
        <v>40</v>
      </c>
    </row>
    <row r="701" spans="1:19" x14ac:dyDescent="0.3">
      <c r="A701" s="5" t="s">
        <v>1140</v>
      </c>
      <c r="B701" s="5" t="s">
        <v>353</v>
      </c>
      <c r="C701" s="5" t="s">
        <v>68</v>
      </c>
      <c r="D701" s="5" t="s">
        <v>69</v>
      </c>
      <c r="E701" s="6" t="s">
        <v>108</v>
      </c>
      <c r="F701" s="5" t="s">
        <v>35</v>
      </c>
      <c r="G701" s="5" t="s">
        <v>63</v>
      </c>
      <c r="H701" s="5" t="s">
        <v>64</v>
      </c>
      <c r="I701" s="5" t="s">
        <v>55</v>
      </c>
      <c r="J701" s="5" t="s">
        <v>28</v>
      </c>
      <c r="K701" s="5" t="s">
        <v>39</v>
      </c>
      <c r="L701" s="7">
        <v>34220.39</v>
      </c>
      <c r="M701" s="5">
        <v>6</v>
      </c>
      <c r="N701" s="7">
        <v>205322.34</v>
      </c>
      <c r="O701" s="8">
        <v>19.899999999999999</v>
      </c>
      <c r="P701" s="7">
        <v>164463.19</v>
      </c>
      <c r="Q701" s="8">
        <v>46.6</v>
      </c>
      <c r="R701" s="7">
        <v>76639.850000000006</v>
      </c>
      <c r="S701" s="5" t="s">
        <v>112</v>
      </c>
    </row>
    <row r="702" spans="1:19" x14ac:dyDescent="0.3">
      <c r="A702" s="1" t="s">
        <v>1141</v>
      </c>
      <c r="B702" s="1" t="s">
        <v>552</v>
      </c>
      <c r="C702" s="1" t="s">
        <v>135</v>
      </c>
      <c r="D702" s="1" t="s">
        <v>69</v>
      </c>
      <c r="E702" s="2" t="s">
        <v>165</v>
      </c>
      <c r="F702" s="1" t="s">
        <v>166</v>
      </c>
      <c r="G702" s="1" t="s">
        <v>109</v>
      </c>
      <c r="H702" s="1" t="s">
        <v>122</v>
      </c>
      <c r="I702" s="1" t="s">
        <v>27</v>
      </c>
      <c r="J702" s="1" t="s">
        <v>28</v>
      </c>
      <c r="K702" s="1" t="s">
        <v>78</v>
      </c>
      <c r="L702" s="3">
        <v>1356.95</v>
      </c>
      <c r="M702" s="1">
        <v>6</v>
      </c>
      <c r="N702" s="3">
        <v>8141.7</v>
      </c>
      <c r="O702" s="4">
        <v>13.6</v>
      </c>
      <c r="P702" s="3">
        <v>7034.43</v>
      </c>
      <c r="Q702" s="4">
        <v>52.4</v>
      </c>
      <c r="R702" s="3">
        <v>3686.04</v>
      </c>
      <c r="S702" s="1" t="s">
        <v>40</v>
      </c>
    </row>
    <row r="703" spans="1:19" x14ac:dyDescent="0.3">
      <c r="A703" s="5" t="s">
        <v>1142</v>
      </c>
      <c r="B703" s="5" t="s">
        <v>1064</v>
      </c>
      <c r="C703" s="5" t="s">
        <v>43</v>
      </c>
      <c r="D703" s="5" t="s">
        <v>22</v>
      </c>
      <c r="E703" s="6" t="s">
        <v>145</v>
      </c>
      <c r="F703" s="5" t="s">
        <v>62</v>
      </c>
      <c r="G703" s="5" t="s">
        <v>36</v>
      </c>
      <c r="H703" s="5" t="s">
        <v>105</v>
      </c>
      <c r="I703" s="5" t="s">
        <v>55</v>
      </c>
      <c r="J703" s="5" t="s">
        <v>93</v>
      </c>
      <c r="K703" s="5" t="s">
        <v>88</v>
      </c>
      <c r="L703" s="7">
        <v>3402.63</v>
      </c>
      <c r="M703" s="5">
        <v>9</v>
      </c>
      <c r="N703" s="7">
        <v>30623.67</v>
      </c>
      <c r="O703" s="8">
        <v>10.7</v>
      </c>
      <c r="P703" s="7">
        <v>27346.94</v>
      </c>
      <c r="Q703" s="8">
        <v>62.3</v>
      </c>
      <c r="R703" s="7">
        <v>17037.14</v>
      </c>
      <c r="S703" s="5" t="s">
        <v>40</v>
      </c>
    </row>
    <row r="704" spans="1:19" x14ac:dyDescent="0.3">
      <c r="A704" s="1" t="s">
        <v>1143</v>
      </c>
      <c r="B704" s="1" t="s">
        <v>1060</v>
      </c>
      <c r="C704" s="1" t="s">
        <v>101</v>
      </c>
      <c r="D704" s="1" t="s">
        <v>60</v>
      </c>
      <c r="E704" s="2" t="s">
        <v>139</v>
      </c>
      <c r="F704" s="1" t="s">
        <v>45</v>
      </c>
      <c r="G704" s="1" t="s">
        <v>25</v>
      </c>
      <c r="H704" s="1" t="s">
        <v>132</v>
      </c>
      <c r="I704" s="1" t="s">
        <v>55</v>
      </c>
      <c r="J704" s="1" t="s">
        <v>65</v>
      </c>
      <c r="K704" s="1" t="s">
        <v>102</v>
      </c>
      <c r="L704" s="3">
        <v>349.94</v>
      </c>
      <c r="M704" s="1">
        <v>12</v>
      </c>
      <c r="N704" s="3">
        <v>4199.28</v>
      </c>
      <c r="O704" s="4">
        <v>10.9</v>
      </c>
      <c r="P704" s="3">
        <v>3741.56</v>
      </c>
      <c r="Q704" s="4">
        <v>19.2</v>
      </c>
      <c r="R704" s="3">
        <v>718.38</v>
      </c>
      <c r="S704" s="1" t="s">
        <v>30</v>
      </c>
    </row>
    <row r="705" spans="1:19" x14ac:dyDescent="0.3">
      <c r="A705" s="5" t="s">
        <v>1144</v>
      </c>
      <c r="B705" s="5" t="s">
        <v>683</v>
      </c>
      <c r="C705" s="5" t="s">
        <v>85</v>
      </c>
      <c r="D705" s="5" t="s">
        <v>86</v>
      </c>
      <c r="E705" s="6" t="s">
        <v>142</v>
      </c>
      <c r="F705" s="5" t="s">
        <v>24</v>
      </c>
      <c r="G705" s="5" t="s">
        <v>109</v>
      </c>
      <c r="H705" s="5" t="s">
        <v>122</v>
      </c>
      <c r="I705" s="5" t="s">
        <v>47</v>
      </c>
      <c r="J705" s="5" t="s">
        <v>28</v>
      </c>
      <c r="K705" s="5" t="s">
        <v>88</v>
      </c>
      <c r="L705" s="7">
        <v>26677.06</v>
      </c>
      <c r="M705" s="5">
        <v>25</v>
      </c>
      <c r="N705" s="7">
        <v>666926.5</v>
      </c>
      <c r="O705" s="8">
        <v>11</v>
      </c>
      <c r="P705" s="7">
        <v>593564.57999999996</v>
      </c>
      <c r="Q705" s="8">
        <v>25.9</v>
      </c>
      <c r="R705" s="7">
        <v>153733.23000000001</v>
      </c>
      <c r="S705" s="5" t="s">
        <v>79</v>
      </c>
    </row>
    <row r="706" spans="1:19" x14ac:dyDescent="0.3">
      <c r="A706" s="1" t="s">
        <v>1145</v>
      </c>
      <c r="B706" s="1" t="s">
        <v>515</v>
      </c>
      <c r="C706" s="1" t="s">
        <v>21</v>
      </c>
      <c r="D706" s="1" t="s">
        <v>22</v>
      </c>
      <c r="E706" s="2" t="s">
        <v>303</v>
      </c>
      <c r="F706" s="1" t="s">
        <v>62</v>
      </c>
      <c r="G706" s="1" t="s">
        <v>109</v>
      </c>
      <c r="H706" s="1" t="s">
        <v>122</v>
      </c>
      <c r="I706" s="1" t="s">
        <v>38</v>
      </c>
      <c r="J706" s="1" t="s">
        <v>65</v>
      </c>
      <c r="K706" s="1" t="s">
        <v>102</v>
      </c>
      <c r="L706" s="3">
        <v>263.75</v>
      </c>
      <c r="M706" s="1">
        <v>16</v>
      </c>
      <c r="N706" s="3">
        <v>4220</v>
      </c>
      <c r="O706" s="4">
        <v>0.3</v>
      </c>
      <c r="P706" s="3">
        <v>4207.34</v>
      </c>
      <c r="Q706" s="4">
        <v>64.2</v>
      </c>
      <c r="R706" s="3">
        <v>2701.11</v>
      </c>
      <c r="S706" s="1" t="s">
        <v>79</v>
      </c>
    </row>
    <row r="707" spans="1:19" x14ac:dyDescent="0.3">
      <c r="A707" s="5" t="s">
        <v>1146</v>
      </c>
      <c r="B707" s="5" t="s">
        <v>1147</v>
      </c>
      <c r="C707" s="5" t="s">
        <v>96</v>
      </c>
      <c r="D707" s="5" t="s">
        <v>86</v>
      </c>
      <c r="E707" s="6" t="s">
        <v>184</v>
      </c>
      <c r="F707" s="5" t="s">
        <v>45</v>
      </c>
      <c r="G707" s="5" t="s">
        <v>63</v>
      </c>
      <c r="H707" s="5" t="s">
        <v>64</v>
      </c>
      <c r="I707" s="5" t="s">
        <v>55</v>
      </c>
      <c r="J707" s="5" t="s">
        <v>65</v>
      </c>
      <c r="K707" s="5" t="s">
        <v>102</v>
      </c>
      <c r="L707" s="7">
        <v>1425.86</v>
      </c>
      <c r="M707" s="5">
        <v>7</v>
      </c>
      <c r="N707" s="7">
        <v>9981.02</v>
      </c>
      <c r="O707" s="8">
        <v>3.8</v>
      </c>
      <c r="P707" s="7">
        <v>9601.74</v>
      </c>
      <c r="Q707" s="8">
        <v>30.6</v>
      </c>
      <c r="R707" s="7">
        <v>2938.13</v>
      </c>
      <c r="S707" s="5" t="s">
        <v>40</v>
      </c>
    </row>
    <row r="708" spans="1:19" x14ac:dyDescent="0.3">
      <c r="A708" s="1" t="s">
        <v>1148</v>
      </c>
      <c r="B708" s="1" t="s">
        <v>161</v>
      </c>
      <c r="C708" s="1" t="s">
        <v>21</v>
      </c>
      <c r="D708" s="1" t="s">
        <v>22</v>
      </c>
      <c r="E708" s="2" t="s">
        <v>118</v>
      </c>
      <c r="F708" s="1" t="s">
        <v>62</v>
      </c>
      <c r="G708" s="1" t="s">
        <v>36</v>
      </c>
      <c r="H708" s="1" t="s">
        <v>105</v>
      </c>
      <c r="I708" s="1" t="s">
        <v>55</v>
      </c>
      <c r="J708" s="1" t="s">
        <v>47</v>
      </c>
      <c r="K708" s="1" t="s">
        <v>78</v>
      </c>
      <c r="L708" s="3">
        <v>2757.81</v>
      </c>
      <c r="M708" s="1">
        <v>18</v>
      </c>
      <c r="N708" s="3">
        <v>49640.58</v>
      </c>
      <c r="O708" s="4">
        <v>6.9</v>
      </c>
      <c r="P708" s="3">
        <v>46215.38</v>
      </c>
      <c r="Q708" s="4">
        <v>66.599999999999994</v>
      </c>
      <c r="R708" s="3">
        <v>30779.439999999999</v>
      </c>
      <c r="S708" s="1" t="s">
        <v>40</v>
      </c>
    </row>
    <row r="709" spans="1:19" x14ac:dyDescent="0.3">
      <c r="A709" s="5" t="s">
        <v>1149</v>
      </c>
      <c r="B709" s="5" t="s">
        <v>302</v>
      </c>
      <c r="C709" s="5" t="s">
        <v>75</v>
      </c>
      <c r="D709" s="5" t="s">
        <v>60</v>
      </c>
      <c r="E709" s="6" t="s">
        <v>70</v>
      </c>
      <c r="F709" s="5" t="s">
        <v>24</v>
      </c>
      <c r="G709" s="5" t="s">
        <v>63</v>
      </c>
      <c r="H709" s="5" t="s">
        <v>87</v>
      </c>
      <c r="I709" s="5" t="s">
        <v>55</v>
      </c>
      <c r="J709" s="5" t="s">
        <v>65</v>
      </c>
      <c r="K709" s="5" t="s">
        <v>111</v>
      </c>
      <c r="L709" s="7">
        <v>28890.44</v>
      </c>
      <c r="M709" s="5">
        <v>19</v>
      </c>
      <c r="N709" s="7">
        <v>548918.36</v>
      </c>
      <c r="O709" s="8">
        <v>17.5</v>
      </c>
      <c r="P709" s="7">
        <v>452857.65</v>
      </c>
      <c r="Q709" s="8">
        <v>24</v>
      </c>
      <c r="R709" s="7">
        <v>108685.84</v>
      </c>
      <c r="S709" s="5" t="s">
        <v>40</v>
      </c>
    </row>
    <row r="710" spans="1:19" x14ac:dyDescent="0.3">
      <c r="A710" s="1" t="s">
        <v>1150</v>
      </c>
      <c r="B710" s="1" t="s">
        <v>1151</v>
      </c>
      <c r="C710" s="1" t="s">
        <v>33</v>
      </c>
      <c r="D710" s="1" t="s">
        <v>22</v>
      </c>
      <c r="E710" s="2" t="s">
        <v>34</v>
      </c>
      <c r="F710" s="1" t="s">
        <v>35</v>
      </c>
      <c r="G710" s="1" t="s">
        <v>63</v>
      </c>
      <c r="H710" s="1" t="s">
        <v>64</v>
      </c>
      <c r="I710" s="1" t="s">
        <v>38</v>
      </c>
      <c r="J710" s="1" t="s">
        <v>28</v>
      </c>
      <c r="K710" s="1" t="s">
        <v>48</v>
      </c>
      <c r="L710" s="3">
        <v>41620.949999999997</v>
      </c>
      <c r="M710" s="1">
        <v>16</v>
      </c>
      <c r="N710" s="3">
        <v>665935.19999999995</v>
      </c>
      <c r="O710" s="4">
        <v>7.5</v>
      </c>
      <c r="P710" s="3">
        <v>615990.06000000006</v>
      </c>
      <c r="Q710" s="4">
        <v>40.299999999999997</v>
      </c>
      <c r="R710" s="3">
        <v>248243.99</v>
      </c>
      <c r="S710" s="1" t="s">
        <v>40</v>
      </c>
    </row>
    <row r="711" spans="1:19" x14ac:dyDescent="0.3">
      <c r="A711" s="5" t="s">
        <v>1152</v>
      </c>
      <c r="B711" s="5" t="s">
        <v>1131</v>
      </c>
      <c r="C711" s="5" t="s">
        <v>33</v>
      </c>
      <c r="D711" s="5" t="s">
        <v>22</v>
      </c>
      <c r="E711" s="6" t="s">
        <v>108</v>
      </c>
      <c r="F711" s="5" t="s">
        <v>35</v>
      </c>
      <c r="G711" s="5" t="s">
        <v>63</v>
      </c>
      <c r="H711" s="5" t="s">
        <v>64</v>
      </c>
      <c r="I711" s="5" t="s">
        <v>72</v>
      </c>
      <c r="J711" s="5" t="s">
        <v>93</v>
      </c>
      <c r="K711" s="5" t="s">
        <v>39</v>
      </c>
      <c r="L711" s="7">
        <v>5326.12</v>
      </c>
      <c r="M711" s="5">
        <v>21</v>
      </c>
      <c r="N711" s="7">
        <v>111848.52</v>
      </c>
      <c r="O711" s="8">
        <v>23.4</v>
      </c>
      <c r="P711" s="7">
        <v>85675.97</v>
      </c>
      <c r="Q711" s="8">
        <v>28.7</v>
      </c>
      <c r="R711" s="7">
        <v>24589</v>
      </c>
      <c r="S711" s="5" t="s">
        <v>112</v>
      </c>
    </row>
    <row r="712" spans="1:19" x14ac:dyDescent="0.3">
      <c r="A712" s="1" t="s">
        <v>1153</v>
      </c>
      <c r="B712" s="1" t="s">
        <v>777</v>
      </c>
      <c r="C712" s="1" t="s">
        <v>117</v>
      </c>
      <c r="D712" s="1" t="s">
        <v>86</v>
      </c>
      <c r="E712" s="2" t="s">
        <v>306</v>
      </c>
      <c r="F712" s="1" t="s">
        <v>35</v>
      </c>
      <c r="G712" s="1" t="s">
        <v>36</v>
      </c>
      <c r="H712" s="1" t="s">
        <v>119</v>
      </c>
      <c r="I712" s="1" t="s">
        <v>27</v>
      </c>
      <c r="J712" s="1" t="s">
        <v>65</v>
      </c>
      <c r="K712" s="1" t="s">
        <v>102</v>
      </c>
      <c r="L712" s="3">
        <v>10085.94</v>
      </c>
      <c r="M712" s="1">
        <v>19</v>
      </c>
      <c r="N712" s="3">
        <v>191632.86</v>
      </c>
      <c r="O712" s="4">
        <v>9.3000000000000007</v>
      </c>
      <c r="P712" s="3">
        <v>173811</v>
      </c>
      <c r="Q712" s="4">
        <v>29.3</v>
      </c>
      <c r="R712" s="3">
        <v>50926.62</v>
      </c>
      <c r="S712" s="1" t="s">
        <v>40</v>
      </c>
    </row>
    <row r="713" spans="1:19" x14ac:dyDescent="0.3">
      <c r="A713" s="5" t="s">
        <v>1154</v>
      </c>
      <c r="B713" s="5" t="s">
        <v>269</v>
      </c>
      <c r="C713" s="5" t="s">
        <v>131</v>
      </c>
      <c r="D713" s="5" t="s">
        <v>69</v>
      </c>
      <c r="E713" s="6" t="s">
        <v>108</v>
      </c>
      <c r="F713" s="5" t="s">
        <v>35</v>
      </c>
      <c r="G713" s="5" t="s">
        <v>25</v>
      </c>
      <c r="H713" s="5" t="s">
        <v>46</v>
      </c>
      <c r="I713" s="5" t="s">
        <v>27</v>
      </c>
      <c r="J713" s="5" t="s">
        <v>93</v>
      </c>
      <c r="K713" s="5" t="s">
        <v>111</v>
      </c>
      <c r="L713" s="7">
        <v>36381.120000000003</v>
      </c>
      <c r="M713" s="5">
        <v>9</v>
      </c>
      <c r="N713" s="7">
        <v>327430.08</v>
      </c>
      <c r="O713" s="8">
        <v>3.1</v>
      </c>
      <c r="P713" s="7">
        <v>317279.75</v>
      </c>
      <c r="Q713" s="8">
        <v>28</v>
      </c>
      <c r="R713" s="7">
        <v>88838.33</v>
      </c>
      <c r="S713" s="5" t="s">
        <v>40</v>
      </c>
    </row>
    <row r="714" spans="1:19" x14ac:dyDescent="0.3">
      <c r="A714" s="1" t="s">
        <v>1155</v>
      </c>
      <c r="B714" s="1" t="s">
        <v>798</v>
      </c>
      <c r="C714" s="1" t="s">
        <v>117</v>
      </c>
      <c r="D714" s="1" t="s">
        <v>86</v>
      </c>
      <c r="E714" s="2" t="s">
        <v>158</v>
      </c>
      <c r="F714" s="1" t="s">
        <v>35</v>
      </c>
      <c r="G714" s="1" t="s">
        <v>25</v>
      </c>
      <c r="H714" s="1" t="s">
        <v>46</v>
      </c>
      <c r="I714" s="1" t="s">
        <v>55</v>
      </c>
      <c r="J714" s="1" t="s">
        <v>28</v>
      </c>
      <c r="K714" s="1" t="s">
        <v>39</v>
      </c>
      <c r="L714" s="3">
        <v>20198.13</v>
      </c>
      <c r="M714" s="1">
        <v>13</v>
      </c>
      <c r="N714" s="3">
        <v>262575.69</v>
      </c>
      <c r="O714" s="4">
        <v>2.7</v>
      </c>
      <c r="P714" s="3">
        <v>255486.15</v>
      </c>
      <c r="Q714" s="4">
        <v>47.2</v>
      </c>
      <c r="R714" s="3">
        <v>120589.46</v>
      </c>
      <c r="S714" s="1" t="s">
        <v>40</v>
      </c>
    </row>
    <row r="715" spans="1:19" x14ac:dyDescent="0.3">
      <c r="A715" s="5" t="s">
        <v>1156</v>
      </c>
      <c r="B715" s="5" t="s">
        <v>210</v>
      </c>
      <c r="C715" s="5" t="s">
        <v>33</v>
      </c>
      <c r="D715" s="5" t="s">
        <v>22</v>
      </c>
      <c r="E715" s="6" t="s">
        <v>108</v>
      </c>
      <c r="F715" s="5" t="s">
        <v>35</v>
      </c>
      <c r="G715" s="5" t="s">
        <v>25</v>
      </c>
      <c r="H715" s="5" t="s">
        <v>46</v>
      </c>
      <c r="I715" s="5" t="s">
        <v>72</v>
      </c>
      <c r="J715" s="5" t="s">
        <v>47</v>
      </c>
      <c r="K715" s="5" t="s">
        <v>88</v>
      </c>
      <c r="L715" s="7">
        <v>28626.32</v>
      </c>
      <c r="M715" s="5">
        <v>20</v>
      </c>
      <c r="N715" s="7">
        <v>572526.4</v>
      </c>
      <c r="O715" s="8">
        <v>8.9</v>
      </c>
      <c r="P715" s="7">
        <v>521571.55</v>
      </c>
      <c r="Q715" s="8">
        <v>29.9</v>
      </c>
      <c r="R715" s="7">
        <v>155949.89000000001</v>
      </c>
      <c r="S715" s="5" t="s">
        <v>40</v>
      </c>
    </row>
    <row r="716" spans="1:19" x14ac:dyDescent="0.3">
      <c r="A716" s="1" t="s">
        <v>1157</v>
      </c>
      <c r="B716" s="1" t="s">
        <v>1158</v>
      </c>
      <c r="C716" s="1" t="s">
        <v>43</v>
      </c>
      <c r="D716" s="1" t="s">
        <v>22</v>
      </c>
      <c r="E716" s="2" t="s">
        <v>246</v>
      </c>
      <c r="F716" s="1" t="s">
        <v>52</v>
      </c>
      <c r="G716" s="1" t="s">
        <v>63</v>
      </c>
      <c r="H716" s="1" t="s">
        <v>167</v>
      </c>
      <c r="I716" s="1" t="s">
        <v>47</v>
      </c>
      <c r="J716" s="1" t="s">
        <v>93</v>
      </c>
      <c r="K716" s="1" t="s">
        <v>111</v>
      </c>
      <c r="L716" s="3">
        <v>2239.1799999999998</v>
      </c>
      <c r="M716" s="1">
        <v>24</v>
      </c>
      <c r="N716" s="3">
        <v>53740.32</v>
      </c>
      <c r="O716" s="4">
        <v>18.600000000000001</v>
      </c>
      <c r="P716" s="3">
        <v>43744.62</v>
      </c>
      <c r="Q716" s="4">
        <v>26</v>
      </c>
      <c r="R716" s="3">
        <v>11373.6</v>
      </c>
      <c r="S716" s="1" t="s">
        <v>40</v>
      </c>
    </row>
    <row r="717" spans="1:19" x14ac:dyDescent="0.3">
      <c r="A717" s="5" t="s">
        <v>1159</v>
      </c>
      <c r="B717" s="5" t="s">
        <v>489</v>
      </c>
      <c r="C717" s="5" t="s">
        <v>75</v>
      </c>
      <c r="D717" s="5" t="s">
        <v>60</v>
      </c>
      <c r="E717" s="6" t="s">
        <v>23</v>
      </c>
      <c r="F717" s="5" t="s">
        <v>24</v>
      </c>
      <c r="G717" s="5" t="s">
        <v>36</v>
      </c>
      <c r="H717" s="5" t="s">
        <v>105</v>
      </c>
      <c r="I717" s="5" t="s">
        <v>72</v>
      </c>
      <c r="J717" s="5" t="s">
        <v>93</v>
      </c>
      <c r="K717" s="5" t="s">
        <v>78</v>
      </c>
      <c r="L717" s="7">
        <v>45718.62</v>
      </c>
      <c r="M717" s="5">
        <v>2</v>
      </c>
      <c r="N717" s="7">
        <v>91437.24</v>
      </c>
      <c r="O717" s="8">
        <v>23.9</v>
      </c>
      <c r="P717" s="7">
        <v>69583.740000000005</v>
      </c>
      <c r="Q717" s="8">
        <v>30.2</v>
      </c>
      <c r="R717" s="7">
        <v>21014.29</v>
      </c>
      <c r="S717" s="5" t="s">
        <v>40</v>
      </c>
    </row>
    <row r="718" spans="1:19" x14ac:dyDescent="0.3">
      <c r="A718" s="1" t="s">
        <v>1160</v>
      </c>
      <c r="B718" s="1" t="s">
        <v>276</v>
      </c>
      <c r="C718" s="1" t="s">
        <v>43</v>
      </c>
      <c r="D718" s="1" t="s">
        <v>22</v>
      </c>
      <c r="E718" s="2" t="s">
        <v>142</v>
      </c>
      <c r="F718" s="1" t="s">
        <v>24</v>
      </c>
      <c r="G718" s="1" t="s">
        <v>25</v>
      </c>
      <c r="H718" s="1" t="s">
        <v>132</v>
      </c>
      <c r="I718" s="1" t="s">
        <v>72</v>
      </c>
      <c r="J718" s="1" t="s">
        <v>93</v>
      </c>
      <c r="K718" s="1" t="s">
        <v>111</v>
      </c>
      <c r="L718" s="3">
        <v>61516.3</v>
      </c>
      <c r="M718" s="1">
        <v>10</v>
      </c>
      <c r="N718" s="3">
        <v>615163</v>
      </c>
      <c r="O718" s="4">
        <v>17.100000000000001</v>
      </c>
      <c r="P718" s="3">
        <v>509970.13</v>
      </c>
      <c r="Q718" s="4">
        <v>23</v>
      </c>
      <c r="R718" s="3">
        <v>117293.13</v>
      </c>
      <c r="S718" s="1" t="s">
        <v>30</v>
      </c>
    </row>
    <row r="719" spans="1:19" x14ac:dyDescent="0.3">
      <c r="A719" s="5" t="s">
        <v>1161</v>
      </c>
      <c r="B719" s="5" t="s">
        <v>637</v>
      </c>
      <c r="C719" s="5" t="s">
        <v>59</v>
      </c>
      <c r="D719" s="5" t="s">
        <v>60</v>
      </c>
      <c r="E719" s="6" t="s">
        <v>206</v>
      </c>
      <c r="F719" s="5" t="s">
        <v>52</v>
      </c>
      <c r="G719" s="5" t="s">
        <v>25</v>
      </c>
      <c r="H719" s="5" t="s">
        <v>46</v>
      </c>
      <c r="I719" s="5" t="s">
        <v>38</v>
      </c>
      <c r="J719" s="5" t="s">
        <v>65</v>
      </c>
      <c r="K719" s="5" t="s">
        <v>48</v>
      </c>
      <c r="L719" s="7">
        <v>8653.9699999999993</v>
      </c>
      <c r="M719" s="5">
        <v>2</v>
      </c>
      <c r="N719" s="7">
        <v>17307.939999999999</v>
      </c>
      <c r="O719" s="8">
        <v>3.5</v>
      </c>
      <c r="P719" s="7">
        <v>16702.16</v>
      </c>
      <c r="Q719" s="8">
        <v>30.8</v>
      </c>
      <c r="R719" s="7">
        <v>5144.2700000000004</v>
      </c>
      <c r="S719" s="5" t="s">
        <v>40</v>
      </c>
    </row>
    <row r="720" spans="1:19" x14ac:dyDescent="0.3">
      <c r="A720" s="1" t="s">
        <v>1162</v>
      </c>
      <c r="B720" s="1" t="s">
        <v>1163</v>
      </c>
      <c r="C720" s="1" t="s">
        <v>21</v>
      </c>
      <c r="D720" s="1" t="s">
        <v>22</v>
      </c>
      <c r="E720" s="2" t="s">
        <v>44</v>
      </c>
      <c r="F720" s="1" t="s">
        <v>45</v>
      </c>
      <c r="G720" s="1" t="s">
        <v>53</v>
      </c>
      <c r="H720" s="1" t="s">
        <v>98</v>
      </c>
      <c r="I720" s="1" t="s">
        <v>72</v>
      </c>
      <c r="J720" s="1" t="s">
        <v>93</v>
      </c>
      <c r="K720" s="1" t="s">
        <v>111</v>
      </c>
      <c r="L720" s="3">
        <v>146.6</v>
      </c>
      <c r="M720" s="1">
        <v>3</v>
      </c>
      <c r="N720" s="3">
        <v>439.8</v>
      </c>
      <c r="O720" s="4">
        <v>16.100000000000001</v>
      </c>
      <c r="P720" s="3">
        <v>368.99</v>
      </c>
      <c r="Q720" s="4">
        <v>30.8</v>
      </c>
      <c r="R720" s="3">
        <v>113.65</v>
      </c>
      <c r="S720" s="1" t="s">
        <v>40</v>
      </c>
    </row>
    <row r="721" spans="1:19" x14ac:dyDescent="0.3">
      <c r="A721" s="5" t="s">
        <v>1164</v>
      </c>
      <c r="B721" s="5" t="s">
        <v>439</v>
      </c>
      <c r="C721" s="5" t="s">
        <v>43</v>
      </c>
      <c r="D721" s="5" t="s">
        <v>22</v>
      </c>
      <c r="E721" s="6" t="s">
        <v>303</v>
      </c>
      <c r="F721" s="5" t="s">
        <v>62</v>
      </c>
      <c r="G721" s="5" t="s">
        <v>25</v>
      </c>
      <c r="H721" s="5" t="s">
        <v>132</v>
      </c>
      <c r="I721" s="5" t="s">
        <v>72</v>
      </c>
      <c r="J721" s="5" t="s">
        <v>93</v>
      </c>
      <c r="K721" s="5" t="s">
        <v>159</v>
      </c>
      <c r="L721" s="7">
        <v>1551.06</v>
      </c>
      <c r="M721" s="5">
        <v>13</v>
      </c>
      <c r="N721" s="7">
        <v>20163.78</v>
      </c>
      <c r="O721" s="8">
        <v>8.1999999999999993</v>
      </c>
      <c r="P721" s="7">
        <v>18510.349999999999</v>
      </c>
      <c r="Q721" s="8">
        <v>62.5</v>
      </c>
      <c r="R721" s="7">
        <v>11568.97</v>
      </c>
      <c r="S721" s="5" t="s">
        <v>40</v>
      </c>
    </row>
    <row r="722" spans="1:19" x14ac:dyDescent="0.3">
      <c r="A722" s="1" t="s">
        <v>1165</v>
      </c>
      <c r="B722" s="1" t="s">
        <v>531</v>
      </c>
      <c r="C722" s="1" t="s">
        <v>21</v>
      </c>
      <c r="D722" s="1" t="s">
        <v>22</v>
      </c>
      <c r="E722" s="2" t="s">
        <v>306</v>
      </c>
      <c r="F722" s="1" t="s">
        <v>35</v>
      </c>
      <c r="G722" s="1" t="s">
        <v>109</v>
      </c>
      <c r="H722" s="1" t="s">
        <v>189</v>
      </c>
      <c r="I722" s="1" t="s">
        <v>55</v>
      </c>
      <c r="J722" s="1" t="s">
        <v>93</v>
      </c>
      <c r="K722" s="1" t="s">
        <v>88</v>
      </c>
      <c r="L722" s="3">
        <v>25932.04</v>
      </c>
      <c r="M722" s="1">
        <v>5</v>
      </c>
      <c r="N722" s="3">
        <v>129660.2</v>
      </c>
      <c r="O722" s="4">
        <v>19.899999999999999</v>
      </c>
      <c r="P722" s="3">
        <v>103857.82</v>
      </c>
      <c r="Q722" s="4">
        <v>32.299999999999997</v>
      </c>
      <c r="R722" s="3">
        <v>33546.080000000002</v>
      </c>
      <c r="S722" s="1" t="s">
        <v>40</v>
      </c>
    </row>
    <row r="723" spans="1:19" x14ac:dyDescent="0.3">
      <c r="A723" s="5" t="s">
        <v>1166</v>
      </c>
      <c r="B723" s="5" t="s">
        <v>326</v>
      </c>
      <c r="C723" s="5" t="s">
        <v>68</v>
      </c>
      <c r="D723" s="5" t="s">
        <v>69</v>
      </c>
      <c r="E723" s="6" t="s">
        <v>177</v>
      </c>
      <c r="F723" s="5" t="s">
        <v>166</v>
      </c>
      <c r="G723" s="5" t="s">
        <v>53</v>
      </c>
      <c r="H723" s="5" t="s">
        <v>54</v>
      </c>
      <c r="I723" s="5" t="s">
        <v>27</v>
      </c>
      <c r="J723" s="5" t="s">
        <v>93</v>
      </c>
      <c r="K723" s="5" t="s">
        <v>102</v>
      </c>
      <c r="L723" s="7">
        <v>3041.69</v>
      </c>
      <c r="M723" s="5">
        <v>15</v>
      </c>
      <c r="N723" s="7">
        <v>45625.35</v>
      </c>
      <c r="O723" s="8">
        <v>15.9</v>
      </c>
      <c r="P723" s="7">
        <v>38370.92</v>
      </c>
      <c r="Q723" s="8">
        <v>43.1</v>
      </c>
      <c r="R723" s="7">
        <v>16537.87</v>
      </c>
      <c r="S723" s="5" t="s">
        <v>40</v>
      </c>
    </row>
    <row r="724" spans="1:19" x14ac:dyDescent="0.3">
      <c r="A724" s="1" t="s">
        <v>1167</v>
      </c>
      <c r="B724" s="1" t="s">
        <v>747</v>
      </c>
      <c r="C724" s="1" t="s">
        <v>59</v>
      </c>
      <c r="D724" s="1" t="s">
        <v>60</v>
      </c>
      <c r="E724" s="2" t="s">
        <v>34</v>
      </c>
      <c r="F724" s="1" t="s">
        <v>35</v>
      </c>
      <c r="G724" s="1" t="s">
        <v>36</v>
      </c>
      <c r="H724" s="1" t="s">
        <v>136</v>
      </c>
      <c r="I724" s="1" t="s">
        <v>27</v>
      </c>
      <c r="J724" s="1" t="s">
        <v>65</v>
      </c>
      <c r="K724" s="1" t="s">
        <v>48</v>
      </c>
      <c r="L724" s="3">
        <v>11044.06</v>
      </c>
      <c r="M724" s="1">
        <v>11</v>
      </c>
      <c r="N724" s="3">
        <v>121484.66</v>
      </c>
      <c r="O724" s="4">
        <v>22.9</v>
      </c>
      <c r="P724" s="3">
        <v>93664.67</v>
      </c>
      <c r="Q724" s="4">
        <v>36.4</v>
      </c>
      <c r="R724" s="3">
        <v>34093.94</v>
      </c>
      <c r="S724" s="1" t="s">
        <v>40</v>
      </c>
    </row>
    <row r="725" spans="1:19" x14ac:dyDescent="0.3">
      <c r="A725" s="5" t="s">
        <v>1168</v>
      </c>
      <c r="B725" s="5" t="s">
        <v>116</v>
      </c>
      <c r="C725" s="5" t="s">
        <v>117</v>
      </c>
      <c r="D725" s="5" t="s">
        <v>86</v>
      </c>
      <c r="E725" s="6" t="s">
        <v>306</v>
      </c>
      <c r="F725" s="5" t="s">
        <v>35</v>
      </c>
      <c r="G725" s="5" t="s">
        <v>36</v>
      </c>
      <c r="H725" s="5" t="s">
        <v>37</v>
      </c>
      <c r="I725" s="5" t="s">
        <v>38</v>
      </c>
      <c r="J725" s="5" t="s">
        <v>93</v>
      </c>
      <c r="K725" s="5" t="s">
        <v>111</v>
      </c>
      <c r="L725" s="7">
        <v>12382.15</v>
      </c>
      <c r="M725" s="5">
        <v>15</v>
      </c>
      <c r="N725" s="7">
        <v>185732.25</v>
      </c>
      <c r="O725" s="8">
        <v>22.9</v>
      </c>
      <c r="P725" s="7">
        <v>143199.56</v>
      </c>
      <c r="Q725" s="8">
        <v>34.1</v>
      </c>
      <c r="R725" s="7">
        <v>48831.05</v>
      </c>
      <c r="S725" s="5" t="s">
        <v>40</v>
      </c>
    </row>
    <row r="726" spans="1:19" x14ac:dyDescent="0.3">
      <c r="A726" s="1" t="s">
        <v>1169</v>
      </c>
      <c r="B726" s="1" t="s">
        <v>130</v>
      </c>
      <c r="C726" s="1" t="s">
        <v>131</v>
      </c>
      <c r="D726" s="1" t="s">
        <v>69</v>
      </c>
      <c r="E726" s="2" t="s">
        <v>34</v>
      </c>
      <c r="F726" s="1" t="s">
        <v>35</v>
      </c>
      <c r="G726" s="1" t="s">
        <v>63</v>
      </c>
      <c r="H726" s="1" t="s">
        <v>64</v>
      </c>
      <c r="I726" s="1" t="s">
        <v>47</v>
      </c>
      <c r="J726" s="1" t="s">
        <v>28</v>
      </c>
      <c r="K726" s="1" t="s">
        <v>159</v>
      </c>
      <c r="L726" s="3">
        <v>35810.36</v>
      </c>
      <c r="M726" s="1">
        <v>7</v>
      </c>
      <c r="N726" s="3">
        <v>250672.52</v>
      </c>
      <c r="O726" s="4">
        <v>14.3</v>
      </c>
      <c r="P726" s="3">
        <v>214826.35</v>
      </c>
      <c r="Q726" s="4">
        <v>43.1</v>
      </c>
      <c r="R726" s="3">
        <v>92590.16</v>
      </c>
      <c r="S726" s="1" t="s">
        <v>40</v>
      </c>
    </row>
    <row r="727" spans="1:19" x14ac:dyDescent="0.3">
      <c r="A727" s="5" t="s">
        <v>1170</v>
      </c>
      <c r="B727" s="5" t="s">
        <v>1171</v>
      </c>
      <c r="C727" s="5" t="s">
        <v>21</v>
      </c>
      <c r="D727" s="5" t="s">
        <v>22</v>
      </c>
      <c r="E727" s="6" t="s">
        <v>213</v>
      </c>
      <c r="F727" s="5" t="s">
        <v>62</v>
      </c>
      <c r="G727" s="5" t="s">
        <v>25</v>
      </c>
      <c r="H727" s="5" t="s">
        <v>46</v>
      </c>
      <c r="I727" s="5" t="s">
        <v>27</v>
      </c>
      <c r="J727" s="5" t="s">
        <v>93</v>
      </c>
      <c r="K727" s="5" t="s">
        <v>149</v>
      </c>
      <c r="L727" s="7">
        <v>626.82000000000005</v>
      </c>
      <c r="M727" s="5">
        <v>8</v>
      </c>
      <c r="N727" s="7">
        <v>5014.5600000000004</v>
      </c>
      <c r="O727" s="8">
        <v>8.4</v>
      </c>
      <c r="P727" s="7">
        <v>4593.34</v>
      </c>
      <c r="Q727" s="8">
        <v>53.3</v>
      </c>
      <c r="R727" s="7">
        <v>2448.25</v>
      </c>
      <c r="S727" s="5" t="s">
        <v>40</v>
      </c>
    </row>
    <row r="728" spans="1:19" x14ac:dyDescent="0.3">
      <c r="A728" s="1" t="s">
        <v>1172</v>
      </c>
      <c r="B728" s="1" t="s">
        <v>1173</v>
      </c>
      <c r="C728" s="1" t="s">
        <v>135</v>
      </c>
      <c r="D728" s="1" t="s">
        <v>69</v>
      </c>
      <c r="E728" s="2" t="s">
        <v>180</v>
      </c>
      <c r="F728" s="1" t="s">
        <v>166</v>
      </c>
      <c r="G728" s="1" t="s">
        <v>63</v>
      </c>
      <c r="H728" s="1" t="s">
        <v>87</v>
      </c>
      <c r="I728" s="1" t="s">
        <v>27</v>
      </c>
      <c r="J728" s="1" t="s">
        <v>93</v>
      </c>
      <c r="K728" s="1" t="s">
        <v>149</v>
      </c>
      <c r="L728" s="3">
        <v>2127.11</v>
      </c>
      <c r="M728" s="1">
        <v>25</v>
      </c>
      <c r="N728" s="3">
        <v>53177.75</v>
      </c>
      <c r="O728" s="4">
        <v>21.9</v>
      </c>
      <c r="P728" s="3">
        <v>41531.82</v>
      </c>
      <c r="Q728" s="4">
        <v>46.3</v>
      </c>
      <c r="R728" s="3">
        <v>19229.23</v>
      </c>
      <c r="S728" s="1" t="s">
        <v>40</v>
      </c>
    </row>
    <row r="729" spans="1:19" x14ac:dyDescent="0.3">
      <c r="A729" s="5" t="s">
        <v>1174</v>
      </c>
      <c r="B729" s="5" t="s">
        <v>374</v>
      </c>
      <c r="C729" s="5" t="s">
        <v>96</v>
      </c>
      <c r="D729" s="5" t="s">
        <v>86</v>
      </c>
      <c r="E729" s="6" t="s">
        <v>148</v>
      </c>
      <c r="F729" s="5" t="s">
        <v>52</v>
      </c>
      <c r="G729" s="5" t="s">
        <v>109</v>
      </c>
      <c r="H729" s="5" t="s">
        <v>122</v>
      </c>
      <c r="I729" s="5" t="s">
        <v>72</v>
      </c>
      <c r="J729" s="5" t="s">
        <v>93</v>
      </c>
      <c r="K729" s="5" t="s">
        <v>102</v>
      </c>
      <c r="L729" s="7">
        <v>3527.27</v>
      </c>
      <c r="M729" s="5">
        <v>10</v>
      </c>
      <c r="N729" s="7">
        <v>35272.699999999997</v>
      </c>
      <c r="O729" s="8">
        <v>7.6</v>
      </c>
      <c r="P729" s="7">
        <v>32591.97</v>
      </c>
      <c r="Q729" s="8">
        <v>39.6</v>
      </c>
      <c r="R729" s="7">
        <v>12906.42</v>
      </c>
      <c r="S729" s="5" t="s">
        <v>40</v>
      </c>
    </row>
    <row r="730" spans="1:19" x14ac:dyDescent="0.3">
      <c r="A730" s="1" t="s">
        <v>1175</v>
      </c>
      <c r="B730" s="1" t="s">
        <v>947</v>
      </c>
      <c r="C730" s="1" t="s">
        <v>131</v>
      </c>
      <c r="D730" s="1" t="s">
        <v>69</v>
      </c>
      <c r="E730" s="2" t="s">
        <v>61</v>
      </c>
      <c r="F730" s="1" t="s">
        <v>62</v>
      </c>
      <c r="G730" s="1" t="s">
        <v>25</v>
      </c>
      <c r="H730" s="1" t="s">
        <v>132</v>
      </c>
      <c r="I730" s="1" t="s">
        <v>38</v>
      </c>
      <c r="J730" s="1" t="s">
        <v>28</v>
      </c>
      <c r="K730" s="1" t="s">
        <v>149</v>
      </c>
      <c r="L730" s="3">
        <v>975.18</v>
      </c>
      <c r="M730" s="1">
        <v>23</v>
      </c>
      <c r="N730" s="3">
        <v>22429.14</v>
      </c>
      <c r="O730" s="4">
        <v>19.2</v>
      </c>
      <c r="P730" s="3">
        <v>18122.75</v>
      </c>
      <c r="Q730" s="4">
        <v>63.5</v>
      </c>
      <c r="R730" s="3">
        <v>11507.95</v>
      </c>
      <c r="S730" s="1" t="s">
        <v>40</v>
      </c>
    </row>
    <row r="731" spans="1:19" x14ac:dyDescent="0.3">
      <c r="A731" s="5" t="s">
        <v>1176</v>
      </c>
      <c r="B731" s="5" t="s">
        <v>1177</v>
      </c>
      <c r="C731" s="5" t="s">
        <v>75</v>
      </c>
      <c r="D731" s="5" t="s">
        <v>60</v>
      </c>
      <c r="E731" s="6" t="s">
        <v>70</v>
      </c>
      <c r="F731" s="5" t="s">
        <v>24</v>
      </c>
      <c r="G731" s="5" t="s">
        <v>53</v>
      </c>
      <c r="H731" s="5" t="s">
        <v>77</v>
      </c>
      <c r="I731" s="5" t="s">
        <v>38</v>
      </c>
      <c r="J731" s="5" t="s">
        <v>93</v>
      </c>
      <c r="K731" s="5" t="s">
        <v>56</v>
      </c>
      <c r="L731" s="7">
        <v>6755.9</v>
      </c>
      <c r="M731" s="5">
        <v>6</v>
      </c>
      <c r="N731" s="7">
        <v>40535.4</v>
      </c>
      <c r="O731" s="8">
        <v>10.3</v>
      </c>
      <c r="P731" s="7">
        <v>36360.25</v>
      </c>
      <c r="Q731" s="8">
        <v>16</v>
      </c>
      <c r="R731" s="7">
        <v>5817.64</v>
      </c>
      <c r="S731" s="5" t="s">
        <v>40</v>
      </c>
    </row>
    <row r="732" spans="1:19" x14ac:dyDescent="0.3">
      <c r="A732" s="1" t="s">
        <v>1178</v>
      </c>
      <c r="B732" s="1" t="s">
        <v>1179</v>
      </c>
      <c r="C732" s="1" t="s">
        <v>135</v>
      </c>
      <c r="D732" s="1" t="s">
        <v>69</v>
      </c>
      <c r="E732" s="2" t="s">
        <v>158</v>
      </c>
      <c r="F732" s="1" t="s">
        <v>35</v>
      </c>
      <c r="G732" s="1" t="s">
        <v>109</v>
      </c>
      <c r="H732" s="1" t="s">
        <v>110</v>
      </c>
      <c r="I732" s="1" t="s">
        <v>47</v>
      </c>
      <c r="J732" s="1" t="s">
        <v>65</v>
      </c>
      <c r="K732" s="1" t="s">
        <v>149</v>
      </c>
      <c r="L732" s="3">
        <v>42376.81</v>
      </c>
      <c r="M732" s="1">
        <v>23</v>
      </c>
      <c r="N732" s="3">
        <v>974666.63</v>
      </c>
      <c r="O732" s="4">
        <v>23.8</v>
      </c>
      <c r="P732" s="3">
        <v>742695.97</v>
      </c>
      <c r="Q732" s="4">
        <v>32.700000000000003</v>
      </c>
      <c r="R732" s="3">
        <v>242861.58</v>
      </c>
      <c r="S732" s="1" t="s">
        <v>40</v>
      </c>
    </row>
    <row r="733" spans="1:19" x14ac:dyDescent="0.3">
      <c r="A733" s="5" t="s">
        <v>1180</v>
      </c>
      <c r="B733" s="5" t="s">
        <v>714</v>
      </c>
      <c r="C733" s="5" t="s">
        <v>96</v>
      </c>
      <c r="D733" s="5" t="s">
        <v>86</v>
      </c>
      <c r="E733" s="6" t="s">
        <v>165</v>
      </c>
      <c r="F733" s="5" t="s">
        <v>166</v>
      </c>
      <c r="G733" s="5" t="s">
        <v>53</v>
      </c>
      <c r="H733" s="5" t="s">
        <v>54</v>
      </c>
      <c r="I733" s="5" t="s">
        <v>47</v>
      </c>
      <c r="J733" s="5" t="s">
        <v>93</v>
      </c>
      <c r="K733" s="5" t="s">
        <v>48</v>
      </c>
      <c r="L733" s="7">
        <v>3887.93</v>
      </c>
      <c r="M733" s="5">
        <v>6</v>
      </c>
      <c r="N733" s="7">
        <v>23327.58</v>
      </c>
      <c r="O733" s="8">
        <v>6</v>
      </c>
      <c r="P733" s="7">
        <v>21927.93</v>
      </c>
      <c r="Q733" s="8">
        <v>52.9</v>
      </c>
      <c r="R733" s="7">
        <v>11599.87</v>
      </c>
      <c r="S733" s="5" t="s">
        <v>112</v>
      </c>
    </row>
    <row r="734" spans="1:19" x14ac:dyDescent="0.3">
      <c r="A734" s="1" t="s">
        <v>1181</v>
      </c>
      <c r="B734" s="1" t="s">
        <v>763</v>
      </c>
      <c r="C734" s="1" t="s">
        <v>59</v>
      </c>
      <c r="D734" s="1" t="s">
        <v>60</v>
      </c>
      <c r="E734" s="2" t="s">
        <v>148</v>
      </c>
      <c r="F734" s="1" t="s">
        <v>52</v>
      </c>
      <c r="G734" s="1" t="s">
        <v>36</v>
      </c>
      <c r="H734" s="1" t="s">
        <v>136</v>
      </c>
      <c r="I734" s="1" t="s">
        <v>72</v>
      </c>
      <c r="J734" s="1" t="s">
        <v>93</v>
      </c>
      <c r="K734" s="1" t="s">
        <v>29</v>
      </c>
      <c r="L734" s="3">
        <v>5304.99</v>
      </c>
      <c r="M734" s="1">
        <v>22</v>
      </c>
      <c r="N734" s="3">
        <v>116709.78</v>
      </c>
      <c r="O734" s="4">
        <v>1.9</v>
      </c>
      <c r="P734" s="3">
        <v>114492.29</v>
      </c>
      <c r="Q734" s="4">
        <v>28.7</v>
      </c>
      <c r="R734" s="3">
        <v>32859.29</v>
      </c>
      <c r="S734" s="1" t="s">
        <v>40</v>
      </c>
    </row>
    <row r="735" spans="1:19" x14ac:dyDescent="0.3">
      <c r="A735" s="5" t="s">
        <v>1182</v>
      </c>
      <c r="B735" s="5" t="s">
        <v>798</v>
      </c>
      <c r="C735" s="5" t="s">
        <v>117</v>
      </c>
      <c r="D735" s="5" t="s">
        <v>86</v>
      </c>
      <c r="E735" s="6" t="s">
        <v>174</v>
      </c>
      <c r="F735" s="5" t="s">
        <v>45</v>
      </c>
      <c r="G735" s="5" t="s">
        <v>109</v>
      </c>
      <c r="H735" s="5" t="s">
        <v>122</v>
      </c>
      <c r="I735" s="5" t="s">
        <v>47</v>
      </c>
      <c r="J735" s="5" t="s">
        <v>65</v>
      </c>
      <c r="K735" s="5" t="s">
        <v>159</v>
      </c>
      <c r="L735" s="7">
        <v>296.49</v>
      </c>
      <c r="M735" s="5">
        <v>6</v>
      </c>
      <c r="N735" s="7">
        <v>1778.94</v>
      </c>
      <c r="O735" s="8">
        <v>10</v>
      </c>
      <c r="P735" s="7">
        <v>1601.05</v>
      </c>
      <c r="Q735" s="8">
        <v>35.700000000000003</v>
      </c>
      <c r="R735" s="7">
        <v>571.57000000000005</v>
      </c>
      <c r="S735" s="5" t="s">
        <v>79</v>
      </c>
    </row>
    <row r="736" spans="1:19" x14ac:dyDescent="0.3">
      <c r="A736" s="1" t="s">
        <v>1183</v>
      </c>
      <c r="B736" s="1" t="s">
        <v>1031</v>
      </c>
      <c r="C736" s="1" t="s">
        <v>96</v>
      </c>
      <c r="D736" s="1" t="s">
        <v>86</v>
      </c>
      <c r="E736" s="2" t="s">
        <v>23</v>
      </c>
      <c r="F736" s="1" t="s">
        <v>24</v>
      </c>
      <c r="G736" s="1" t="s">
        <v>63</v>
      </c>
      <c r="H736" s="1" t="s">
        <v>64</v>
      </c>
      <c r="I736" s="1" t="s">
        <v>47</v>
      </c>
      <c r="J736" s="1" t="s">
        <v>65</v>
      </c>
      <c r="K736" s="1" t="s">
        <v>88</v>
      </c>
      <c r="L736" s="3">
        <v>61754.1</v>
      </c>
      <c r="M736" s="1">
        <v>16</v>
      </c>
      <c r="N736" s="3">
        <v>988065.6</v>
      </c>
      <c r="O736" s="4">
        <v>10.6</v>
      </c>
      <c r="P736" s="3">
        <v>883330.65</v>
      </c>
      <c r="Q736" s="4">
        <v>16.899999999999999</v>
      </c>
      <c r="R736" s="3">
        <v>149282.88</v>
      </c>
      <c r="S736" s="1" t="s">
        <v>40</v>
      </c>
    </row>
    <row r="737" spans="1:19" x14ac:dyDescent="0.3">
      <c r="A737" s="5" t="s">
        <v>1184</v>
      </c>
      <c r="B737" s="5" t="s">
        <v>1185</v>
      </c>
      <c r="C737" s="5" t="s">
        <v>43</v>
      </c>
      <c r="D737" s="5" t="s">
        <v>22</v>
      </c>
      <c r="E737" s="6" t="s">
        <v>246</v>
      </c>
      <c r="F737" s="5" t="s">
        <v>52</v>
      </c>
      <c r="G737" s="5" t="s">
        <v>25</v>
      </c>
      <c r="H737" s="5" t="s">
        <v>132</v>
      </c>
      <c r="I737" s="5" t="s">
        <v>27</v>
      </c>
      <c r="J737" s="5" t="s">
        <v>65</v>
      </c>
      <c r="K737" s="5" t="s">
        <v>102</v>
      </c>
      <c r="L737" s="7">
        <v>4350.34</v>
      </c>
      <c r="M737" s="5">
        <v>24</v>
      </c>
      <c r="N737" s="7">
        <v>104408.16</v>
      </c>
      <c r="O737" s="8">
        <v>18.2</v>
      </c>
      <c r="P737" s="7">
        <v>85405.87</v>
      </c>
      <c r="Q737" s="8">
        <v>42.1</v>
      </c>
      <c r="R737" s="7">
        <v>35955.870000000003</v>
      </c>
      <c r="S737" s="5" t="s">
        <v>40</v>
      </c>
    </row>
    <row r="738" spans="1:19" x14ac:dyDescent="0.3">
      <c r="A738" s="1" t="s">
        <v>1186</v>
      </c>
      <c r="B738" s="1" t="s">
        <v>403</v>
      </c>
      <c r="C738" s="1" t="s">
        <v>75</v>
      </c>
      <c r="D738" s="1" t="s">
        <v>60</v>
      </c>
      <c r="E738" s="2" t="s">
        <v>139</v>
      </c>
      <c r="F738" s="1" t="s">
        <v>45</v>
      </c>
      <c r="G738" s="1" t="s">
        <v>36</v>
      </c>
      <c r="H738" s="1" t="s">
        <v>105</v>
      </c>
      <c r="I738" s="1" t="s">
        <v>47</v>
      </c>
      <c r="J738" s="1" t="s">
        <v>28</v>
      </c>
      <c r="K738" s="1" t="s">
        <v>48</v>
      </c>
      <c r="L738" s="3">
        <v>851.06</v>
      </c>
      <c r="M738" s="1">
        <v>7</v>
      </c>
      <c r="N738" s="3">
        <v>5957.42</v>
      </c>
      <c r="O738" s="4">
        <v>5.7</v>
      </c>
      <c r="P738" s="3">
        <v>5617.85</v>
      </c>
      <c r="Q738" s="4">
        <v>36.299999999999997</v>
      </c>
      <c r="R738" s="3">
        <v>2039.28</v>
      </c>
      <c r="S738" s="1" t="s">
        <v>40</v>
      </c>
    </row>
    <row r="739" spans="1:19" x14ac:dyDescent="0.3">
      <c r="A739" s="5" t="s">
        <v>1187</v>
      </c>
      <c r="B739" s="5" t="s">
        <v>647</v>
      </c>
      <c r="C739" s="5" t="s">
        <v>21</v>
      </c>
      <c r="D739" s="5" t="s">
        <v>22</v>
      </c>
      <c r="E739" s="6" t="s">
        <v>165</v>
      </c>
      <c r="F739" s="5" t="s">
        <v>166</v>
      </c>
      <c r="G739" s="5" t="s">
        <v>109</v>
      </c>
      <c r="H739" s="5" t="s">
        <v>122</v>
      </c>
      <c r="I739" s="5" t="s">
        <v>55</v>
      </c>
      <c r="J739" s="5" t="s">
        <v>65</v>
      </c>
      <c r="K739" s="5" t="s">
        <v>88</v>
      </c>
      <c r="L739" s="7">
        <v>1649.41</v>
      </c>
      <c r="M739" s="5">
        <v>1</v>
      </c>
      <c r="N739" s="7">
        <v>1649.41</v>
      </c>
      <c r="O739" s="8">
        <v>24.4</v>
      </c>
      <c r="P739" s="7">
        <v>1246.95</v>
      </c>
      <c r="Q739" s="8">
        <v>40</v>
      </c>
      <c r="R739" s="7">
        <v>498.78</v>
      </c>
      <c r="S739" s="5" t="s">
        <v>40</v>
      </c>
    </row>
    <row r="740" spans="1:19" x14ac:dyDescent="0.3">
      <c r="A740" s="1" t="s">
        <v>1188</v>
      </c>
      <c r="B740" s="1" t="s">
        <v>507</v>
      </c>
      <c r="C740" s="1" t="s">
        <v>33</v>
      </c>
      <c r="D740" s="1" t="s">
        <v>22</v>
      </c>
      <c r="E740" s="2" t="s">
        <v>82</v>
      </c>
      <c r="F740" s="1" t="s">
        <v>24</v>
      </c>
      <c r="G740" s="1" t="s">
        <v>63</v>
      </c>
      <c r="H740" s="1" t="s">
        <v>92</v>
      </c>
      <c r="I740" s="1" t="s">
        <v>72</v>
      </c>
      <c r="J740" s="1" t="s">
        <v>93</v>
      </c>
      <c r="K740" s="1" t="s">
        <v>78</v>
      </c>
      <c r="L740" s="3">
        <v>93617.89</v>
      </c>
      <c r="M740" s="1">
        <v>3</v>
      </c>
      <c r="N740" s="3">
        <v>280853.67</v>
      </c>
      <c r="O740" s="4">
        <v>18.2</v>
      </c>
      <c r="P740" s="3">
        <v>229738.3</v>
      </c>
      <c r="Q740" s="4">
        <v>15.2</v>
      </c>
      <c r="R740" s="3">
        <v>34920.22</v>
      </c>
      <c r="S740" s="1" t="s">
        <v>79</v>
      </c>
    </row>
    <row r="741" spans="1:19" x14ac:dyDescent="0.3">
      <c r="A741" s="5" t="s">
        <v>1189</v>
      </c>
      <c r="B741" s="5" t="s">
        <v>814</v>
      </c>
      <c r="C741" s="5" t="s">
        <v>131</v>
      </c>
      <c r="D741" s="5" t="s">
        <v>69</v>
      </c>
      <c r="E741" s="6" t="s">
        <v>184</v>
      </c>
      <c r="F741" s="5" t="s">
        <v>45</v>
      </c>
      <c r="G741" s="5" t="s">
        <v>25</v>
      </c>
      <c r="H741" s="5" t="s">
        <v>46</v>
      </c>
      <c r="I741" s="5" t="s">
        <v>38</v>
      </c>
      <c r="J741" s="5" t="s">
        <v>93</v>
      </c>
      <c r="K741" s="5" t="s">
        <v>29</v>
      </c>
      <c r="L741" s="7">
        <v>568.70000000000005</v>
      </c>
      <c r="M741" s="5">
        <v>7</v>
      </c>
      <c r="N741" s="7">
        <v>3980.9</v>
      </c>
      <c r="O741" s="8">
        <v>0.2</v>
      </c>
      <c r="P741" s="7">
        <v>3972.94</v>
      </c>
      <c r="Q741" s="8">
        <v>35.200000000000003</v>
      </c>
      <c r="R741" s="7">
        <v>1398.47</v>
      </c>
      <c r="S741" s="5" t="s">
        <v>40</v>
      </c>
    </row>
    <row r="742" spans="1:19" x14ac:dyDescent="0.3">
      <c r="A742" s="1" t="s">
        <v>1190</v>
      </c>
      <c r="B742" s="1" t="s">
        <v>695</v>
      </c>
      <c r="C742" s="1" t="s">
        <v>33</v>
      </c>
      <c r="D742" s="1" t="s">
        <v>22</v>
      </c>
      <c r="E742" s="2" t="s">
        <v>108</v>
      </c>
      <c r="F742" s="1" t="s">
        <v>35</v>
      </c>
      <c r="G742" s="1" t="s">
        <v>25</v>
      </c>
      <c r="H742" s="1" t="s">
        <v>26</v>
      </c>
      <c r="I742" s="1" t="s">
        <v>55</v>
      </c>
      <c r="J742" s="1" t="s">
        <v>47</v>
      </c>
      <c r="K742" s="1" t="s">
        <v>159</v>
      </c>
      <c r="L742" s="3">
        <v>23141.98</v>
      </c>
      <c r="M742" s="1">
        <v>10</v>
      </c>
      <c r="N742" s="3">
        <v>231419.8</v>
      </c>
      <c r="O742" s="4">
        <v>17.899999999999999</v>
      </c>
      <c r="P742" s="3">
        <v>189995.66</v>
      </c>
      <c r="Q742" s="4">
        <v>36.9</v>
      </c>
      <c r="R742" s="3">
        <v>70108.399999999994</v>
      </c>
      <c r="S742" s="1" t="s">
        <v>79</v>
      </c>
    </row>
    <row r="743" spans="1:19" x14ac:dyDescent="0.3">
      <c r="A743" s="5" t="s">
        <v>1191</v>
      </c>
      <c r="B743" s="5" t="s">
        <v>380</v>
      </c>
      <c r="C743" s="5" t="s">
        <v>85</v>
      </c>
      <c r="D743" s="5" t="s">
        <v>86</v>
      </c>
      <c r="E743" s="6" t="s">
        <v>118</v>
      </c>
      <c r="F743" s="5" t="s">
        <v>62</v>
      </c>
      <c r="G743" s="5" t="s">
        <v>63</v>
      </c>
      <c r="H743" s="5" t="s">
        <v>64</v>
      </c>
      <c r="I743" s="5" t="s">
        <v>55</v>
      </c>
      <c r="J743" s="5" t="s">
        <v>47</v>
      </c>
      <c r="K743" s="5" t="s">
        <v>39</v>
      </c>
      <c r="L743" s="7">
        <v>2491.34</v>
      </c>
      <c r="M743" s="5">
        <v>14</v>
      </c>
      <c r="N743" s="7">
        <v>34878.76</v>
      </c>
      <c r="O743" s="8">
        <v>2.6</v>
      </c>
      <c r="P743" s="7">
        <v>33971.910000000003</v>
      </c>
      <c r="Q743" s="8">
        <v>70.5</v>
      </c>
      <c r="R743" s="7">
        <v>23950.2</v>
      </c>
      <c r="S743" s="5" t="s">
        <v>40</v>
      </c>
    </row>
    <row r="744" spans="1:19" x14ac:dyDescent="0.3">
      <c r="A744" s="1" t="s">
        <v>1192</v>
      </c>
      <c r="B744" s="1" t="s">
        <v>1193</v>
      </c>
      <c r="C744" s="1" t="s">
        <v>131</v>
      </c>
      <c r="D744" s="1" t="s">
        <v>69</v>
      </c>
      <c r="E744" s="2" t="s">
        <v>224</v>
      </c>
      <c r="F744" s="1" t="s">
        <v>166</v>
      </c>
      <c r="G744" s="1" t="s">
        <v>53</v>
      </c>
      <c r="H744" s="1" t="s">
        <v>98</v>
      </c>
      <c r="I744" s="1" t="s">
        <v>55</v>
      </c>
      <c r="J744" s="1" t="s">
        <v>28</v>
      </c>
      <c r="K744" s="1" t="s">
        <v>29</v>
      </c>
      <c r="L744" s="3">
        <v>4078.43</v>
      </c>
      <c r="M744" s="1">
        <v>3</v>
      </c>
      <c r="N744" s="3">
        <v>12235.29</v>
      </c>
      <c r="O744" s="4">
        <v>16.2</v>
      </c>
      <c r="P744" s="3">
        <v>10253.17</v>
      </c>
      <c r="Q744" s="4">
        <v>49.2</v>
      </c>
      <c r="R744" s="3">
        <v>5044.5600000000004</v>
      </c>
      <c r="S744" s="1" t="s">
        <v>40</v>
      </c>
    </row>
    <row r="745" spans="1:19" x14ac:dyDescent="0.3">
      <c r="A745" s="5" t="s">
        <v>1194</v>
      </c>
      <c r="B745" s="5" t="s">
        <v>226</v>
      </c>
      <c r="C745" s="5" t="s">
        <v>101</v>
      </c>
      <c r="D745" s="5" t="s">
        <v>60</v>
      </c>
      <c r="E745" s="6" t="s">
        <v>174</v>
      </c>
      <c r="F745" s="5" t="s">
        <v>45</v>
      </c>
      <c r="G745" s="5" t="s">
        <v>25</v>
      </c>
      <c r="H745" s="5" t="s">
        <v>215</v>
      </c>
      <c r="I745" s="5" t="s">
        <v>38</v>
      </c>
      <c r="J745" s="5" t="s">
        <v>47</v>
      </c>
      <c r="K745" s="5" t="s">
        <v>88</v>
      </c>
      <c r="L745" s="7">
        <v>411.1</v>
      </c>
      <c r="M745" s="5">
        <v>2</v>
      </c>
      <c r="N745" s="7">
        <v>822.2</v>
      </c>
      <c r="O745" s="8">
        <v>5.6</v>
      </c>
      <c r="P745" s="7">
        <v>776.16</v>
      </c>
      <c r="Q745" s="8">
        <v>28.8</v>
      </c>
      <c r="R745" s="7">
        <v>223.53</v>
      </c>
      <c r="S745" s="5" t="s">
        <v>40</v>
      </c>
    </row>
    <row r="746" spans="1:19" x14ac:dyDescent="0.3">
      <c r="A746" s="1" t="s">
        <v>1195</v>
      </c>
      <c r="B746" s="1" t="s">
        <v>355</v>
      </c>
      <c r="C746" s="1" t="s">
        <v>85</v>
      </c>
      <c r="D746" s="1" t="s">
        <v>86</v>
      </c>
      <c r="E746" s="2" t="s">
        <v>23</v>
      </c>
      <c r="F746" s="1" t="s">
        <v>24</v>
      </c>
      <c r="G746" s="1" t="s">
        <v>109</v>
      </c>
      <c r="H746" s="1" t="s">
        <v>152</v>
      </c>
      <c r="I746" s="1" t="s">
        <v>38</v>
      </c>
      <c r="J746" s="1" t="s">
        <v>93</v>
      </c>
      <c r="K746" s="1" t="s">
        <v>48</v>
      </c>
      <c r="L746" s="3">
        <v>19615.02</v>
      </c>
      <c r="M746" s="1">
        <v>19</v>
      </c>
      <c r="N746" s="3">
        <v>372685.38</v>
      </c>
      <c r="O746" s="4">
        <v>1</v>
      </c>
      <c r="P746" s="3">
        <v>368958.53</v>
      </c>
      <c r="Q746" s="4">
        <v>27.3</v>
      </c>
      <c r="R746" s="3">
        <v>100725.68</v>
      </c>
      <c r="S746" s="1" t="s">
        <v>40</v>
      </c>
    </row>
    <row r="747" spans="1:19" x14ac:dyDescent="0.3">
      <c r="A747" s="5" t="s">
        <v>1196</v>
      </c>
      <c r="B747" s="5" t="s">
        <v>323</v>
      </c>
      <c r="C747" s="5" t="s">
        <v>68</v>
      </c>
      <c r="D747" s="5" t="s">
        <v>69</v>
      </c>
      <c r="E747" s="6" t="s">
        <v>206</v>
      </c>
      <c r="F747" s="5" t="s">
        <v>52</v>
      </c>
      <c r="G747" s="5" t="s">
        <v>109</v>
      </c>
      <c r="H747" s="5" t="s">
        <v>122</v>
      </c>
      <c r="I747" s="5" t="s">
        <v>38</v>
      </c>
      <c r="J747" s="5" t="s">
        <v>93</v>
      </c>
      <c r="K747" s="5" t="s">
        <v>88</v>
      </c>
      <c r="L747" s="7">
        <v>3326.73</v>
      </c>
      <c r="M747" s="5">
        <v>11</v>
      </c>
      <c r="N747" s="7">
        <v>36594.03</v>
      </c>
      <c r="O747" s="8">
        <v>13.2</v>
      </c>
      <c r="P747" s="7">
        <v>31763.62</v>
      </c>
      <c r="Q747" s="8">
        <v>37.9</v>
      </c>
      <c r="R747" s="7">
        <v>12038.41</v>
      </c>
      <c r="S747" s="5" t="s">
        <v>79</v>
      </c>
    </row>
    <row r="748" spans="1:19" x14ac:dyDescent="0.3">
      <c r="A748" s="1" t="s">
        <v>1197</v>
      </c>
      <c r="B748" s="1" t="s">
        <v>1029</v>
      </c>
      <c r="C748" s="1" t="s">
        <v>85</v>
      </c>
      <c r="D748" s="1" t="s">
        <v>86</v>
      </c>
      <c r="E748" s="2" t="s">
        <v>142</v>
      </c>
      <c r="F748" s="1" t="s">
        <v>24</v>
      </c>
      <c r="G748" s="1" t="s">
        <v>53</v>
      </c>
      <c r="H748" s="1" t="s">
        <v>77</v>
      </c>
      <c r="I748" s="1" t="s">
        <v>55</v>
      </c>
      <c r="J748" s="1" t="s">
        <v>47</v>
      </c>
      <c r="K748" s="1" t="s">
        <v>56</v>
      </c>
      <c r="L748" s="3">
        <v>42206.34</v>
      </c>
      <c r="M748" s="1">
        <v>8</v>
      </c>
      <c r="N748" s="3">
        <v>337650.72</v>
      </c>
      <c r="O748" s="4">
        <v>6.7</v>
      </c>
      <c r="P748" s="3">
        <v>315028.12</v>
      </c>
      <c r="Q748" s="4">
        <v>17</v>
      </c>
      <c r="R748" s="3">
        <v>53554.78</v>
      </c>
      <c r="S748" s="1" t="s">
        <v>79</v>
      </c>
    </row>
    <row r="749" spans="1:19" x14ac:dyDescent="0.3">
      <c r="A749" s="5" t="s">
        <v>1198</v>
      </c>
      <c r="B749" s="5" t="s">
        <v>179</v>
      </c>
      <c r="C749" s="5" t="s">
        <v>101</v>
      </c>
      <c r="D749" s="5" t="s">
        <v>60</v>
      </c>
      <c r="E749" s="6" t="s">
        <v>148</v>
      </c>
      <c r="F749" s="5" t="s">
        <v>52</v>
      </c>
      <c r="G749" s="5" t="s">
        <v>36</v>
      </c>
      <c r="H749" s="5" t="s">
        <v>119</v>
      </c>
      <c r="I749" s="5" t="s">
        <v>38</v>
      </c>
      <c r="J749" s="5" t="s">
        <v>93</v>
      </c>
      <c r="K749" s="5" t="s">
        <v>48</v>
      </c>
      <c r="L749" s="7">
        <v>5200.0200000000004</v>
      </c>
      <c r="M749" s="5">
        <v>3</v>
      </c>
      <c r="N749" s="7">
        <v>15600.06</v>
      </c>
      <c r="O749" s="8">
        <v>24.9</v>
      </c>
      <c r="P749" s="7">
        <v>11715.65</v>
      </c>
      <c r="Q749" s="8">
        <v>29.2</v>
      </c>
      <c r="R749" s="7">
        <v>3420.97</v>
      </c>
      <c r="S749" s="5" t="s">
        <v>40</v>
      </c>
    </row>
    <row r="750" spans="1:19" x14ac:dyDescent="0.3">
      <c r="A750" s="1" t="s">
        <v>1199</v>
      </c>
      <c r="B750" s="1" t="s">
        <v>538</v>
      </c>
      <c r="C750" s="1" t="s">
        <v>68</v>
      </c>
      <c r="D750" s="1" t="s">
        <v>69</v>
      </c>
      <c r="E750" s="2" t="s">
        <v>82</v>
      </c>
      <c r="F750" s="1" t="s">
        <v>24</v>
      </c>
      <c r="G750" s="1" t="s">
        <v>109</v>
      </c>
      <c r="H750" s="1" t="s">
        <v>122</v>
      </c>
      <c r="I750" s="1" t="s">
        <v>55</v>
      </c>
      <c r="J750" s="1" t="s">
        <v>65</v>
      </c>
      <c r="K750" s="1" t="s">
        <v>39</v>
      </c>
      <c r="L750" s="3">
        <v>91791.06</v>
      </c>
      <c r="M750" s="1">
        <v>12</v>
      </c>
      <c r="N750" s="3">
        <v>1101492.72</v>
      </c>
      <c r="O750" s="4">
        <v>10.6</v>
      </c>
      <c r="P750" s="3">
        <v>984734.49</v>
      </c>
      <c r="Q750" s="4">
        <v>28.9</v>
      </c>
      <c r="R750" s="3">
        <v>284588.27</v>
      </c>
      <c r="S750" s="1" t="s">
        <v>40</v>
      </c>
    </row>
    <row r="751" spans="1:19" x14ac:dyDescent="0.3">
      <c r="A751" s="5" t="s">
        <v>1200</v>
      </c>
      <c r="B751" s="5" t="s">
        <v>1201</v>
      </c>
      <c r="C751" s="5" t="s">
        <v>21</v>
      </c>
      <c r="D751" s="5" t="s">
        <v>22</v>
      </c>
      <c r="E751" s="6" t="s">
        <v>165</v>
      </c>
      <c r="F751" s="5" t="s">
        <v>166</v>
      </c>
      <c r="G751" s="5" t="s">
        <v>36</v>
      </c>
      <c r="H751" s="5" t="s">
        <v>136</v>
      </c>
      <c r="I751" s="5" t="s">
        <v>72</v>
      </c>
      <c r="J751" s="5" t="s">
        <v>47</v>
      </c>
      <c r="K751" s="5" t="s">
        <v>88</v>
      </c>
      <c r="L751" s="7">
        <v>4286.29</v>
      </c>
      <c r="M751" s="5">
        <v>11</v>
      </c>
      <c r="N751" s="7">
        <v>47149.19</v>
      </c>
      <c r="O751" s="8">
        <v>22.4</v>
      </c>
      <c r="P751" s="7">
        <v>36587.769999999997</v>
      </c>
      <c r="Q751" s="8">
        <v>50.9</v>
      </c>
      <c r="R751" s="7">
        <v>18623.169999999998</v>
      </c>
      <c r="S751" s="5" t="s">
        <v>112</v>
      </c>
    </row>
    <row r="752" spans="1:19" x14ac:dyDescent="0.3">
      <c r="A752" s="1" t="s">
        <v>1202</v>
      </c>
      <c r="B752" s="1" t="s">
        <v>1203</v>
      </c>
      <c r="C752" s="1" t="s">
        <v>131</v>
      </c>
      <c r="D752" s="1" t="s">
        <v>69</v>
      </c>
      <c r="E752" s="2" t="s">
        <v>61</v>
      </c>
      <c r="F752" s="1" t="s">
        <v>62</v>
      </c>
      <c r="G752" s="1" t="s">
        <v>63</v>
      </c>
      <c r="H752" s="1" t="s">
        <v>64</v>
      </c>
      <c r="I752" s="1" t="s">
        <v>27</v>
      </c>
      <c r="J752" s="1" t="s">
        <v>65</v>
      </c>
      <c r="K752" s="1" t="s">
        <v>29</v>
      </c>
      <c r="L752" s="3">
        <v>301.57</v>
      </c>
      <c r="M752" s="1">
        <v>9</v>
      </c>
      <c r="N752" s="3">
        <v>2714.13</v>
      </c>
      <c r="O752" s="4">
        <v>0.9</v>
      </c>
      <c r="P752" s="3">
        <v>2689.7</v>
      </c>
      <c r="Q752" s="4">
        <v>59.4</v>
      </c>
      <c r="R752" s="3">
        <v>1597.68</v>
      </c>
      <c r="S752" s="1" t="s">
        <v>40</v>
      </c>
    </row>
    <row r="753" spans="1:19" x14ac:dyDescent="0.3">
      <c r="A753" s="5" t="s">
        <v>1204</v>
      </c>
      <c r="B753" s="5" t="s">
        <v>780</v>
      </c>
      <c r="C753" s="5" t="s">
        <v>117</v>
      </c>
      <c r="D753" s="5" t="s">
        <v>86</v>
      </c>
      <c r="E753" s="6" t="s">
        <v>358</v>
      </c>
      <c r="F753" s="5" t="s">
        <v>35</v>
      </c>
      <c r="G753" s="5" t="s">
        <v>25</v>
      </c>
      <c r="H753" s="5" t="s">
        <v>132</v>
      </c>
      <c r="I753" s="5" t="s">
        <v>27</v>
      </c>
      <c r="J753" s="5" t="s">
        <v>28</v>
      </c>
      <c r="K753" s="5" t="s">
        <v>78</v>
      </c>
      <c r="L753" s="7">
        <v>36205.379999999997</v>
      </c>
      <c r="M753" s="5">
        <v>15</v>
      </c>
      <c r="N753" s="7">
        <v>543080.69999999995</v>
      </c>
      <c r="O753" s="8">
        <v>11.3</v>
      </c>
      <c r="P753" s="7">
        <v>481712.58</v>
      </c>
      <c r="Q753" s="8">
        <v>48</v>
      </c>
      <c r="R753" s="7">
        <v>231222.04</v>
      </c>
      <c r="S753" s="5" t="s">
        <v>40</v>
      </c>
    </row>
    <row r="754" spans="1:19" x14ac:dyDescent="0.3">
      <c r="A754" s="1" t="s">
        <v>1205</v>
      </c>
      <c r="B754" s="1" t="s">
        <v>926</v>
      </c>
      <c r="C754" s="1" t="s">
        <v>131</v>
      </c>
      <c r="D754" s="1" t="s">
        <v>69</v>
      </c>
      <c r="E754" s="2" t="s">
        <v>306</v>
      </c>
      <c r="F754" s="1" t="s">
        <v>35</v>
      </c>
      <c r="G754" s="1" t="s">
        <v>63</v>
      </c>
      <c r="H754" s="1" t="s">
        <v>167</v>
      </c>
      <c r="I754" s="1" t="s">
        <v>55</v>
      </c>
      <c r="J754" s="1" t="s">
        <v>65</v>
      </c>
      <c r="K754" s="1" t="s">
        <v>48</v>
      </c>
      <c r="L754" s="3">
        <v>28882.65</v>
      </c>
      <c r="M754" s="1">
        <v>7</v>
      </c>
      <c r="N754" s="3">
        <v>202178.55</v>
      </c>
      <c r="O754" s="4">
        <v>23</v>
      </c>
      <c r="P754" s="3">
        <v>155677.48000000001</v>
      </c>
      <c r="Q754" s="4">
        <v>28.3</v>
      </c>
      <c r="R754" s="3">
        <v>44056.73</v>
      </c>
      <c r="S754" s="1" t="s">
        <v>40</v>
      </c>
    </row>
    <row r="755" spans="1:19" x14ac:dyDescent="0.3">
      <c r="A755" s="5" t="s">
        <v>1206</v>
      </c>
      <c r="B755" s="5" t="s">
        <v>1207</v>
      </c>
      <c r="C755" s="5" t="s">
        <v>85</v>
      </c>
      <c r="D755" s="5" t="s">
        <v>86</v>
      </c>
      <c r="E755" s="6" t="s">
        <v>346</v>
      </c>
      <c r="F755" s="5" t="s">
        <v>35</v>
      </c>
      <c r="G755" s="5" t="s">
        <v>53</v>
      </c>
      <c r="H755" s="5" t="s">
        <v>71</v>
      </c>
      <c r="I755" s="5" t="s">
        <v>38</v>
      </c>
      <c r="J755" s="5" t="s">
        <v>28</v>
      </c>
      <c r="K755" s="5" t="s">
        <v>149</v>
      </c>
      <c r="L755" s="7">
        <v>30957.25</v>
      </c>
      <c r="M755" s="5">
        <v>4</v>
      </c>
      <c r="N755" s="7">
        <v>123829</v>
      </c>
      <c r="O755" s="8">
        <v>8.8000000000000007</v>
      </c>
      <c r="P755" s="7">
        <v>112932.05</v>
      </c>
      <c r="Q755" s="8">
        <v>51.8</v>
      </c>
      <c r="R755" s="7">
        <v>58498.8</v>
      </c>
      <c r="S755" s="5" t="s">
        <v>40</v>
      </c>
    </row>
    <row r="756" spans="1:19" x14ac:dyDescent="0.3">
      <c r="A756" s="1" t="s">
        <v>1208</v>
      </c>
      <c r="B756" s="1" t="s">
        <v>138</v>
      </c>
      <c r="C756" s="1" t="s">
        <v>135</v>
      </c>
      <c r="D756" s="1" t="s">
        <v>69</v>
      </c>
      <c r="E756" s="2" t="s">
        <v>61</v>
      </c>
      <c r="F756" s="1" t="s">
        <v>62</v>
      </c>
      <c r="G756" s="1" t="s">
        <v>36</v>
      </c>
      <c r="H756" s="1" t="s">
        <v>37</v>
      </c>
      <c r="I756" s="1" t="s">
        <v>47</v>
      </c>
      <c r="J756" s="1" t="s">
        <v>47</v>
      </c>
      <c r="K756" s="1" t="s">
        <v>48</v>
      </c>
      <c r="L756" s="3">
        <v>757.98</v>
      </c>
      <c r="M756" s="1">
        <v>23</v>
      </c>
      <c r="N756" s="3">
        <v>17433.54</v>
      </c>
      <c r="O756" s="4">
        <v>17.600000000000001</v>
      </c>
      <c r="P756" s="3">
        <v>14365.24</v>
      </c>
      <c r="Q756" s="4">
        <v>54.4</v>
      </c>
      <c r="R756" s="3">
        <v>7814.69</v>
      </c>
      <c r="S756" s="1" t="s">
        <v>40</v>
      </c>
    </row>
    <row r="757" spans="1:19" x14ac:dyDescent="0.3">
      <c r="A757" s="5" t="s">
        <v>1209</v>
      </c>
      <c r="B757" s="5" t="s">
        <v>805</v>
      </c>
      <c r="C757" s="5" t="s">
        <v>131</v>
      </c>
      <c r="D757" s="5" t="s">
        <v>69</v>
      </c>
      <c r="E757" s="6" t="s">
        <v>158</v>
      </c>
      <c r="F757" s="5" t="s">
        <v>35</v>
      </c>
      <c r="G757" s="5" t="s">
        <v>109</v>
      </c>
      <c r="H757" s="5" t="s">
        <v>122</v>
      </c>
      <c r="I757" s="5" t="s">
        <v>27</v>
      </c>
      <c r="J757" s="5" t="s">
        <v>65</v>
      </c>
      <c r="K757" s="5" t="s">
        <v>111</v>
      </c>
      <c r="L757" s="7">
        <v>38843.96</v>
      </c>
      <c r="M757" s="5">
        <v>17</v>
      </c>
      <c r="N757" s="7">
        <v>660347.31999999995</v>
      </c>
      <c r="O757" s="8">
        <v>2.7</v>
      </c>
      <c r="P757" s="7">
        <v>642517.93999999994</v>
      </c>
      <c r="Q757" s="8">
        <v>43.9</v>
      </c>
      <c r="R757" s="7">
        <v>282065.38</v>
      </c>
      <c r="S757" s="5" t="s">
        <v>40</v>
      </c>
    </row>
    <row r="758" spans="1:19" x14ac:dyDescent="0.3">
      <c r="A758" s="1" t="s">
        <v>1210</v>
      </c>
      <c r="B758" s="1" t="s">
        <v>491</v>
      </c>
      <c r="C758" s="1" t="s">
        <v>68</v>
      </c>
      <c r="D758" s="1" t="s">
        <v>69</v>
      </c>
      <c r="E758" s="2" t="s">
        <v>358</v>
      </c>
      <c r="F758" s="1" t="s">
        <v>35</v>
      </c>
      <c r="G758" s="1" t="s">
        <v>36</v>
      </c>
      <c r="H758" s="1" t="s">
        <v>37</v>
      </c>
      <c r="I758" s="1" t="s">
        <v>38</v>
      </c>
      <c r="J758" s="1" t="s">
        <v>65</v>
      </c>
      <c r="K758" s="1" t="s">
        <v>56</v>
      </c>
      <c r="L758" s="3">
        <v>4103.08</v>
      </c>
      <c r="M758" s="1">
        <v>15</v>
      </c>
      <c r="N758" s="3">
        <v>61546.2</v>
      </c>
      <c r="O758" s="4">
        <v>20.399999999999999</v>
      </c>
      <c r="P758" s="3">
        <v>48990.78</v>
      </c>
      <c r="Q758" s="4">
        <v>36.799999999999997</v>
      </c>
      <c r="R758" s="3">
        <v>18028.61</v>
      </c>
      <c r="S758" s="1" t="s">
        <v>40</v>
      </c>
    </row>
    <row r="759" spans="1:19" x14ac:dyDescent="0.3">
      <c r="A759" s="5" t="s">
        <v>1211</v>
      </c>
      <c r="B759" s="5" t="s">
        <v>169</v>
      </c>
      <c r="C759" s="5" t="s">
        <v>117</v>
      </c>
      <c r="D759" s="5" t="s">
        <v>86</v>
      </c>
      <c r="E759" s="6" t="s">
        <v>108</v>
      </c>
      <c r="F759" s="5" t="s">
        <v>35</v>
      </c>
      <c r="G759" s="5" t="s">
        <v>109</v>
      </c>
      <c r="H759" s="5" t="s">
        <v>152</v>
      </c>
      <c r="I759" s="5" t="s">
        <v>27</v>
      </c>
      <c r="J759" s="5" t="s">
        <v>93</v>
      </c>
      <c r="K759" s="5" t="s">
        <v>78</v>
      </c>
      <c r="L759" s="7">
        <v>19399.97</v>
      </c>
      <c r="M759" s="5">
        <v>2</v>
      </c>
      <c r="N759" s="7">
        <v>38799.94</v>
      </c>
      <c r="O759" s="8">
        <v>16.100000000000001</v>
      </c>
      <c r="P759" s="7">
        <v>32553.15</v>
      </c>
      <c r="Q759" s="8">
        <v>50.5</v>
      </c>
      <c r="R759" s="7">
        <v>16439.34</v>
      </c>
      <c r="S759" s="5" t="s">
        <v>112</v>
      </c>
    </row>
    <row r="760" spans="1:19" x14ac:dyDescent="0.3">
      <c r="A760" s="1" t="s">
        <v>1212</v>
      </c>
      <c r="B760" s="1" t="s">
        <v>461</v>
      </c>
      <c r="C760" s="1" t="s">
        <v>117</v>
      </c>
      <c r="D760" s="1" t="s">
        <v>86</v>
      </c>
      <c r="E760" s="2" t="s">
        <v>91</v>
      </c>
      <c r="F760" s="1" t="s">
        <v>52</v>
      </c>
      <c r="G760" s="1" t="s">
        <v>36</v>
      </c>
      <c r="H760" s="1" t="s">
        <v>119</v>
      </c>
      <c r="I760" s="1" t="s">
        <v>55</v>
      </c>
      <c r="J760" s="1" t="s">
        <v>47</v>
      </c>
      <c r="K760" s="1" t="s">
        <v>102</v>
      </c>
      <c r="L760" s="3">
        <v>7180.02</v>
      </c>
      <c r="M760" s="1">
        <v>3</v>
      </c>
      <c r="N760" s="3">
        <v>21540.06</v>
      </c>
      <c r="O760" s="4">
        <v>12.4</v>
      </c>
      <c r="P760" s="3">
        <v>18869.09</v>
      </c>
      <c r="Q760" s="4">
        <v>33.6</v>
      </c>
      <c r="R760" s="3">
        <v>6340.01</v>
      </c>
      <c r="S760" s="1" t="s">
        <v>40</v>
      </c>
    </row>
    <row r="761" spans="1:19" x14ac:dyDescent="0.3">
      <c r="A761" s="5" t="s">
        <v>1213</v>
      </c>
      <c r="B761" s="5" t="s">
        <v>463</v>
      </c>
      <c r="C761" s="5" t="s">
        <v>59</v>
      </c>
      <c r="D761" s="5" t="s">
        <v>60</v>
      </c>
      <c r="E761" s="6" t="s">
        <v>279</v>
      </c>
      <c r="F761" s="5" t="s">
        <v>166</v>
      </c>
      <c r="G761" s="5" t="s">
        <v>109</v>
      </c>
      <c r="H761" s="5" t="s">
        <v>189</v>
      </c>
      <c r="I761" s="5" t="s">
        <v>27</v>
      </c>
      <c r="J761" s="5" t="s">
        <v>28</v>
      </c>
      <c r="K761" s="5" t="s">
        <v>78</v>
      </c>
      <c r="L761" s="7">
        <v>4693.4399999999996</v>
      </c>
      <c r="M761" s="5">
        <v>16</v>
      </c>
      <c r="N761" s="7">
        <v>75095.039999999994</v>
      </c>
      <c r="O761" s="8">
        <v>22.9</v>
      </c>
      <c r="P761" s="7">
        <v>57898.28</v>
      </c>
      <c r="Q761" s="8">
        <v>39.5</v>
      </c>
      <c r="R761" s="7">
        <v>22869.82</v>
      </c>
      <c r="S761" s="5" t="s">
        <v>40</v>
      </c>
    </row>
    <row r="762" spans="1:19" x14ac:dyDescent="0.3">
      <c r="A762" s="1" t="s">
        <v>1214</v>
      </c>
      <c r="B762" s="1" t="s">
        <v>604</v>
      </c>
      <c r="C762" s="1" t="s">
        <v>101</v>
      </c>
      <c r="D762" s="1" t="s">
        <v>60</v>
      </c>
      <c r="E762" s="2" t="s">
        <v>70</v>
      </c>
      <c r="F762" s="1" t="s">
        <v>24</v>
      </c>
      <c r="G762" s="1" t="s">
        <v>25</v>
      </c>
      <c r="H762" s="1" t="s">
        <v>46</v>
      </c>
      <c r="I762" s="1" t="s">
        <v>55</v>
      </c>
      <c r="J762" s="1" t="s">
        <v>47</v>
      </c>
      <c r="K762" s="1" t="s">
        <v>39</v>
      </c>
      <c r="L762" s="3">
        <v>50451.98</v>
      </c>
      <c r="M762" s="1">
        <v>13</v>
      </c>
      <c r="N762" s="3">
        <v>655875.74</v>
      </c>
      <c r="O762" s="4">
        <v>19.5</v>
      </c>
      <c r="P762" s="3">
        <v>527979.97</v>
      </c>
      <c r="Q762" s="4">
        <v>15.2</v>
      </c>
      <c r="R762" s="3">
        <v>80252.960000000006</v>
      </c>
      <c r="S762" s="1" t="s">
        <v>40</v>
      </c>
    </row>
    <row r="763" spans="1:19" x14ac:dyDescent="0.3">
      <c r="A763" s="5" t="s">
        <v>1215</v>
      </c>
      <c r="B763" s="5" t="s">
        <v>533</v>
      </c>
      <c r="C763" s="5" t="s">
        <v>101</v>
      </c>
      <c r="D763" s="5" t="s">
        <v>60</v>
      </c>
      <c r="E763" s="6" t="s">
        <v>91</v>
      </c>
      <c r="F763" s="5" t="s">
        <v>52</v>
      </c>
      <c r="G763" s="5" t="s">
        <v>53</v>
      </c>
      <c r="H763" s="5" t="s">
        <v>54</v>
      </c>
      <c r="I763" s="5" t="s">
        <v>72</v>
      </c>
      <c r="J763" s="5" t="s">
        <v>93</v>
      </c>
      <c r="K763" s="5" t="s">
        <v>149</v>
      </c>
      <c r="L763" s="7">
        <v>498.17</v>
      </c>
      <c r="M763" s="5">
        <v>8</v>
      </c>
      <c r="N763" s="7">
        <v>3985.36</v>
      </c>
      <c r="O763" s="8">
        <v>21.5</v>
      </c>
      <c r="P763" s="7">
        <v>3128.51</v>
      </c>
      <c r="Q763" s="8">
        <v>27.4</v>
      </c>
      <c r="R763" s="7">
        <v>857.21</v>
      </c>
      <c r="S763" s="5" t="s">
        <v>79</v>
      </c>
    </row>
    <row r="764" spans="1:19" x14ac:dyDescent="0.3">
      <c r="A764" s="1" t="s">
        <v>1216</v>
      </c>
      <c r="B764" s="1" t="s">
        <v>1217</v>
      </c>
      <c r="C764" s="1" t="s">
        <v>68</v>
      </c>
      <c r="D764" s="1" t="s">
        <v>69</v>
      </c>
      <c r="E764" s="2" t="s">
        <v>410</v>
      </c>
      <c r="F764" s="1" t="s">
        <v>166</v>
      </c>
      <c r="G764" s="1" t="s">
        <v>109</v>
      </c>
      <c r="H764" s="1" t="s">
        <v>110</v>
      </c>
      <c r="I764" s="1" t="s">
        <v>72</v>
      </c>
      <c r="J764" s="1" t="s">
        <v>47</v>
      </c>
      <c r="K764" s="1" t="s">
        <v>48</v>
      </c>
      <c r="L764" s="3">
        <v>3975.9</v>
      </c>
      <c r="M764" s="1">
        <v>11</v>
      </c>
      <c r="N764" s="3">
        <v>43734.9</v>
      </c>
      <c r="O764" s="4">
        <v>13</v>
      </c>
      <c r="P764" s="3">
        <v>38049.360000000001</v>
      </c>
      <c r="Q764" s="4">
        <v>52.6</v>
      </c>
      <c r="R764" s="3">
        <v>20013.96</v>
      </c>
      <c r="S764" s="1" t="s">
        <v>112</v>
      </c>
    </row>
    <row r="765" spans="1:19" x14ac:dyDescent="0.3">
      <c r="A765" s="5" t="s">
        <v>1218</v>
      </c>
      <c r="B765" s="5" t="s">
        <v>401</v>
      </c>
      <c r="C765" s="5" t="s">
        <v>101</v>
      </c>
      <c r="D765" s="5" t="s">
        <v>60</v>
      </c>
      <c r="E765" s="6" t="s">
        <v>346</v>
      </c>
      <c r="F765" s="5" t="s">
        <v>35</v>
      </c>
      <c r="G765" s="5" t="s">
        <v>63</v>
      </c>
      <c r="H765" s="5" t="s">
        <v>64</v>
      </c>
      <c r="I765" s="5" t="s">
        <v>38</v>
      </c>
      <c r="J765" s="5" t="s">
        <v>93</v>
      </c>
      <c r="K765" s="5" t="s">
        <v>48</v>
      </c>
      <c r="L765" s="7">
        <v>37535.339999999997</v>
      </c>
      <c r="M765" s="5">
        <v>6</v>
      </c>
      <c r="N765" s="7">
        <v>225212.04</v>
      </c>
      <c r="O765" s="8">
        <v>10.6</v>
      </c>
      <c r="P765" s="7">
        <v>201339.56</v>
      </c>
      <c r="Q765" s="8">
        <v>37.1</v>
      </c>
      <c r="R765" s="7">
        <v>74696.98</v>
      </c>
      <c r="S765" s="5" t="s">
        <v>112</v>
      </c>
    </row>
    <row r="766" spans="1:19" x14ac:dyDescent="0.3">
      <c r="A766" s="1" t="s">
        <v>1219</v>
      </c>
      <c r="B766" s="1" t="s">
        <v>1220</v>
      </c>
      <c r="C766" s="1" t="s">
        <v>33</v>
      </c>
      <c r="D766" s="1" t="s">
        <v>22</v>
      </c>
      <c r="E766" s="2" t="s">
        <v>279</v>
      </c>
      <c r="F766" s="1" t="s">
        <v>166</v>
      </c>
      <c r="G766" s="1" t="s">
        <v>109</v>
      </c>
      <c r="H766" s="1" t="s">
        <v>189</v>
      </c>
      <c r="I766" s="1" t="s">
        <v>47</v>
      </c>
      <c r="J766" s="1" t="s">
        <v>28</v>
      </c>
      <c r="K766" s="1" t="s">
        <v>29</v>
      </c>
      <c r="L766" s="3">
        <v>2727.13</v>
      </c>
      <c r="M766" s="1">
        <v>18</v>
      </c>
      <c r="N766" s="3">
        <v>49088.34</v>
      </c>
      <c r="O766" s="4">
        <v>21.3</v>
      </c>
      <c r="P766" s="3">
        <v>38632.519999999997</v>
      </c>
      <c r="Q766" s="4">
        <v>52.9</v>
      </c>
      <c r="R766" s="3">
        <v>20436.599999999999</v>
      </c>
      <c r="S766" s="1" t="s">
        <v>40</v>
      </c>
    </row>
    <row r="767" spans="1:19" x14ac:dyDescent="0.3">
      <c r="A767" s="5" t="s">
        <v>1221</v>
      </c>
      <c r="B767" s="5" t="s">
        <v>223</v>
      </c>
      <c r="C767" s="5" t="s">
        <v>33</v>
      </c>
      <c r="D767" s="5" t="s">
        <v>22</v>
      </c>
      <c r="E767" s="6" t="s">
        <v>320</v>
      </c>
      <c r="F767" s="5" t="s">
        <v>24</v>
      </c>
      <c r="G767" s="5" t="s">
        <v>63</v>
      </c>
      <c r="H767" s="5" t="s">
        <v>92</v>
      </c>
      <c r="I767" s="5" t="s">
        <v>27</v>
      </c>
      <c r="J767" s="5" t="s">
        <v>65</v>
      </c>
      <c r="K767" s="5" t="s">
        <v>56</v>
      </c>
      <c r="L767" s="7">
        <v>36422.11</v>
      </c>
      <c r="M767" s="5">
        <v>18</v>
      </c>
      <c r="N767" s="7">
        <v>655597.98</v>
      </c>
      <c r="O767" s="8">
        <v>10.1</v>
      </c>
      <c r="P767" s="7">
        <v>589382.57999999996</v>
      </c>
      <c r="Q767" s="8">
        <v>19.2</v>
      </c>
      <c r="R767" s="7">
        <v>113161.46</v>
      </c>
      <c r="S767" s="5" t="s">
        <v>40</v>
      </c>
    </row>
    <row r="768" spans="1:19" x14ac:dyDescent="0.3">
      <c r="A768" s="1" t="s">
        <v>1222</v>
      </c>
      <c r="B768" s="1" t="s">
        <v>1049</v>
      </c>
      <c r="C768" s="1" t="s">
        <v>117</v>
      </c>
      <c r="D768" s="1" t="s">
        <v>86</v>
      </c>
      <c r="E768" s="2" t="s">
        <v>206</v>
      </c>
      <c r="F768" s="1" t="s">
        <v>52</v>
      </c>
      <c r="G768" s="1" t="s">
        <v>109</v>
      </c>
      <c r="H768" s="1" t="s">
        <v>189</v>
      </c>
      <c r="I768" s="1" t="s">
        <v>27</v>
      </c>
      <c r="J768" s="1" t="s">
        <v>93</v>
      </c>
      <c r="K768" s="1" t="s">
        <v>29</v>
      </c>
      <c r="L768" s="3">
        <v>1872.29</v>
      </c>
      <c r="M768" s="1">
        <v>6</v>
      </c>
      <c r="N768" s="3">
        <v>11233.74</v>
      </c>
      <c r="O768" s="4">
        <v>21.1</v>
      </c>
      <c r="P768" s="3">
        <v>8863.42</v>
      </c>
      <c r="Q768" s="4">
        <v>36.200000000000003</v>
      </c>
      <c r="R768" s="3">
        <v>3208.56</v>
      </c>
      <c r="S768" s="1" t="s">
        <v>40</v>
      </c>
    </row>
    <row r="769" spans="1:19" x14ac:dyDescent="0.3">
      <c r="A769" s="5" t="s">
        <v>1223</v>
      </c>
      <c r="B769" s="5" t="s">
        <v>258</v>
      </c>
      <c r="C769" s="5" t="s">
        <v>85</v>
      </c>
      <c r="D769" s="5" t="s">
        <v>86</v>
      </c>
      <c r="E769" s="6" t="s">
        <v>82</v>
      </c>
      <c r="F769" s="5" t="s">
        <v>24</v>
      </c>
      <c r="G769" s="5" t="s">
        <v>53</v>
      </c>
      <c r="H769" s="5" t="s">
        <v>98</v>
      </c>
      <c r="I769" s="5" t="s">
        <v>72</v>
      </c>
      <c r="J769" s="5" t="s">
        <v>28</v>
      </c>
      <c r="K769" s="5" t="s">
        <v>149</v>
      </c>
      <c r="L769" s="7">
        <v>78793.11</v>
      </c>
      <c r="M769" s="5">
        <v>1</v>
      </c>
      <c r="N769" s="7">
        <v>78793.11</v>
      </c>
      <c r="O769" s="8">
        <v>3.5</v>
      </c>
      <c r="P769" s="7">
        <v>76035.350000000006</v>
      </c>
      <c r="Q769" s="8">
        <v>22.2</v>
      </c>
      <c r="R769" s="7">
        <v>16879.849999999999</v>
      </c>
      <c r="S769" s="5" t="s">
        <v>40</v>
      </c>
    </row>
    <row r="770" spans="1:19" x14ac:dyDescent="0.3">
      <c r="A770" s="1" t="s">
        <v>1224</v>
      </c>
      <c r="B770" s="1" t="s">
        <v>661</v>
      </c>
      <c r="C770" s="1" t="s">
        <v>85</v>
      </c>
      <c r="D770" s="1" t="s">
        <v>86</v>
      </c>
      <c r="E770" s="2" t="s">
        <v>125</v>
      </c>
      <c r="F770" s="1" t="s">
        <v>62</v>
      </c>
      <c r="G770" s="1" t="s">
        <v>25</v>
      </c>
      <c r="H770" s="1" t="s">
        <v>132</v>
      </c>
      <c r="I770" s="1" t="s">
        <v>47</v>
      </c>
      <c r="J770" s="1" t="s">
        <v>65</v>
      </c>
      <c r="K770" s="1" t="s">
        <v>159</v>
      </c>
      <c r="L770" s="3">
        <v>3230.29</v>
      </c>
      <c r="M770" s="1">
        <v>3</v>
      </c>
      <c r="N770" s="3">
        <v>9690.8700000000008</v>
      </c>
      <c r="O770" s="4">
        <v>8.8000000000000007</v>
      </c>
      <c r="P770" s="3">
        <v>8838.07</v>
      </c>
      <c r="Q770" s="4">
        <v>54.1</v>
      </c>
      <c r="R770" s="3">
        <v>4781.3999999999996</v>
      </c>
      <c r="S770" s="1" t="s">
        <v>40</v>
      </c>
    </row>
    <row r="771" spans="1:19" x14ac:dyDescent="0.3">
      <c r="A771" s="5" t="s">
        <v>1225</v>
      </c>
      <c r="B771" s="5" t="s">
        <v>448</v>
      </c>
      <c r="C771" s="5" t="s">
        <v>33</v>
      </c>
      <c r="D771" s="5" t="s">
        <v>22</v>
      </c>
      <c r="E771" s="6" t="s">
        <v>201</v>
      </c>
      <c r="F771" s="5" t="s">
        <v>24</v>
      </c>
      <c r="G771" s="5" t="s">
        <v>53</v>
      </c>
      <c r="H771" s="5" t="s">
        <v>71</v>
      </c>
      <c r="I771" s="5" t="s">
        <v>47</v>
      </c>
      <c r="J771" s="5" t="s">
        <v>93</v>
      </c>
      <c r="K771" s="5" t="s">
        <v>111</v>
      </c>
      <c r="L771" s="7">
        <v>74513.33</v>
      </c>
      <c r="M771" s="5">
        <v>23</v>
      </c>
      <c r="N771" s="7">
        <v>1713806.59</v>
      </c>
      <c r="O771" s="8">
        <v>18.600000000000001</v>
      </c>
      <c r="P771" s="7">
        <v>1395038.56</v>
      </c>
      <c r="Q771" s="8">
        <v>24.6</v>
      </c>
      <c r="R771" s="7">
        <v>343179.49</v>
      </c>
      <c r="S771" s="5" t="s">
        <v>40</v>
      </c>
    </row>
    <row r="772" spans="1:19" x14ac:dyDescent="0.3">
      <c r="A772" s="1" t="s">
        <v>1226</v>
      </c>
      <c r="B772" s="1" t="s">
        <v>501</v>
      </c>
      <c r="C772" s="1" t="s">
        <v>68</v>
      </c>
      <c r="D772" s="1" t="s">
        <v>69</v>
      </c>
      <c r="E772" s="2" t="s">
        <v>142</v>
      </c>
      <c r="F772" s="1" t="s">
        <v>24</v>
      </c>
      <c r="G772" s="1" t="s">
        <v>63</v>
      </c>
      <c r="H772" s="1" t="s">
        <v>64</v>
      </c>
      <c r="I772" s="1" t="s">
        <v>47</v>
      </c>
      <c r="J772" s="1" t="s">
        <v>65</v>
      </c>
      <c r="K772" s="1" t="s">
        <v>149</v>
      </c>
      <c r="L772" s="3">
        <v>44831.040000000001</v>
      </c>
      <c r="M772" s="1">
        <v>3</v>
      </c>
      <c r="N772" s="3">
        <v>134493.12</v>
      </c>
      <c r="O772" s="4">
        <v>7</v>
      </c>
      <c r="P772" s="3">
        <v>125078.6</v>
      </c>
      <c r="Q772" s="4">
        <v>27.1</v>
      </c>
      <c r="R772" s="3">
        <v>33896.300000000003</v>
      </c>
      <c r="S772" s="1" t="s">
        <v>40</v>
      </c>
    </row>
    <row r="773" spans="1:19" x14ac:dyDescent="0.3">
      <c r="A773" s="5" t="s">
        <v>1227</v>
      </c>
      <c r="B773" s="5" t="s">
        <v>594</v>
      </c>
      <c r="C773" s="5" t="s">
        <v>33</v>
      </c>
      <c r="D773" s="5" t="s">
        <v>22</v>
      </c>
      <c r="E773" s="6" t="s">
        <v>125</v>
      </c>
      <c r="F773" s="5" t="s">
        <v>62</v>
      </c>
      <c r="G773" s="5" t="s">
        <v>109</v>
      </c>
      <c r="H773" s="5" t="s">
        <v>122</v>
      </c>
      <c r="I773" s="5" t="s">
        <v>55</v>
      </c>
      <c r="J773" s="5" t="s">
        <v>28</v>
      </c>
      <c r="K773" s="5" t="s">
        <v>159</v>
      </c>
      <c r="L773" s="7">
        <v>2524.34</v>
      </c>
      <c r="M773" s="5">
        <v>14</v>
      </c>
      <c r="N773" s="7">
        <v>35340.76</v>
      </c>
      <c r="O773" s="8">
        <v>23.6</v>
      </c>
      <c r="P773" s="7">
        <v>27000.34</v>
      </c>
      <c r="Q773" s="8">
        <v>52.9</v>
      </c>
      <c r="R773" s="7">
        <v>14283.18</v>
      </c>
      <c r="S773" s="5" t="s">
        <v>30</v>
      </c>
    </row>
    <row r="774" spans="1:19" x14ac:dyDescent="0.3">
      <c r="A774" s="1" t="s">
        <v>1228</v>
      </c>
      <c r="B774" s="1" t="s">
        <v>238</v>
      </c>
      <c r="C774" s="1" t="s">
        <v>101</v>
      </c>
      <c r="D774" s="1" t="s">
        <v>60</v>
      </c>
      <c r="E774" s="2" t="s">
        <v>108</v>
      </c>
      <c r="F774" s="1" t="s">
        <v>35</v>
      </c>
      <c r="G774" s="1" t="s">
        <v>36</v>
      </c>
      <c r="H774" s="1" t="s">
        <v>136</v>
      </c>
      <c r="I774" s="1" t="s">
        <v>72</v>
      </c>
      <c r="J774" s="1" t="s">
        <v>65</v>
      </c>
      <c r="K774" s="1" t="s">
        <v>88</v>
      </c>
      <c r="L774" s="3">
        <v>27596.01</v>
      </c>
      <c r="M774" s="1">
        <v>20</v>
      </c>
      <c r="N774" s="3">
        <v>551920.19999999995</v>
      </c>
      <c r="O774" s="4">
        <v>21.3</v>
      </c>
      <c r="P774" s="3">
        <v>434361.2</v>
      </c>
      <c r="Q774" s="4">
        <v>36</v>
      </c>
      <c r="R774" s="3">
        <v>156370.03</v>
      </c>
      <c r="S774" s="1" t="s">
        <v>40</v>
      </c>
    </row>
    <row r="775" spans="1:19" x14ac:dyDescent="0.3">
      <c r="A775" s="5" t="s">
        <v>1229</v>
      </c>
      <c r="B775" s="5" t="s">
        <v>288</v>
      </c>
      <c r="C775" s="5" t="s">
        <v>59</v>
      </c>
      <c r="D775" s="5" t="s">
        <v>60</v>
      </c>
      <c r="E775" s="6" t="s">
        <v>97</v>
      </c>
      <c r="F775" s="5" t="s">
        <v>35</v>
      </c>
      <c r="G775" s="5" t="s">
        <v>63</v>
      </c>
      <c r="H775" s="5" t="s">
        <v>64</v>
      </c>
      <c r="I775" s="5" t="s">
        <v>27</v>
      </c>
      <c r="J775" s="5" t="s">
        <v>47</v>
      </c>
      <c r="K775" s="5" t="s">
        <v>159</v>
      </c>
      <c r="L775" s="7">
        <v>38025.11</v>
      </c>
      <c r="M775" s="5">
        <v>7</v>
      </c>
      <c r="N775" s="7">
        <v>266175.77</v>
      </c>
      <c r="O775" s="8">
        <v>24.1</v>
      </c>
      <c r="P775" s="7">
        <v>202027.41</v>
      </c>
      <c r="Q775" s="8">
        <v>50</v>
      </c>
      <c r="R775" s="7">
        <v>101013.71</v>
      </c>
      <c r="S775" s="5" t="s">
        <v>40</v>
      </c>
    </row>
    <row r="776" spans="1:19" x14ac:dyDescent="0.3">
      <c r="A776" s="1" t="s">
        <v>1230</v>
      </c>
      <c r="B776" s="1" t="s">
        <v>521</v>
      </c>
      <c r="C776" s="1" t="s">
        <v>101</v>
      </c>
      <c r="D776" s="1" t="s">
        <v>60</v>
      </c>
      <c r="E776" s="2" t="s">
        <v>180</v>
      </c>
      <c r="F776" s="1" t="s">
        <v>166</v>
      </c>
      <c r="G776" s="1" t="s">
        <v>53</v>
      </c>
      <c r="H776" s="1" t="s">
        <v>77</v>
      </c>
      <c r="I776" s="1" t="s">
        <v>47</v>
      </c>
      <c r="J776" s="1" t="s">
        <v>65</v>
      </c>
      <c r="K776" s="1" t="s">
        <v>78</v>
      </c>
      <c r="L776" s="3">
        <v>3843.04</v>
      </c>
      <c r="M776" s="1">
        <v>5</v>
      </c>
      <c r="N776" s="3">
        <v>19215.2</v>
      </c>
      <c r="O776" s="4">
        <v>4.0999999999999996</v>
      </c>
      <c r="P776" s="3">
        <v>18427.38</v>
      </c>
      <c r="Q776" s="4">
        <v>61.2</v>
      </c>
      <c r="R776" s="3">
        <v>11277.56</v>
      </c>
      <c r="S776" s="1" t="s">
        <v>40</v>
      </c>
    </row>
    <row r="777" spans="1:19" x14ac:dyDescent="0.3">
      <c r="A777" s="5" t="s">
        <v>1231</v>
      </c>
      <c r="B777" s="5" t="s">
        <v>747</v>
      </c>
      <c r="C777" s="5" t="s">
        <v>59</v>
      </c>
      <c r="D777" s="5" t="s">
        <v>60</v>
      </c>
      <c r="E777" s="6" t="s">
        <v>145</v>
      </c>
      <c r="F777" s="5" t="s">
        <v>62</v>
      </c>
      <c r="G777" s="5" t="s">
        <v>25</v>
      </c>
      <c r="H777" s="5" t="s">
        <v>215</v>
      </c>
      <c r="I777" s="5" t="s">
        <v>27</v>
      </c>
      <c r="J777" s="5" t="s">
        <v>47</v>
      </c>
      <c r="K777" s="5" t="s">
        <v>56</v>
      </c>
      <c r="L777" s="7">
        <v>2949.54</v>
      </c>
      <c r="M777" s="5">
        <v>17</v>
      </c>
      <c r="N777" s="7">
        <v>50142.18</v>
      </c>
      <c r="O777" s="8">
        <v>0.7</v>
      </c>
      <c r="P777" s="7">
        <v>49791.18</v>
      </c>
      <c r="Q777" s="8">
        <v>49.9</v>
      </c>
      <c r="R777" s="7">
        <v>24845.8</v>
      </c>
      <c r="S777" s="5" t="s">
        <v>79</v>
      </c>
    </row>
    <row r="778" spans="1:19" x14ac:dyDescent="0.3">
      <c r="A778" s="1" t="s">
        <v>1232</v>
      </c>
      <c r="B778" s="1" t="s">
        <v>1060</v>
      </c>
      <c r="C778" s="1" t="s">
        <v>101</v>
      </c>
      <c r="D778" s="1" t="s">
        <v>60</v>
      </c>
      <c r="E778" s="2" t="s">
        <v>184</v>
      </c>
      <c r="F778" s="1" t="s">
        <v>45</v>
      </c>
      <c r="G778" s="1" t="s">
        <v>25</v>
      </c>
      <c r="H778" s="1" t="s">
        <v>26</v>
      </c>
      <c r="I778" s="1" t="s">
        <v>38</v>
      </c>
      <c r="J778" s="1" t="s">
        <v>47</v>
      </c>
      <c r="K778" s="1" t="s">
        <v>56</v>
      </c>
      <c r="L778" s="3">
        <v>810.5</v>
      </c>
      <c r="M778" s="1">
        <v>25</v>
      </c>
      <c r="N778" s="3">
        <v>20262.5</v>
      </c>
      <c r="O778" s="4">
        <v>15</v>
      </c>
      <c r="P778" s="3">
        <v>17223.12</v>
      </c>
      <c r="Q778" s="4">
        <v>39.5</v>
      </c>
      <c r="R778" s="3">
        <v>6803.13</v>
      </c>
      <c r="S778" s="1" t="s">
        <v>112</v>
      </c>
    </row>
    <row r="779" spans="1:19" x14ac:dyDescent="0.3">
      <c r="A779" s="5" t="s">
        <v>1233</v>
      </c>
      <c r="B779" s="5" t="s">
        <v>431</v>
      </c>
      <c r="C779" s="5" t="s">
        <v>21</v>
      </c>
      <c r="D779" s="5" t="s">
        <v>22</v>
      </c>
      <c r="E779" s="6" t="s">
        <v>82</v>
      </c>
      <c r="F779" s="5" t="s">
        <v>24</v>
      </c>
      <c r="G779" s="5" t="s">
        <v>25</v>
      </c>
      <c r="H779" s="5" t="s">
        <v>215</v>
      </c>
      <c r="I779" s="5" t="s">
        <v>47</v>
      </c>
      <c r="J779" s="5" t="s">
        <v>28</v>
      </c>
      <c r="K779" s="5" t="s">
        <v>56</v>
      </c>
      <c r="L779" s="7">
        <v>55914.82</v>
      </c>
      <c r="M779" s="5">
        <v>19</v>
      </c>
      <c r="N779" s="7">
        <v>1062381.58</v>
      </c>
      <c r="O779" s="8">
        <v>0.2</v>
      </c>
      <c r="P779" s="7">
        <v>1060256.82</v>
      </c>
      <c r="Q779" s="8">
        <v>27.7</v>
      </c>
      <c r="R779" s="7">
        <v>293691.14</v>
      </c>
      <c r="S779" s="5" t="s">
        <v>112</v>
      </c>
    </row>
    <row r="780" spans="1:19" x14ac:dyDescent="0.3">
      <c r="A780" s="1" t="s">
        <v>1234</v>
      </c>
      <c r="B780" s="1" t="s">
        <v>637</v>
      </c>
      <c r="C780" s="1" t="s">
        <v>59</v>
      </c>
      <c r="D780" s="1" t="s">
        <v>60</v>
      </c>
      <c r="E780" s="2" t="s">
        <v>61</v>
      </c>
      <c r="F780" s="1" t="s">
        <v>62</v>
      </c>
      <c r="G780" s="1" t="s">
        <v>36</v>
      </c>
      <c r="H780" s="1" t="s">
        <v>37</v>
      </c>
      <c r="I780" s="1" t="s">
        <v>72</v>
      </c>
      <c r="J780" s="1" t="s">
        <v>65</v>
      </c>
      <c r="K780" s="1" t="s">
        <v>39</v>
      </c>
      <c r="L780" s="3">
        <v>590.65</v>
      </c>
      <c r="M780" s="1">
        <v>21</v>
      </c>
      <c r="N780" s="3">
        <v>12403.65</v>
      </c>
      <c r="O780" s="4">
        <v>18.399999999999999</v>
      </c>
      <c r="P780" s="3">
        <v>10121.379999999999</v>
      </c>
      <c r="Q780" s="4">
        <v>63</v>
      </c>
      <c r="R780" s="3">
        <v>6376.47</v>
      </c>
      <c r="S780" s="1" t="s">
        <v>40</v>
      </c>
    </row>
    <row r="781" spans="1:19" x14ac:dyDescent="0.3">
      <c r="A781" s="5" t="s">
        <v>1235</v>
      </c>
      <c r="B781" s="5" t="s">
        <v>138</v>
      </c>
      <c r="C781" s="5" t="s">
        <v>135</v>
      </c>
      <c r="D781" s="5" t="s">
        <v>69</v>
      </c>
      <c r="E781" s="6" t="s">
        <v>346</v>
      </c>
      <c r="F781" s="5" t="s">
        <v>35</v>
      </c>
      <c r="G781" s="5" t="s">
        <v>25</v>
      </c>
      <c r="H781" s="5" t="s">
        <v>46</v>
      </c>
      <c r="I781" s="5" t="s">
        <v>27</v>
      </c>
      <c r="J781" s="5" t="s">
        <v>28</v>
      </c>
      <c r="K781" s="5" t="s">
        <v>78</v>
      </c>
      <c r="L781" s="7">
        <v>15373.31</v>
      </c>
      <c r="M781" s="5">
        <v>8</v>
      </c>
      <c r="N781" s="7">
        <v>122986.48</v>
      </c>
      <c r="O781" s="8">
        <v>11.2</v>
      </c>
      <c r="P781" s="7">
        <v>109211.99</v>
      </c>
      <c r="Q781" s="8">
        <v>46.6</v>
      </c>
      <c r="R781" s="7">
        <v>50892.79</v>
      </c>
      <c r="S781" s="5" t="s">
        <v>30</v>
      </c>
    </row>
    <row r="782" spans="1:19" x14ac:dyDescent="0.3">
      <c r="A782" s="1" t="s">
        <v>1236</v>
      </c>
      <c r="B782" s="1" t="s">
        <v>824</v>
      </c>
      <c r="C782" s="1" t="s">
        <v>135</v>
      </c>
      <c r="D782" s="1" t="s">
        <v>69</v>
      </c>
      <c r="E782" s="2" t="s">
        <v>148</v>
      </c>
      <c r="F782" s="1" t="s">
        <v>52</v>
      </c>
      <c r="G782" s="1" t="s">
        <v>109</v>
      </c>
      <c r="H782" s="1" t="s">
        <v>152</v>
      </c>
      <c r="I782" s="1" t="s">
        <v>72</v>
      </c>
      <c r="J782" s="1" t="s">
        <v>28</v>
      </c>
      <c r="K782" s="1" t="s">
        <v>88</v>
      </c>
      <c r="L782" s="3">
        <v>1607.76</v>
      </c>
      <c r="M782" s="1">
        <v>8</v>
      </c>
      <c r="N782" s="3">
        <v>12862.08</v>
      </c>
      <c r="O782" s="4">
        <v>12.7</v>
      </c>
      <c r="P782" s="3">
        <v>11228.6</v>
      </c>
      <c r="Q782" s="4">
        <v>34.200000000000003</v>
      </c>
      <c r="R782" s="3">
        <v>3840.18</v>
      </c>
      <c r="S782" s="1" t="s">
        <v>40</v>
      </c>
    </row>
    <row r="783" spans="1:19" x14ac:dyDescent="0.3">
      <c r="A783" s="5" t="s">
        <v>1237</v>
      </c>
      <c r="B783" s="5" t="s">
        <v>540</v>
      </c>
      <c r="C783" s="5" t="s">
        <v>68</v>
      </c>
      <c r="D783" s="5" t="s">
        <v>69</v>
      </c>
      <c r="E783" s="6" t="s">
        <v>82</v>
      </c>
      <c r="F783" s="5" t="s">
        <v>24</v>
      </c>
      <c r="G783" s="5" t="s">
        <v>63</v>
      </c>
      <c r="H783" s="5" t="s">
        <v>64</v>
      </c>
      <c r="I783" s="5" t="s">
        <v>27</v>
      </c>
      <c r="J783" s="5" t="s">
        <v>93</v>
      </c>
      <c r="K783" s="5" t="s">
        <v>102</v>
      </c>
      <c r="L783" s="7">
        <v>85000.84</v>
      </c>
      <c r="M783" s="5">
        <v>10</v>
      </c>
      <c r="N783" s="7">
        <v>850008.4</v>
      </c>
      <c r="O783" s="8">
        <v>6.4</v>
      </c>
      <c r="P783" s="7">
        <v>795607.86</v>
      </c>
      <c r="Q783" s="8">
        <v>29.4</v>
      </c>
      <c r="R783" s="7">
        <v>233908.71</v>
      </c>
      <c r="S783" s="5" t="s">
        <v>40</v>
      </c>
    </row>
    <row r="784" spans="1:19" x14ac:dyDescent="0.3">
      <c r="A784" s="1" t="s">
        <v>1238</v>
      </c>
      <c r="B784" s="1" t="s">
        <v>584</v>
      </c>
      <c r="C784" s="1" t="s">
        <v>75</v>
      </c>
      <c r="D784" s="1" t="s">
        <v>60</v>
      </c>
      <c r="E784" s="2" t="s">
        <v>170</v>
      </c>
      <c r="F784" s="1" t="s">
        <v>52</v>
      </c>
      <c r="G784" s="1" t="s">
        <v>53</v>
      </c>
      <c r="H784" s="1" t="s">
        <v>77</v>
      </c>
      <c r="I784" s="1" t="s">
        <v>55</v>
      </c>
      <c r="J784" s="1" t="s">
        <v>28</v>
      </c>
      <c r="K784" s="1" t="s">
        <v>39</v>
      </c>
      <c r="L784" s="3">
        <v>7109.51</v>
      </c>
      <c r="M784" s="1">
        <v>23</v>
      </c>
      <c r="N784" s="3">
        <v>163518.73000000001</v>
      </c>
      <c r="O784" s="4">
        <v>18.2</v>
      </c>
      <c r="P784" s="3">
        <v>133758.32</v>
      </c>
      <c r="Q784" s="4">
        <v>37.700000000000003</v>
      </c>
      <c r="R784" s="3">
        <v>50426.89</v>
      </c>
      <c r="S784" s="1" t="s">
        <v>79</v>
      </c>
    </row>
    <row r="785" spans="1:19" x14ac:dyDescent="0.3">
      <c r="A785" s="5" t="s">
        <v>1239</v>
      </c>
      <c r="B785" s="5" t="s">
        <v>741</v>
      </c>
      <c r="C785" s="5" t="s">
        <v>68</v>
      </c>
      <c r="D785" s="5" t="s">
        <v>69</v>
      </c>
      <c r="E785" s="6" t="s">
        <v>358</v>
      </c>
      <c r="F785" s="5" t="s">
        <v>35</v>
      </c>
      <c r="G785" s="5" t="s">
        <v>25</v>
      </c>
      <c r="H785" s="5" t="s">
        <v>132</v>
      </c>
      <c r="I785" s="5" t="s">
        <v>38</v>
      </c>
      <c r="J785" s="5" t="s">
        <v>93</v>
      </c>
      <c r="K785" s="5" t="s">
        <v>102</v>
      </c>
      <c r="L785" s="7">
        <v>40302.46</v>
      </c>
      <c r="M785" s="5">
        <v>3</v>
      </c>
      <c r="N785" s="7">
        <v>120907.38</v>
      </c>
      <c r="O785" s="8">
        <v>6.9</v>
      </c>
      <c r="P785" s="7">
        <v>112564.77</v>
      </c>
      <c r="Q785" s="8">
        <v>46.9</v>
      </c>
      <c r="R785" s="7">
        <v>52792.88</v>
      </c>
      <c r="S785" s="5" t="s">
        <v>40</v>
      </c>
    </row>
    <row r="786" spans="1:19" x14ac:dyDescent="0.3">
      <c r="A786" s="1" t="s">
        <v>1240</v>
      </c>
      <c r="B786" s="1" t="s">
        <v>1101</v>
      </c>
      <c r="C786" s="1" t="s">
        <v>85</v>
      </c>
      <c r="D786" s="1" t="s">
        <v>86</v>
      </c>
      <c r="E786" s="2" t="s">
        <v>213</v>
      </c>
      <c r="F786" s="1" t="s">
        <v>62</v>
      </c>
      <c r="G786" s="1" t="s">
        <v>63</v>
      </c>
      <c r="H786" s="1" t="s">
        <v>167</v>
      </c>
      <c r="I786" s="1" t="s">
        <v>72</v>
      </c>
      <c r="J786" s="1" t="s">
        <v>65</v>
      </c>
      <c r="K786" s="1" t="s">
        <v>39</v>
      </c>
      <c r="L786" s="3">
        <v>855.67</v>
      </c>
      <c r="M786" s="1">
        <v>16</v>
      </c>
      <c r="N786" s="3">
        <v>13690.72</v>
      </c>
      <c r="O786" s="4">
        <v>22.9</v>
      </c>
      <c r="P786" s="3">
        <v>10555.55</v>
      </c>
      <c r="Q786" s="4">
        <v>67.3</v>
      </c>
      <c r="R786" s="3">
        <v>7103.89</v>
      </c>
      <c r="S786" s="1" t="s">
        <v>40</v>
      </c>
    </row>
    <row r="787" spans="1:19" x14ac:dyDescent="0.3">
      <c r="A787" s="5" t="s">
        <v>1241</v>
      </c>
      <c r="B787" s="5" t="s">
        <v>695</v>
      </c>
      <c r="C787" s="5" t="s">
        <v>33</v>
      </c>
      <c r="D787" s="5" t="s">
        <v>22</v>
      </c>
      <c r="E787" s="6" t="s">
        <v>158</v>
      </c>
      <c r="F787" s="5" t="s">
        <v>35</v>
      </c>
      <c r="G787" s="5" t="s">
        <v>25</v>
      </c>
      <c r="H787" s="5" t="s">
        <v>46</v>
      </c>
      <c r="I787" s="5" t="s">
        <v>27</v>
      </c>
      <c r="J787" s="5" t="s">
        <v>65</v>
      </c>
      <c r="K787" s="5" t="s">
        <v>39</v>
      </c>
      <c r="L787" s="7">
        <v>7006.31</v>
      </c>
      <c r="M787" s="5">
        <v>18</v>
      </c>
      <c r="N787" s="7">
        <v>126113.58</v>
      </c>
      <c r="O787" s="8">
        <v>23</v>
      </c>
      <c r="P787" s="7">
        <v>97107.46</v>
      </c>
      <c r="Q787" s="8">
        <v>47.3</v>
      </c>
      <c r="R787" s="7">
        <v>45931.83</v>
      </c>
      <c r="S787" s="5" t="s">
        <v>40</v>
      </c>
    </row>
    <row r="788" spans="1:19" x14ac:dyDescent="0.3">
      <c r="A788" s="1" t="s">
        <v>1242</v>
      </c>
      <c r="B788" s="1" t="s">
        <v>255</v>
      </c>
      <c r="C788" s="1" t="s">
        <v>43</v>
      </c>
      <c r="D788" s="1" t="s">
        <v>22</v>
      </c>
      <c r="E788" s="2" t="s">
        <v>97</v>
      </c>
      <c r="F788" s="1" t="s">
        <v>35</v>
      </c>
      <c r="G788" s="1" t="s">
        <v>53</v>
      </c>
      <c r="H788" s="1" t="s">
        <v>54</v>
      </c>
      <c r="I788" s="1" t="s">
        <v>72</v>
      </c>
      <c r="J788" s="1" t="s">
        <v>28</v>
      </c>
      <c r="K788" s="1" t="s">
        <v>56</v>
      </c>
      <c r="L788" s="3">
        <v>11057.64</v>
      </c>
      <c r="M788" s="1">
        <v>7</v>
      </c>
      <c r="N788" s="3">
        <v>77403.48</v>
      </c>
      <c r="O788" s="4">
        <v>23.6</v>
      </c>
      <c r="P788" s="3">
        <v>59136.26</v>
      </c>
      <c r="Q788" s="4">
        <v>28.5</v>
      </c>
      <c r="R788" s="3">
        <v>16853.830000000002</v>
      </c>
      <c r="S788" s="1" t="s">
        <v>40</v>
      </c>
    </row>
    <row r="789" spans="1:19" x14ac:dyDescent="0.3">
      <c r="A789" s="5" t="s">
        <v>1243</v>
      </c>
      <c r="B789" s="5" t="s">
        <v>470</v>
      </c>
      <c r="C789" s="5" t="s">
        <v>101</v>
      </c>
      <c r="D789" s="5" t="s">
        <v>60</v>
      </c>
      <c r="E789" s="6" t="s">
        <v>165</v>
      </c>
      <c r="F789" s="5" t="s">
        <v>166</v>
      </c>
      <c r="G789" s="5" t="s">
        <v>25</v>
      </c>
      <c r="H789" s="5" t="s">
        <v>132</v>
      </c>
      <c r="I789" s="5" t="s">
        <v>27</v>
      </c>
      <c r="J789" s="5" t="s">
        <v>28</v>
      </c>
      <c r="K789" s="5" t="s">
        <v>88</v>
      </c>
      <c r="L789" s="7">
        <v>669.5</v>
      </c>
      <c r="M789" s="5">
        <v>25</v>
      </c>
      <c r="N789" s="7">
        <v>16737.5</v>
      </c>
      <c r="O789" s="8">
        <v>5.5</v>
      </c>
      <c r="P789" s="7">
        <v>15816.94</v>
      </c>
      <c r="Q789" s="8">
        <v>61.1</v>
      </c>
      <c r="R789" s="7">
        <v>9664.15</v>
      </c>
      <c r="S789" s="5" t="s">
        <v>40</v>
      </c>
    </row>
    <row r="790" spans="1:19" x14ac:dyDescent="0.3">
      <c r="A790" s="1" t="s">
        <v>1244</v>
      </c>
      <c r="B790" s="1" t="s">
        <v>598</v>
      </c>
      <c r="C790" s="1" t="s">
        <v>33</v>
      </c>
      <c r="D790" s="1" t="s">
        <v>22</v>
      </c>
      <c r="E790" s="2" t="s">
        <v>410</v>
      </c>
      <c r="F790" s="1" t="s">
        <v>166</v>
      </c>
      <c r="G790" s="1" t="s">
        <v>63</v>
      </c>
      <c r="H790" s="1" t="s">
        <v>64</v>
      </c>
      <c r="I790" s="1" t="s">
        <v>27</v>
      </c>
      <c r="J790" s="1" t="s">
        <v>47</v>
      </c>
      <c r="K790" s="1" t="s">
        <v>149</v>
      </c>
      <c r="L790" s="3">
        <v>4140.72</v>
      </c>
      <c r="M790" s="1">
        <v>12</v>
      </c>
      <c r="N790" s="3">
        <v>49688.639999999999</v>
      </c>
      <c r="O790" s="4">
        <v>13.3</v>
      </c>
      <c r="P790" s="3">
        <v>43080.05</v>
      </c>
      <c r="Q790" s="4">
        <v>52.2</v>
      </c>
      <c r="R790" s="3">
        <v>22487.79</v>
      </c>
      <c r="S790" s="1" t="s">
        <v>40</v>
      </c>
    </row>
    <row r="791" spans="1:19" x14ac:dyDescent="0.3">
      <c r="A791" s="5" t="s">
        <v>1245</v>
      </c>
      <c r="B791" s="5" t="s">
        <v>401</v>
      </c>
      <c r="C791" s="5" t="s">
        <v>101</v>
      </c>
      <c r="D791" s="5" t="s">
        <v>60</v>
      </c>
      <c r="E791" s="6" t="s">
        <v>346</v>
      </c>
      <c r="F791" s="5" t="s">
        <v>35</v>
      </c>
      <c r="G791" s="5" t="s">
        <v>109</v>
      </c>
      <c r="H791" s="5" t="s">
        <v>152</v>
      </c>
      <c r="I791" s="5" t="s">
        <v>72</v>
      </c>
      <c r="J791" s="5" t="s">
        <v>47</v>
      </c>
      <c r="K791" s="5" t="s">
        <v>102</v>
      </c>
      <c r="L791" s="7">
        <v>44599.31</v>
      </c>
      <c r="M791" s="5">
        <v>9</v>
      </c>
      <c r="N791" s="7">
        <v>401393.79</v>
      </c>
      <c r="O791" s="8">
        <v>18.2</v>
      </c>
      <c r="P791" s="7">
        <v>328340.12</v>
      </c>
      <c r="Q791" s="8">
        <v>33</v>
      </c>
      <c r="R791" s="7">
        <v>108352.24</v>
      </c>
      <c r="S791" s="5" t="s">
        <v>40</v>
      </c>
    </row>
    <row r="792" spans="1:19" x14ac:dyDescent="0.3">
      <c r="A792" s="1" t="s">
        <v>1246</v>
      </c>
      <c r="B792" s="1" t="s">
        <v>349</v>
      </c>
      <c r="C792" s="1" t="s">
        <v>75</v>
      </c>
      <c r="D792" s="1" t="s">
        <v>60</v>
      </c>
      <c r="E792" s="2" t="s">
        <v>206</v>
      </c>
      <c r="F792" s="1" t="s">
        <v>52</v>
      </c>
      <c r="G792" s="1" t="s">
        <v>25</v>
      </c>
      <c r="H792" s="1" t="s">
        <v>26</v>
      </c>
      <c r="I792" s="1" t="s">
        <v>72</v>
      </c>
      <c r="J792" s="1" t="s">
        <v>28</v>
      </c>
      <c r="K792" s="1" t="s">
        <v>39</v>
      </c>
      <c r="L792" s="3">
        <v>3166.87</v>
      </c>
      <c r="M792" s="1">
        <v>12</v>
      </c>
      <c r="N792" s="3">
        <v>38002.44</v>
      </c>
      <c r="O792" s="4">
        <v>1.3</v>
      </c>
      <c r="P792" s="3">
        <v>37508.410000000003</v>
      </c>
      <c r="Q792" s="4">
        <v>33.700000000000003</v>
      </c>
      <c r="R792" s="3">
        <v>12640.33</v>
      </c>
      <c r="S792" s="1" t="s">
        <v>112</v>
      </c>
    </row>
    <row r="793" spans="1:19" x14ac:dyDescent="0.3">
      <c r="A793" s="5" t="s">
        <v>1247</v>
      </c>
      <c r="B793" s="5" t="s">
        <v>461</v>
      </c>
      <c r="C793" s="5" t="s">
        <v>117</v>
      </c>
      <c r="D793" s="5" t="s">
        <v>86</v>
      </c>
      <c r="E793" s="6" t="s">
        <v>148</v>
      </c>
      <c r="F793" s="5" t="s">
        <v>52</v>
      </c>
      <c r="G793" s="5" t="s">
        <v>53</v>
      </c>
      <c r="H793" s="5" t="s">
        <v>77</v>
      </c>
      <c r="I793" s="5" t="s">
        <v>47</v>
      </c>
      <c r="J793" s="5" t="s">
        <v>28</v>
      </c>
      <c r="K793" s="5" t="s">
        <v>102</v>
      </c>
      <c r="L793" s="7">
        <v>7953.95</v>
      </c>
      <c r="M793" s="5">
        <v>2</v>
      </c>
      <c r="N793" s="7">
        <v>15907.9</v>
      </c>
      <c r="O793" s="8">
        <v>11.1</v>
      </c>
      <c r="P793" s="7">
        <v>14142.12</v>
      </c>
      <c r="Q793" s="8">
        <v>27</v>
      </c>
      <c r="R793" s="7">
        <v>3818.37</v>
      </c>
      <c r="S793" s="5" t="s">
        <v>79</v>
      </c>
    </row>
    <row r="794" spans="1:19" x14ac:dyDescent="0.3">
      <c r="A794" s="1" t="s">
        <v>1248</v>
      </c>
      <c r="B794" s="1" t="s">
        <v>1249</v>
      </c>
      <c r="C794" s="1" t="s">
        <v>85</v>
      </c>
      <c r="D794" s="1" t="s">
        <v>86</v>
      </c>
      <c r="E794" s="2" t="s">
        <v>184</v>
      </c>
      <c r="F794" s="1" t="s">
        <v>45</v>
      </c>
      <c r="G794" s="1" t="s">
        <v>36</v>
      </c>
      <c r="H794" s="1" t="s">
        <v>105</v>
      </c>
      <c r="I794" s="1" t="s">
        <v>55</v>
      </c>
      <c r="J794" s="1" t="s">
        <v>47</v>
      </c>
      <c r="K794" s="1" t="s">
        <v>48</v>
      </c>
      <c r="L794" s="3">
        <v>1154.53</v>
      </c>
      <c r="M794" s="1">
        <v>9</v>
      </c>
      <c r="N794" s="3">
        <v>10390.77</v>
      </c>
      <c r="O794" s="4">
        <v>13.3</v>
      </c>
      <c r="P794" s="3">
        <v>9008.7999999999993</v>
      </c>
      <c r="Q794" s="4">
        <v>21.7</v>
      </c>
      <c r="R794" s="3">
        <v>1954.91</v>
      </c>
      <c r="S794" s="1" t="s">
        <v>40</v>
      </c>
    </row>
    <row r="795" spans="1:19" x14ac:dyDescent="0.3">
      <c r="A795" s="5" t="s">
        <v>1250</v>
      </c>
      <c r="B795" s="5" t="s">
        <v>730</v>
      </c>
      <c r="C795" s="5" t="s">
        <v>101</v>
      </c>
      <c r="D795" s="5" t="s">
        <v>60</v>
      </c>
      <c r="E795" s="6" t="s">
        <v>70</v>
      </c>
      <c r="F795" s="5" t="s">
        <v>24</v>
      </c>
      <c r="G795" s="5" t="s">
        <v>109</v>
      </c>
      <c r="H795" s="5" t="s">
        <v>122</v>
      </c>
      <c r="I795" s="5" t="s">
        <v>55</v>
      </c>
      <c r="J795" s="5" t="s">
        <v>47</v>
      </c>
      <c r="K795" s="5" t="s">
        <v>56</v>
      </c>
      <c r="L795" s="7">
        <v>82458.86</v>
      </c>
      <c r="M795" s="5">
        <v>15</v>
      </c>
      <c r="N795" s="7">
        <v>1236882.8999999999</v>
      </c>
      <c r="O795" s="8">
        <v>7.4</v>
      </c>
      <c r="P795" s="7">
        <v>1145353.57</v>
      </c>
      <c r="Q795" s="8">
        <v>16.7</v>
      </c>
      <c r="R795" s="7">
        <v>191274.05</v>
      </c>
      <c r="S795" s="5" t="s">
        <v>40</v>
      </c>
    </row>
    <row r="796" spans="1:19" x14ac:dyDescent="0.3">
      <c r="A796" s="1" t="s">
        <v>1251</v>
      </c>
      <c r="B796" s="1" t="s">
        <v>1249</v>
      </c>
      <c r="C796" s="1" t="s">
        <v>85</v>
      </c>
      <c r="D796" s="1" t="s">
        <v>86</v>
      </c>
      <c r="E796" s="2" t="s">
        <v>158</v>
      </c>
      <c r="F796" s="1" t="s">
        <v>35</v>
      </c>
      <c r="G796" s="1" t="s">
        <v>109</v>
      </c>
      <c r="H796" s="1" t="s">
        <v>122</v>
      </c>
      <c r="I796" s="1" t="s">
        <v>72</v>
      </c>
      <c r="J796" s="1" t="s">
        <v>65</v>
      </c>
      <c r="K796" s="1" t="s">
        <v>149</v>
      </c>
      <c r="L796" s="3">
        <v>3790.42</v>
      </c>
      <c r="M796" s="1">
        <v>14</v>
      </c>
      <c r="N796" s="3">
        <v>53065.88</v>
      </c>
      <c r="O796" s="4">
        <v>23.9</v>
      </c>
      <c r="P796" s="3">
        <v>40383.129999999997</v>
      </c>
      <c r="Q796" s="4">
        <v>32.200000000000003</v>
      </c>
      <c r="R796" s="3">
        <v>13003.37</v>
      </c>
      <c r="S796" s="1" t="s">
        <v>79</v>
      </c>
    </row>
    <row r="797" spans="1:19" x14ac:dyDescent="0.3">
      <c r="A797" s="5" t="s">
        <v>1252</v>
      </c>
      <c r="B797" s="5" t="s">
        <v>380</v>
      </c>
      <c r="C797" s="5" t="s">
        <v>85</v>
      </c>
      <c r="D797" s="5" t="s">
        <v>86</v>
      </c>
      <c r="E797" s="6" t="s">
        <v>97</v>
      </c>
      <c r="F797" s="5" t="s">
        <v>35</v>
      </c>
      <c r="G797" s="5" t="s">
        <v>25</v>
      </c>
      <c r="H797" s="5" t="s">
        <v>132</v>
      </c>
      <c r="I797" s="5" t="s">
        <v>27</v>
      </c>
      <c r="J797" s="5" t="s">
        <v>28</v>
      </c>
      <c r="K797" s="5" t="s">
        <v>78</v>
      </c>
      <c r="L797" s="7">
        <v>17850.28</v>
      </c>
      <c r="M797" s="5">
        <v>17</v>
      </c>
      <c r="N797" s="7">
        <v>303454.76</v>
      </c>
      <c r="O797" s="8">
        <v>5.4</v>
      </c>
      <c r="P797" s="7">
        <v>287068.2</v>
      </c>
      <c r="Q797" s="8">
        <v>34.200000000000003</v>
      </c>
      <c r="R797" s="7">
        <v>98177.32</v>
      </c>
      <c r="S797" s="5" t="s">
        <v>40</v>
      </c>
    </row>
    <row r="798" spans="1:19" x14ac:dyDescent="0.3">
      <c r="A798" s="1" t="s">
        <v>1253</v>
      </c>
      <c r="B798" s="1" t="s">
        <v>353</v>
      </c>
      <c r="C798" s="1" t="s">
        <v>68</v>
      </c>
      <c r="D798" s="1" t="s">
        <v>69</v>
      </c>
      <c r="E798" s="2" t="s">
        <v>114</v>
      </c>
      <c r="F798" s="1" t="s">
        <v>45</v>
      </c>
      <c r="G798" s="1" t="s">
        <v>109</v>
      </c>
      <c r="H798" s="1" t="s">
        <v>189</v>
      </c>
      <c r="I798" s="1" t="s">
        <v>27</v>
      </c>
      <c r="J798" s="1" t="s">
        <v>93</v>
      </c>
      <c r="K798" s="1" t="s">
        <v>56</v>
      </c>
      <c r="L798" s="3">
        <v>987.15</v>
      </c>
      <c r="M798" s="1">
        <v>16</v>
      </c>
      <c r="N798" s="3">
        <v>15794.4</v>
      </c>
      <c r="O798" s="4">
        <v>5.3</v>
      </c>
      <c r="P798" s="3">
        <v>14957.3</v>
      </c>
      <c r="Q798" s="4">
        <v>25.6</v>
      </c>
      <c r="R798" s="3">
        <v>3829.07</v>
      </c>
      <c r="S798" s="1" t="s">
        <v>40</v>
      </c>
    </row>
    <row r="799" spans="1:19" x14ac:dyDescent="0.3">
      <c r="A799" s="5" t="s">
        <v>1254</v>
      </c>
      <c r="B799" s="5" t="s">
        <v>1255</v>
      </c>
      <c r="C799" s="5" t="s">
        <v>85</v>
      </c>
      <c r="D799" s="5" t="s">
        <v>86</v>
      </c>
      <c r="E799" s="6" t="s">
        <v>180</v>
      </c>
      <c r="F799" s="5" t="s">
        <v>166</v>
      </c>
      <c r="G799" s="5" t="s">
        <v>109</v>
      </c>
      <c r="H799" s="5" t="s">
        <v>189</v>
      </c>
      <c r="I799" s="5" t="s">
        <v>72</v>
      </c>
      <c r="J799" s="5" t="s">
        <v>28</v>
      </c>
      <c r="K799" s="5" t="s">
        <v>56</v>
      </c>
      <c r="L799" s="7">
        <v>309.82</v>
      </c>
      <c r="M799" s="5">
        <v>25</v>
      </c>
      <c r="N799" s="7">
        <v>7745.5</v>
      </c>
      <c r="O799" s="8">
        <v>23</v>
      </c>
      <c r="P799" s="7">
        <v>5964.03</v>
      </c>
      <c r="Q799" s="8">
        <v>51</v>
      </c>
      <c r="R799" s="7">
        <v>3041.66</v>
      </c>
      <c r="S799" s="5" t="s">
        <v>40</v>
      </c>
    </row>
    <row r="800" spans="1:19" x14ac:dyDescent="0.3">
      <c r="A800" s="1" t="s">
        <v>1256</v>
      </c>
      <c r="B800" s="1" t="s">
        <v>419</v>
      </c>
      <c r="C800" s="1" t="s">
        <v>85</v>
      </c>
      <c r="D800" s="1" t="s">
        <v>86</v>
      </c>
      <c r="E800" s="2" t="s">
        <v>256</v>
      </c>
      <c r="F800" s="1" t="s">
        <v>166</v>
      </c>
      <c r="G800" s="1" t="s">
        <v>109</v>
      </c>
      <c r="H800" s="1" t="s">
        <v>110</v>
      </c>
      <c r="I800" s="1" t="s">
        <v>72</v>
      </c>
      <c r="J800" s="1" t="s">
        <v>47</v>
      </c>
      <c r="K800" s="1" t="s">
        <v>159</v>
      </c>
      <c r="L800" s="3">
        <v>2039.39</v>
      </c>
      <c r="M800" s="1">
        <v>13</v>
      </c>
      <c r="N800" s="3">
        <v>26512.07</v>
      </c>
      <c r="O800" s="4">
        <v>1.4</v>
      </c>
      <c r="P800" s="3">
        <v>26140.9</v>
      </c>
      <c r="Q800" s="4">
        <v>55.7</v>
      </c>
      <c r="R800" s="3">
        <v>14560.48</v>
      </c>
      <c r="S800" s="1" t="s">
        <v>40</v>
      </c>
    </row>
    <row r="801" spans="1:19" x14ac:dyDescent="0.3">
      <c r="A801" s="5" t="s">
        <v>1257</v>
      </c>
      <c r="B801" s="5" t="s">
        <v>577</v>
      </c>
      <c r="C801" s="5" t="s">
        <v>135</v>
      </c>
      <c r="D801" s="5" t="s">
        <v>69</v>
      </c>
      <c r="E801" s="6" t="s">
        <v>70</v>
      </c>
      <c r="F801" s="5" t="s">
        <v>24</v>
      </c>
      <c r="G801" s="5" t="s">
        <v>63</v>
      </c>
      <c r="H801" s="5" t="s">
        <v>87</v>
      </c>
      <c r="I801" s="5" t="s">
        <v>27</v>
      </c>
      <c r="J801" s="5" t="s">
        <v>28</v>
      </c>
      <c r="K801" s="5" t="s">
        <v>29</v>
      </c>
      <c r="L801" s="7">
        <v>28643.63</v>
      </c>
      <c r="M801" s="5">
        <v>7</v>
      </c>
      <c r="N801" s="7">
        <v>200505.41</v>
      </c>
      <c r="O801" s="8">
        <v>8.1</v>
      </c>
      <c r="P801" s="7">
        <v>184264.47</v>
      </c>
      <c r="Q801" s="8">
        <v>31.2</v>
      </c>
      <c r="R801" s="7">
        <v>57490.51</v>
      </c>
      <c r="S801" s="5" t="s">
        <v>40</v>
      </c>
    </row>
    <row r="802" spans="1:19" x14ac:dyDescent="0.3">
      <c r="A802" s="1" t="s">
        <v>1258</v>
      </c>
      <c r="B802" s="1" t="s">
        <v>1101</v>
      </c>
      <c r="C802" s="1" t="s">
        <v>85</v>
      </c>
      <c r="D802" s="1" t="s">
        <v>86</v>
      </c>
      <c r="E802" s="2" t="s">
        <v>246</v>
      </c>
      <c r="F802" s="1" t="s">
        <v>52</v>
      </c>
      <c r="G802" s="1" t="s">
        <v>36</v>
      </c>
      <c r="H802" s="1" t="s">
        <v>105</v>
      </c>
      <c r="I802" s="1" t="s">
        <v>27</v>
      </c>
      <c r="J802" s="1" t="s">
        <v>28</v>
      </c>
      <c r="K802" s="1" t="s">
        <v>159</v>
      </c>
      <c r="L802" s="3">
        <v>326.29000000000002</v>
      </c>
      <c r="M802" s="1">
        <v>12</v>
      </c>
      <c r="N802" s="3">
        <v>3915.48</v>
      </c>
      <c r="O802" s="4">
        <v>18.3</v>
      </c>
      <c r="P802" s="3">
        <v>3198.95</v>
      </c>
      <c r="Q802" s="4">
        <v>26.1</v>
      </c>
      <c r="R802" s="3">
        <v>834.93</v>
      </c>
      <c r="S802" s="1" t="s">
        <v>40</v>
      </c>
    </row>
    <row r="803" spans="1:19" x14ac:dyDescent="0.3">
      <c r="A803" s="5" t="s">
        <v>1259</v>
      </c>
      <c r="B803" s="5" t="s">
        <v>889</v>
      </c>
      <c r="C803" s="5" t="s">
        <v>21</v>
      </c>
      <c r="D803" s="5" t="s">
        <v>22</v>
      </c>
      <c r="E803" s="6" t="s">
        <v>213</v>
      </c>
      <c r="F803" s="5" t="s">
        <v>62</v>
      </c>
      <c r="G803" s="5" t="s">
        <v>36</v>
      </c>
      <c r="H803" s="5" t="s">
        <v>37</v>
      </c>
      <c r="I803" s="5" t="s">
        <v>72</v>
      </c>
      <c r="J803" s="5" t="s">
        <v>28</v>
      </c>
      <c r="K803" s="5" t="s">
        <v>88</v>
      </c>
      <c r="L803" s="7">
        <v>449.14</v>
      </c>
      <c r="M803" s="5">
        <v>19</v>
      </c>
      <c r="N803" s="7">
        <v>8533.66</v>
      </c>
      <c r="O803" s="8">
        <v>21.8</v>
      </c>
      <c r="P803" s="7">
        <v>6673.32</v>
      </c>
      <c r="Q803" s="8">
        <v>65.400000000000006</v>
      </c>
      <c r="R803" s="7">
        <v>4364.3500000000004</v>
      </c>
      <c r="S803" s="5" t="s">
        <v>79</v>
      </c>
    </row>
    <row r="804" spans="1:19" x14ac:dyDescent="0.3">
      <c r="A804" s="1" t="s">
        <v>1260</v>
      </c>
      <c r="B804" s="1" t="s">
        <v>588</v>
      </c>
      <c r="C804" s="1" t="s">
        <v>135</v>
      </c>
      <c r="D804" s="1" t="s">
        <v>69</v>
      </c>
      <c r="E804" s="2" t="s">
        <v>346</v>
      </c>
      <c r="F804" s="1" t="s">
        <v>35</v>
      </c>
      <c r="G804" s="1" t="s">
        <v>53</v>
      </c>
      <c r="H804" s="1" t="s">
        <v>77</v>
      </c>
      <c r="I804" s="1" t="s">
        <v>55</v>
      </c>
      <c r="J804" s="1" t="s">
        <v>28</v>
      </c>
      <c r="K804" s="1" t="s">
        <v>48</v>
      </c>
      <c r="L804" s="3">
        <v>38478.019999999997</v>
      </c>
      <c r="M804" s="1">
        <v>6</v>
      </c>
      <c r="N804" s="3">
        <v>230868.12</v>
      </c>
      <c r="O804" s="4">
        <v>23.2</v>
      </c>
      <c r="P804" s="3">
        <v>177306.72</v>
      </c>
      <c r="Q804" s="4">
        <v>35</v>
      </c>
      <c r="R804" s="3">
        <v>62057.35</v>
      </c>
      <c r="S804" s="1" t="s">
        <v>40</v>
      </c>
    </row>
    <row r="805" spans="1:19" x14ac:dyDescent="0.3">
      <c r="A805" s="5" t="s">
        <v>1261</v>
      </c>
      <c r="B805" s="5" t="s">
        <v>405</v>
      </c>
      <c r="C805" s="5" t="s">
        <v>68</v>
      </c>
      <c r="D805" s="5" t="s">
        <v>69</v>
      </c>
      <c r="E805" s="6" t="s">
        <v>23</v>
      </c>
      <c r="F805" s="5" t="s">
        <v>24</v>
      </c>
      <c r="G805" s="5" t="s">
        <v>63</v>
      </c>
      <c r="H805" s="5" t="s">
        <v>92</v>
      </c>
      <c r="I805" s="5" t="s">
        <v>72</v>
      </c>
      <c r="J805" s="5" t="s">
        <v>28</v>
      </c>
      <c r="K805" s="5" t="s">
        <v>29</v>
      </c>
      <c r="L805" s="7">
        <v>8123.24</v>
      </c>
      <c r="M805" s="5">
        <v>2</v>
      </c>
      <c r="N805" s="7">
        <v>16246.48</v>
      </c>
      <c r="O805" s="8">
        <v>19.600000000000001</v>
      </c>
      <c r="P805" s="7">
        <v>13062.17</v>
      </c>
      <c r="Q805" s="8">
        <v>21.1</v>
      </c>
      <c r="R805" s="7">
        <v>2756.12</v>
      </c>
      <c r="S805" s="5" t="s">
        <v>40</v>
      </c>
    </row>
    <row r="806" spans="1:19" x14ac:dyDescent="0.3">
      <c r="A806" s="1" t="s">
        <v>1262</v>
      </c>
      <c r="B806" s="1" t="s">
        <v>749</v>
      </c>
      <c r="C806" s="1" t="s">
        <v>96</v>
      </c>
      <c r="D806" s="1" t="s">
        <v>86</v>
      </c>
      <c r="E806" s="2" t="s">
        <v>174</v>
      </c>
      <c r="F806" s="1" t="s">
        <v>45</v>
      </c>
      <c r="G806" s="1" t="s">
        <v>109</v>
      </c>
      <c r="H806" s="1" t="s">
        <v>189</v>
      </c>
      <c r="I806" s="1" t="s">
        <v>55</v>
      </c>
      <c r="J806" s="1" t="s">
        <v>93</v>
      </c>
      <c r="K806" s="1" t="s">
        <v>111</v>
      </c>
      <c r="L806" s="3">
        <v>1237.71</v>
      </c>
      <c r="M806" s="1">
        <v>8</v>
      </c>
      <c r="N806" s="3">
        <v>9901.68</v>
      </c>
      <c r="O806" s="4">
        <v>10.4</v>
      </c>
      <c r="P806" s="3">
        <v>8871.91</v>
      </c>
      <c r="Q806" s="4">
        <v>30.5</v>
      </c>
      <c r="R806" s="3">
        <v>2705.93</v>
      </c>
      <c r="S806" s="1" t="s">
        <v>40</v>
      </c>
    </row>
    <row r="807" spans="1:19" x14ac:dyDescent="0.3">
      <c r="A807" s="5" t="s">
        <v>1263</v>
      </c>
      <c r="B807" s="5" t="s">
        <v>323</v>
      </c>
      <c r="C807" s="5" t="s">
        <v>68</v>
      </c>
      <c r="D807" s="5" t="s">
        <v>69</v>
      </c>
      <c r="E807" s="6" t="s">
        <v>23</v>
      </c>
      <c r="F807" s="5" t="s">
        <v>24</v>
      </c>
      <c r="G807" s="5" t="s">
        <v>53</v>
      </c>
      <c r="H807" s="5" t="s">
        <v>98</v>
      </c>
      <c r="I807" s="5" t="s">
        <v>55</v>
      </c>
      <c r="J807" s="5" t="s">
        <v>47</v>
      </c>
      <c r="K807" s="5" t="s">
        <v>159</v>
      </c>
      <c r="L807" s="7">
        <v>19497.71</v>
      </c>
      <c r="M807" s="5">
        <v>3</v>
      </c>
      <c r="N807" s="7">
        <v>58493.13</v>
      </c>
      <c r="O807" s="8">
        <v>18.7</v>
      </c>
      <c r="P807" s="7">
        <v>47554.91</v>
      </c>
      <c r="Q807" s="8">
        <v>23.9</v>
      </c>
      <c r="R807" s="7">
        <v>11365.62</v>
      </c>
      <c r="S807" s="5" t="s">
        <v>40</v>
      </c>
    </row>
    <row r="808" spans="1:19" x14ac:dyDescent="0.3">
      <c r="A808" s="1" t="s">
        <v>1264</v>
      </c>
      <c r="B808" s="1" t="s">
        <v>1265</v>
      </c>
      <c r="C808" s="1" t="s">
        <v>33</v>
      </c>
      <c r="D808" s="1" t="s">
        <v>22</v>
      </c>
      <c r="E808" s="2" t="s">
        <v>184</v>
      </c>
      <c r="F808" s="1" t="s">
        <v>45</v>
      </c>
      <c r="G808" s="1" t="s">
        <v>36</v>
      </c>
      <c r="H808" s="1" t="s">
        <v>105</v>
      </c>
      <c r="I808" s="1" t="s">
        <v>55</v>
      </c>
      <c r="J808" s="1" t="s">
        <v>28</v>
      </c>
      <c r="K808" s="1" t="s">
        <v>78</v>
      </c>
      <c r="L808" s="3">
        <v>1075.1500000000001</v>
      </c>
      <c r="M808" s="1">
        <v>20</v>
      </c>
      <c r="N808" s="3">
        <v>21503</v>
      </c>
      <c r="O808" s="4">
        <v>12.4</v>
      </c>
      <c r="P808" s="3">
        <v>18836.63</v>
      </c>
      <c r="Q808" s="4">
        <v>38.9</v>
      </c>
      <c r="R808" s="3">
        <v>7327.45</v>
      </c>
      <c r="S808" s="1" t="s">
        <v>79</v>
      </c>
    </row>
    <row r="809" spans="1:19" x14ac:dyDescent="0.3">
      <c r="A809" s="5" t="s">
        <v>1266</v>
      </c>
      <c r="B809" s="5" t="s">
        <v>555</v>
      </c>
      <c r="C809" s="5" t="s">
        <v>96</v>
      </c>
      <c r="D809" s="5" t="s">
        <v>86</v>
      </c>
      <c r="E809" s="6" t="s">
        <v>410</v>
      </c>
      <c r="F809" s="5" t="s">
        <v>166</v>
      </c>
      <c r="G809" s="5" t="s">
        <v>25</v>
      </c>
      <c r="H809" s="5" t="s">
        <v>215</v>
      </c>
      <c r="I809" s="5" t="s">
        <v>72</v>
      </c>
      <c r="J809" s="5" t="s">
        <v>65</v>
      </c>
      <c r="K809" s="5" t="s">
        <v>48</v>
      </c>
      <c r="L809" s="7">
        <v>4408.26</v>
      </c>
      <c r="M809" s="5">
        <v>13</v>
      </c>
      <c r="N809" s="7">
        <v>57307.38</v>
      </c>
      <c r="O809" s="8">
        <v>14.1</v>
      </c>
      <c r="P809" s="7">
        <v>49227.040000000001</v>
      </c>
      <c r="Q809" s="8">
        <v>43.5</v>
      </c>
      <c r="R809" s="7">
        <v>21413.759999999998</v>
      </c>
      <c r="S809" s="5" t="s">
        <v>40</v>
      </c>
    </row>
    <row r="810" spans="1:19" x14ac:dyDescent="0.3">
      <c r="A810" s="1" t="s">
        <v>1267</v>
      </c>
      <c r="B810" s="1" t="s">
        <v>882</v>
      </c>
      <c r="C810" s="1" t="s">
        <v>96</v>
      </c>
      <c r="D810" s="1" t="s">
        <v>86</v>
      </c>
      <c r="E810" s="2" t="s">
        <v>70</v>
      </c>
      <c r="F810" s="1" t="s">
        <v>24</v>
      </c>
      <c r="G810" s="1" t="s">
        <v>53</v>
      </c>
      <c r="H810" s="1" t="s">
        <v>71</v>
      </c>
      <c r="I810" s="1" t="s">
        <v>38</v>
      </c>
      <c r="J810" s="1" t="s">
        <v>65</v>
      </c>
      <c r="K810" s="1" t="s">
        <v>48</v>
      </c>
      <c r="L810" s="3">
        <v>88896.11</v>
      </c>
      <c r="M810" s="1">
        <v>16</v>
      </c>
      <c r="N810" s="3">
        <v>1422337.76</v>
      </c>
      <c r="O810" s="4">
        <v>23.6</v>
      </c>
      <c r="P810" s="3">
        <v>1086666.05</v>
      </c>
      <c r="Q810" s="4">
        <v>16.399999999999999</v>
      </c>
      <c r="R810" s="3">
        <v>178213.23</v>
      </c>
      <c r="S810" s="1" t="s">
        <v>40</v>
      </c>
    </row>
    <row r="811" spans="1:19" x14ac:dyDescent="0.3">
      <c r="A811" s="5" t="s">
        <v>1268</v>
      </c>
      <c r="B811" s="5" t="s">
        <v>501</v>
      </c>
      <c r="C811" s="5" t="s">
        <v>68</v>
      </c>
      <c r="D811" s="5" t="s">
        <v>69</v>
      </c>
      <c r="E811" s="6" t="s">
        <v>224</v>
      </c>
      <c r="F811" s="5" t="s">
        <v>166</v>
      </c>
      <c r="G811" s="5" t="s">
        <v>63</v>
      </c>
      <c r="H811" s="5" t="s">
        <v>92</v>
      </c>
      <c r="I811" s="5" t="s">
        <v>55</v>
      </c>
      <c r="J811" s="5" t="s">
        <v>65</v>
      </c>
      <c r="K811" s="5" t="s">
        <v>78</v>
      </c>
      <c r="L811" s="7">
        <v>1607.64</v>
      </c>
      <c r="M811" s="5">
        <v>20</v>
      </c>
      <c r="N811" s="7">
        <v>32152.799999999999</v>
      </c>
      <c r="O811" s="8">
        <v>8.5</v>
      </c>
      <c r="P811" s="7">
        <v>29419.81</v>
      </c>
      <c r="Q811" s="8">
        <v>51.4</v>
      </c>
      <c r="R811" s="7">
        <v>15121.78</v>
      </c>
      <c r="S811" s="5" t="s">
        <v>40</v>
      </c>
    </row>
    <row r="812" spans="1:19" x14ac:dyDescent="0.3">
      <c r="A812" s="1" t="s">
        <v>1269</v>
      </c>
      <c r="B812" s="1" t="s">
        <v>548</v>
      </c>
      <c r="C812" s="1" t="s">
        <v>117</v>
      </c>
      <c r="D812" s="1" t="s">
        <v>86</v>
      </c>
      <c r="E812" s="2" t="s">
        <v>142</v>
      </c>
      <c r="F812" s="1" t="s">
        <v>24</v>
      </c>
      <c r="G812" s="1" t="s">
        <v>63</v>
      </c>
      <c r="H812" s="1" t="s">
        <v>92</v>
      </c>
      <c r="I812" s="1" t="s">
        <v>72</v>
      </c>
      <c r="J812" s="1" t="s">
        <v>65</v>
      </c>
      <c r="K812" s="1" t="s">
        <v>29</v>
      </c>
      <c r="L812" s="3">
        <v>6606.58</v>
      </c>
      <c r="M812" s="1">
        <v>19</v>
      </c>
      <c r="N812" s="3">
        <v>125525.02</v>
      </c>
      <c r="O812" s="4">
        <v>10.4</v>
      </c>
      <c r="P812" s="3">
        <v>112470.42</v>
      </c>
      <c r="Q812" s="4">
        <v>24.1</v>
      </c>
      <c r="R812" s="3">
        <v>27105.37</v>
      </c>
      <c r="S812" s="1" t="s">
        <v>40</v>
      </c>
    </row>
    <row r="813" spans="1:19" x14ac:dyDescent="0.3">
      <c r="A813" s="5" t="s">
        <v>1270</v>
      </c>
      <c r="B813" s="5" t="s">
        <v>121</v>
      </c>
      <c r="C813" s="5" t="s">
        <v>117</v>
      </c>
      <c r="D813" s="5" t="s">
        <v>86</v>
      </c>
      <c r="E813" s="6" t="s">
        <v>224</v>
      </c>
      <c r="F813" s="5" t="s">
        <v>166</v>
      </c>
      <c r="G813" s="5" t="s">
        <v>109</v>
      </c>
      <c r="H813" s="5" t="s">
        <v>152</v>
      </c>
      <c r="I813" s="5" t="s">
        <v>55</v>
      </c>
      <c r="J813" s="5" t="s">
        <v>65</v>
      </c>
      <c r="K813" s="5" t="s">
        <v>111</v>
      </c>
      <c r="L813" s="7">
        <v>4812.74</v>
      </c>
      <c r="M813" s="5">
        <v>21</v>
      </c>
      <c r="N813" s="7">
        <v>101067.54</v>
      </c>
      <c r="O813" s="8">
        <v>11</v>
      </c>
      <c r="P813" s="7">
        <v>89950.11</v>
      </c>
      <c r="Q813" s="8">
        <v>41.7</v>
      </c>
      <c r="R813" s="7">
        <v>37509.199999999997</v>
      </c>
      <c r="S813" s="5" t="s">
        <v>40</v>
      </c>
    </row>
    <row r="814" spans="1:19" x14ac:dyDescent="0.3">
      <c r="A814" s="1" t="s">
        <v>1271</v>
      </c>
      <c r="B814" s="1" t="s">
        <v>609</v>
      </c>
      <c r="C814" s="1" t="s">
        <v>75</v>
      </c>
      <c r="D814" s="1" t="s">
        <v>60</v>
      </c>
      <c r="E814" s="2" t="s">
        <v>114</v>
      </c>
      <c r="F814" s="1" t="s">
        <v>45</v>
      </c>
      <c r="G814" s="1" t="s">
        <v>109</v>
      </c>
      <c r="H814" s="1" t="s">
        <v>189</v>
      </c>
      <c r="I814" s="1" t="s">
        <v>38</v>
      </c>
      <c r="J814" s="1" t="s">
        <v>28</v>
      </c>
      <c r="K814" s="1" t="s">
        <v>149</v>
      </c>
      <c r="L814" s="3">
        <v>678.77</v>
      </c>
      <c r="M814" s="1">
        <v>16</v>
      </c>
      <c r="N814" s="3">
        <v>10860.32</v>
      </c>
      <c r="O814" s="4">
        <v>25</v>
      </c>
      <c r="P814" s="3">
        <v>8145.24</v>
      </c>
      <c r="Q814" s="4">
        <v>33.9</v>
      </c>
      <c r="R814" s="3">
        <v>2761.24</v>
      </c>
      <c r="S814" s="1" t="s">
        <v>40</v>
      </c>
    </row>
    <row r="815" spans="1:19" x14ac:dyDescent="0.3">
      <c r="A815" s="5" t="s">
        <v>1272</v>
      </c>
      <c r="B815" s="5" t="s">
        <v>234</v>
      </c>
      <c r="C815" s="5" t="s">
        <v>85</v>
      </c>
      <c r="D815" s="5" t="s">
        <v>86</v>
      </c>
      <c r="E815" s="6" t="s">
        <v>246</v>
      </c>
      <c r="F815" s="5" t="s">
        <v>52</v>
      </c>
      <c r="G815" s="5" t="s">
        <v>63</v>
      </c>
      <c r="H815" s="5" t="s">
        <v>167</v>
      </c>
      <c r="I815" s="5" t="s">
        <v>27</v>
      </c>
      <c r="J815" s="5" t="s">
        <v>28</v>
      </c>
      <c r="K815" s="5" t="s">
        <v>88</v>
      </c>
      <c r="L815" s="7">
        <v>420.21</v>
      </c>
      <c r="M815" s="5">
        <v>6</v>
      </c>
      <c r="N815" s="7">
        <v>2521.2600000000002</v>
      </c>
      <c r="O815" s="8">
        <v>2.1</v>
      </c>
      <c r="P815" s="7">
        <v>2468.31</v>
      </c>
      <c r="Q815" s="8">
        <v>47.9</v>
      </c>
      <c r="R815" s="7">
        <v>1182.32</v>
      </c>
      <c r="S815" s="5" t="s">
        <v>40</v>
      </c>
    </row>
    <row r="816" spans="1:19" x14ac:dyDescent="0.3">
      <c r="A816" s="1" t="s">
        <v>1273</v>
      </c>
      <c r="B816" s="1" t="s">
        <v>258</v>
      </c>
      <c r="C816" s="1" t="s">
        <v>85</v>
      </c>
      <c r="D816" s="1" t="s">
        <v>86</v>
      </c>
      <c r="E816" s="2" t="s">
        <v>118</v>
      </c>
      <c r="F816" s="1" t="s">
        <v>62</v>
      </c>
      <c r="G816" s="1" t="s">
        <v>25</v>
      </c>
      <c r="H816" s="1" t="s">
        <v>132</v>
      </c>
      <c r="I816" s="1" t="s">
        <v>72</v>
      </c>
      <c r="J816" s="1" t="s">
        <v>93</v>
      </c>
      <c r="K816" s="1" t="s">
        <v>111</v>
      </c>
      <c r="L816" s="3">
        <v>600.5</v>
      </c>
      <c r="M816" s="1">
        <v>12</v>
      </c>
      <c r="N816" s="3">
        <v>7206</v>
      </c>
      <c r="O816" s="4">
        <v>21.8</v>
      </c>
      <c r="P816" s="3">
        <v>5635.09</v>
      </c>
      <c r="Q816" s="4">
        <v>51.7</v>
      </c>
      <c r="R816" s="3">
        <v>2913.34</v>
      </c>
      <c r="S816" s="1" t="s">
        <v>40</v>
      </c>
    </row>
    <row r="817" spans="1:19" x14ac:dyDescent="0.3">
      <c r="A817" s="5" t="s">
        <v>1274</v>
      </c>
      <c r="B817" s="5" t="s">
        <v>298</v>
      </c>
      <c r="C817" s="5" t="s">
        <v>59</v>
      </c>
      <c r="D817" s="5" t="s">
        <v>60</v>
      </c>
      <c r="E817" s="6" t="s">
        <v>165</v>
      </c>
      <c r="F817" s="5" t="s">
        <v>166</v>
      </c>
      <c r="G817" s="5" t="s">
        <v>36</v>
      </c>
      <c r="H817" s="5" t="s">
        <v>37</v>
      </c>
      <c r="I817" s="5" t="s">
        <v>55</v>
      </c>
      <c r="J817" s="5" t="s">
        <v>93</v>
      </c>
      <c r="K817" s="5" t="s">
        <v>149</v>
      </c>
      <c r="L817" s="7">
        <v>2005.06</v>
      </c>
      <c r="M817" s="5">
        <v>16</v>
      </c>
      <c r="N817" s="7">
        <v>32080.959999999999</v>
      </c>
      <c r="O817" s="8">
        <v>3.8</v>
      </c>
      <c r="P817" s="7">
        <v>30861.88</v>
      </c>
      <c r="Q817" s="8">
        <v>38.9</v>
      </c>
      <c r="R817" s="7">
        <v>12005.27</v>
      </c>
      <c r="S817" s="5" t="s">
        <v>40</v>
      </c>
    </row>
    <row r="818" spans="1:19" x14ac:dyDescent="0.3">
      <c r="A818" s="1" t="s">
        <v>1275</v>
      </c>
      <c r="B818" s="1" t="s">
        <v>852</v>
      </c>
      <c r="C818" s="1" t="s">
        <v>135</v>
      </c>
      <c r="D818" s="1" t="s">
        <v>69</v>
      </c>
      <c r="E818" s="2" t="s">
        <v>158</v>
      </c>
      <c r="F818" s="1" t="s">
        <v>35</v>
      </c>
      <c r="G818" s="1" t="s">
        <v>109</v>
      </c>
      <c r="H818" s="1" t="s">
        <v>110</v>
      </c>
      <c r="I818" s="1" t="s">
        <v>38</v>
      </c>
      <c r="J818" s="1" t="s">
        <v>65</v>
      </c>
      <c r="K818" s="1" t="s">
        <v>39</v>
      </c>
      <c r="L818" s="3">
        <v>42075.31</v>
      </c>
      <c r="M818" s="1">
        <v>9</v>
      </c>
      <c r="N818" s="3">
        <v>378677.79</v>
      </c>
      <c r="O818" s="4">
        <v>16.3</v>
      </c>
      <c r="P818" s="3">
        <v>316953.31</v>
      </c>
      <c r="Q818" s="4">
        <v>28.6</v>
      </c>
      <c r="R818" s="3">
        <v>90648.65</v>
      </c>
      <c r="S818" s="1" t="s">
        <v>112</v>
      </c>
    </row>
    <row r="819" spans="1:19" x14ac:dyDescent="0.3">
      <c r="A819" s="5" t="s">
        <v>1276</v>
      </c>
      <c r="B819" s="5" t="s">
        <v>450</v>
      </c>
      <c r="C819" s="5" t="s">
        <v>85</v>
      </c>
      <c r="D819" s="5" t="s">
        <v>86</v>
      </c>
      <c r="E819" s="6" t="s">
        <v>256</v>
      </c>
      <c r="F819" s="5" t="s">
        <v>166</v>
      </c>
      <c r="G819" s="5" t="s">
        <v>25</v>
      </c>
      <c r="H819" s="5" t="s">
        <v>26</v>
      </c>
      <c r="I819" s="5" t="s">
        <v>72</v>
      </c>
      <c r="J819" s="5" t="s">
        <v>65</v>
      </c>
      <c r="K819" s="5" t="s">
        <v>48</v>
      </c>
      <c r="L819" s="7">
        <v>4167.3599999999997</v>
      </c>
      <c r="M819" s="5">
        <v>2</v>
      </c>
      <c r="N819" s="7">
        <v>8334.7199999999993</v>
      </c>
      <c r="O819" s="8">
        <v>5.3</v>
      </c>
      <c r="P819" s="7">
        <v>7892.98</v>
      </c>
      <c r="Q819" s="8">
        <v>61.3</v>
      </c>
      <c r="R819" s="7">
        <v>4838.3999999999996</v>
      </c>
      <c r="S819" s="5" t="s">
        <v>40</v>
      </c>
    </row>
    <row r="820" spans="1:19" x14ac:dyDescent="0.3">
      <c r="A820" s="1" t="s">
        <v>1277</v>
      </c>
      <c r="B820" s="1" t="s">
        <v>343</v>
      </c>
      <c r="C820" s="1" t="s">
        <v>131</v>
      </c>
      <c r="D820" s="1" t="s">
        <v>69</v>
      </c>
      <c r="E820" s="2" t="s">
        <v>177</v>
      </c>
      <c r="F820" s="1" t="s">
        <v>166</v>
      </c>
      <c r="G820" s="1" t="s">
        <v>109</v>
      </c>
      <c r="H820" s="1" t="s">
        <v>122</v>
      </c>
      <c r="I820" s="1" t="s">
        <v>72</v>
      </c>
      <c r="J820" s="1" t="s">
        <v>65</v>
      </c>
      <c r="K820" s="1" t="s">
        <v>149</v>
      </c>
      <c r="L820" s="3">
        <v>2351.33</v>
      </c>
      <c r="M820" s="1">
        <v>22</v>
      </c>
      <c r="N820" s="3">
        <v>51729.26</v>
      </c>
      <c r="O820" s="4">
        <v>8.1</v>
      </c>
      <c r="P820" s="3">
        <v>47539.19</v>
      </c>
      <c r="Q820" s="4">
        <v>49.8</v>
      </c>
      <c r="R820" s="3">
        <v>23674.52</v>
      </c>
      <c r="S820" s="1" t="s">
        <v>30</v>
      </c>
    </row>
    <row r="821" spans="1:19" x14ac:dyDescent="0.3">
      <c r="A821" s="5" t="s">
        <v>1278</v>
      </c>
      <c r="B821" s="5" t="s">
        <v>302</v>
      </c>
      <c r="C821" s="5" t="s">
        <v>75</v>
      </c>
      <c r="D821" s="5" t="s">
        <v>60</v>
      </c>
      <c r="E821" s="6" t="s">
        <v>217</v>
      </c>
      <c r="F821" s="5" t="s">
        <v>62</v>
      </c>
      <c r="G821" s="5" t="s">
        <v>25</v>
      </c>
      <c r="H821" s="5" t="s">
        <v>26</v>
      </c>
      <c r="I821" s="5" t="s">
        <v>72</v>
      </c>
      <c r="J821" s="5" t="s">
        <v>47</v>
      </c>
      <c r="K821" s="5" t="s">
        <v>39</v>
      </c>
      <c r="L821" s="7">
        <v>2120.96</v>
      </c>
      <c r="M821" s="5">
        <v>11</v>
      </c>
      <c r="N821" s="7">
        <v>23330.560000000001</v>
      </c>
      <c r="O821" s="8">
        <v>22.1</v>
      </c>
      <c r="P821" s="7">
        <v>18174.509999999998</v>
      </c>
      <c r="Q821" s="8">
        <v>55.2</v>
      </c>
      <c r="R821" s="7">
        <v>10032.33</v>
      </c>
      <c r="S821" s="5" t="s">
        <v>79</v>
      </c>
    </row>
    <row r="822" spans="1:19" x14ac:dyDescent="0.3">
      <c r="A822" s="1" t="s">
        <v>1279</v>
      </c>
      <c r="B822" s="1" t="s">
        <v>1280</v>
      </c>
      <c r="C822" s="1" t="s">
        <v>135</v>
      </c>
      <c r="D822" s="1" t="s">
        <v>69</v>
      </c>
      <c r="E822" s="2" t="s">
        <v>34</v>
      </c>
      <c r="F822" s="1" t="s">
        <v>35</v>
      </c>
      <c r="G822" s="1" t="s">
        <v>36</v>
      </c>
      <c r="H822" s="1" t="s">
        <v>105</v>
      </c>
      <c r="I822" s="1" t="s">
        <v>27</v>
      </c>
      <c r="J822" s="1" t="s">
        <v>65</v>
      </c>
      <c r="K822" s="1" t="s">
        <v>111</v>
      </c>
      <c r="L822" s="3">
        <v>6314.1</v>
      </c>
      <c r="M822" s="1">
        <v>1</v>
      </c>
      <c r="N822" s="3">
        <v>6314.1</v>
      </c>
      <c r="O822" s="4">
        <v>4.2</v>
      </c>
      <c r="P822" s="3">
        <v>6048.91</v>
      </c>
      <c r="Q822" s="4">
        <v>31.2</v>
      </c>
      <c r="R822" s="3">
        <v>1887.26</v>
      </c>
      <c r="S822" s="1" t="s">
        <v>40</v>
      </c>
    </row>
    <row r="823" spans="1:19" x14ac:dyDescent="0.3">
      <c r="A823" s="5" t="s">
        <v>1281</v>
      </c>
      <c r="B823" s="5" t="s">
        <v>260</v>
      </c>
      <c r="C823" s="5" t="s">
        <v>43</v>
      </c>
      <c r="D823" s="5" t="s">
        <v>22</v>
      </c>
      <c r="E823" s="6" t="s">
        <v>279</v>
      </c>
      <c r="F823" s="5" t="s">
        <v>166</v>
      </c>
      <c r="G823" s="5" t="s">
        <v>63</v>
      </c>
      <c r="H823" s="5" t="s">
        <v>64</v>
      </c>
      <c r="I823" s="5" t="s">
        <v>27</v>
      </c>
      <c r="J823" s="5" t="s">
        <v>93</v>
      </c>
      <c r="K823" s="5" t="s">
        <v>29</v>
      </c>
      <c r="L823" s="7">
        <v>3036.59</v>
      </c>
      <c r="M823" s="5">
        <v>20</v>
      </c>
      <c r="N823" s="7">
        <v>60731.8</v>
      </c>
      <c r="O823" s="8">
        <v>23.2</v>
      </c>
      <c r="P823" s="7">
        <v>46642.02</v>
      </c>
      <c r="Q823" s="8">
        <v>50.2</v>
      </c>
      <c r="R823" s="7">
        <v>23414.29</v>
      </c>
      <c r="S823" s="5" t="s">
        <v>40</v>
      </c>
    </row>
    <row r="824" spans="1:19" x14ac:dyDescent="0.3">
      <c r="A824" s="1" t="s">
        <v>1282</v>
      </c>
      <c r="B824" s="1" t="s">
        <v>714</v>
      </c>
      <c r="C824" s="1" t="s">
        <v>96</v>
      </c>
      <c r="D824" s="1" t="s">
        <v>86</v>
      </c>
      <c r="E824" s="2" t="s">
        <v>34</v>
      </c>
      <c r="F824" s="1" t="s">
        <v>35</v>
      </c>
      <c r="G824" s="1" t="s">
        <v>53</v>
      </c>
      <c r="H824" s="1" t="s">
        <v>98</v>
      </c>
      <c r="I824" s="1" t="s">
        <v>55</v>
      </c>
      <c r="J824" s="1" t="s">
        <v>93</v>
      </c>
      <c r="K824" s="1" t="s">
        <v>102</v>
      </c>
      <c r="L824" s="3">
        <v>37684.699999999997</v>
      </c>
      <c r="M824" s="1">
        <v>22</v>
      </c>
      <c r="N824" s="3">
        <v>829063.4</v>
      </c>
      <c r="O824" s="4">
        <v>8</v>
      </c>
      <c r="P824" s="3">
        <v>762738.33</v>
      </c>
      <c r="Q824" s="4">
        <v>45.2</v>
      </c>
      <c r="R824" s="3">
        <v>344757.73</v>
      </c>
      <c r="S824" s="1" t="s">
        <v>79</v>
      </c>
    </row>
    <row r="825" spans="1:19" x14ac:dyDescent="0.3">
      <c r="A825" s="5" t="s">
        <v>1283</v>
      </c>
      <c r="B825" s="5" t="s">
        <v>1284</v>
      </c>
      <c r="C825" s="5" t="s">
        <v>85</v>
      </c>
      <c r="D825" s="5" t="s">
        <v>86</v>
      </c>
      <c r="E825" s="6" t="s">
        <v>165</v>
      </c>
      <c r="F825" s="5" t="s">
        <v>166</v>
      </c>
      <c r="G825" s="5" t="s">
        <v>109</v>
      </c>
      <c r="H825" s="5" t="s">
        <v>189</v>
      </c>
      <c r="I825" s="5" t="s">
        <v>47</v>
      </c>
      <c r="J825" s="5" t="s">
        <v>28</v>
      </c>
      <c r="K825" s="5" t="s">
        <v>29</v>
      </c>
      <c r="L825" s="7">
        <v>2485.88</v>
      </c>
      <c r="M825" s="5">
        <v>22</v>
      </c>
      <c r="N825" s="7">
        <v>54689.36</v>
      </c>
      <c r="O825" s="8">
        <v>17.899999999999999</v>
      </c>
      <c r="P825" s="7">
        <v>44899.96</v>
      </c>
      <c r="Q825" s="8">
        <v>40.799999999999997</v>
      </c>
      <c r="R825" s="7">
        <v>18319.18</v>
      </c>
      <c r="S825" s="5" t="s">
        <v>79</v>
      </c>
    </row>
    <row r="826" spans="1:19" x14ac:dyDescent="0.3">
      <c r="A826" s="1" t="s">
        <v>1285</v>
      </c>
      <c r="B826" s="1" t="s">
        <v>450</v>
      </c>
      <c r="C826" s="1" t="s">
        <v>85</v>
      </c>
      <c r="D826" s="1" t="s">
        <v>86</v>
      </c>
      <c r="E826" s="2" t="s">
        <v>158</v>
      </c>
      <c r="F826" s="1" t="s">
        <v>35</v>
      </c>
      <c r="G826" s="1" t="s">
        <v>53</v>
      </c>
      <c r="H826" s="1" t="s">
        <v>54</v>
      </c>
      <c r="I826" s="1" t="s">
        <v>55</v>
      </c>
      <c r="J826" s="1" t="s">
        <v>65</v>
      </c>
      <c r="K826" s="1" t="s">
        <v>29</v>
      </c>
      <c r="L826" s="3">
        <v>20308.310000000001</v>
      </c>
      <c r="M826" s="1">
        <v>17</v>
      </c>
      <c r="N826" s="3">
        <v>345241.27</v>
      </c>
      <c r="O826" s="4">
        <v>6.1</v>
      </c>
      <c r="P826" s="3">
        <v>324181.55</v>
      </c>
      <c r="Q826" s="4">
        <v>49.6</v>
      </c>
      <c r="R826" s="3">
        <v>160794.04999999999</v>
      </c>
      <c r="S826" s="1" t="s">
        <v>40</v>
      </c>
    </row>
    <row r="827" spans="1:19" x14ac:dyDescent="0.3">
      <c r="A827" s="5" t="s">
        <v>1286</v>
      </c>
      <c r="B827" s="5" t="s">
        <v>1287</v>
      </c>
      <c r="C827" s="5" t="s">
        <v>21</v>
      </c>
      <c r="D827" s="5" t="s">
        <v>22</v>
      </c>
      <c r="E827" s="6" t="s">
        <v>125</v>
      </c>
      <c r="F827" s="5" t="s">
        <v>62</v>
      </c>
      <c r="G827" s="5" t="s">
        <v>25</v>
      </c>
      <c r="H827" s="5" t="s">
        <v>132</v>
      </c>
      <c r="I827" s="5" t="s">
        <v>47</v>
      </c>
      <c r="J827" s="5" t="s">
        <v>47</v>
      </c>
      <c r="K827" s="5" t="s">
        <v>159</v>
      </c>
      <c r="L827" s="7">
        <v>771.71</v>
      </c>
      <c r="M827" s="5">
        <v>13</v>
      </c>
      <c r="N827" s="7">
        <v>10032.23</v>
      </c>
      <c r="O827" s="8">
        <v>23.3</v>
      </c>
      <c r="P827" s="7">
        <v>7694.72</v>
      </c>
      <c r="Q827" s="8">
        <v>70.2</v>
      </c>
      <c r="R827" s="7">
        <v>5401.69</v>
      </c>
      <c r="S827" s="5" t="s">
        <v>40</v>
      </c>
    </row>
    <row r="828" spans="1:19" x14ac:dyDescent="0.3">
      <c r="A828" s="1" t="s">
        <v>1288</v>
      </c>
      <c r="B828" s="1" t="s">
        <v>1179</v>
      </c>
      <c r="C828" s="1" t="s">
        <v>135</v>
      </c>
      <c r="D828" s="1" t="s">
        <v>69</v>
      </c>
      <c r="E828" s="2" t="s">
        <v>165</v>
      </c>
      <c r="F828" s="1" t="s">
        <v>166</v>
      </c>
      <c r="G828" s="1" t="s">
        <v>36</v>
      </c>
      <c r="H828" s="1" t="s">
        <v>136</v>
      </c>
      <c r="I828" s="1" t="s">
        <v>47</v>
      </c>
      <c r="J828" s="1" t="s">
        <v>65</v>
      </c>
      <c r="K828" s="1" t="s">
        <v>149</v>
      </c>
      <c r="L828" s="3">
        <v>2641.5</v>
      </c>
      <c r="M828" s="1">
        <v>7</v>
      </c>
      <c r="N828" s="3">
        <v>18490.5</v>
      </c>
      <c r="O828" s="4">
        <v>17.100000000000001</v>
      </c>
      <c r="P828" s="3">
        <v>15328.62</v>
      </c>
      <c r="Q828" s="4">
        <v>59</v>
      </c>
      <c r="R828" s="3">
        <v>9043.89</v>
      </c>
      <c r="S828" s="1" t="s">
        <v>112</v>
      </c>
    </row>
    <row r="829" spans="1:19" x14ac:dyDescent="0.3">
      <c r="A829" s="5" t="s">
        <v>1289</v>
      </c>
      <c r="B829" s="5" t="s">
        <v>179</v>
      </c>
      <c r="C829" s="5" t="s">
        <v>101</v>
      </c>
      <c r="D829" s="5" t="s">
        <v>60</v>
      </c>
      <c r="E829" s="6" t="s">
        <v>213</v>
      </c>
      <c r="F829" s="5" t="s">
        <v>62</v>
      </c>
      <c r="G829" s="5" t="s">
        <v>25</v>
      </c>
      <c r="H829" s="5" t="s">
        <v>46</v>
      </c>
      <c r="I829" s="5" t="s">
        <v>47</v>
      </c>
      <c r="J829" s="5" t="s">
        <v>93</v>
      </c>
      <c r="K829" s="5" t="s">
        <v>111</v>
      </c>
      <c r="L829" s="7">
        <v>3983.36</v>
      </c>
      <c r="M829" s="5">
        <v>20</v>
      </c>
      <c r="N829" s="7">
        <v>79667.199999999997</v>
      </c>
      <c r="O829" s="8">
        <v>22.7</v>
      </c>
      <c r="P829" s="7">
        <v>61582.75</v>
      </c>
      <c r="Q829" s="8">
        <v>63.1</v>
      </c>
      <c r="R829" s="7">
        <v>38858.720000000001</v>
      </c>
      <c r="S829" s="5" t="s">
        <v>40</v>
      </c>
    </row>
    <row r="830" spans="1:19" x14ac:dyDescent="0.3">
      <c r="A830" s="1" t="s">
        <v>1290</v>
      </c>
      <c r="B830" s="1" t="s">
        <v>1291</v>
      </c>
      <c r="C830" s="1" t="s">
        <v>131</v>
      </c>
      <c r="D830" s="1" t="s">
        <v>69</v>
      </c>
      <c r="E830" s="2" t="s">
        <v>108</v>
      </c>
      <c r="F830" s="1" t="s">
        <v>35</v>
      </c>
      <c r="G830" s="1" t="s">
        <v>25</v>
      </c>
      <c r="H830" s="1" t="s">
        <v>46</v>
      </c>
      <c r="I830" s="1" t="s">
        <v>55</v>
      </c>
      <c r="J830" s="1" t="s">
        <v>93</v>
      </c>
      <c r="K830" s="1" t="s">
        <v>102</v>
      </c>
      <c r="L830" s="3">
        <v>34374.1</v>
      </c>
      <c r="M830" s="1">
        <v>25</v>
      </c>
      <c r="N830" s="3">
        <v>859352.5</v>
      </c>
      <c r="O830" s="4">
        <v>3.6</v>
      </c>
      <c r="P830" s="3">
        <v>828415.81</v>
      </c>
      <c r="Q830" s="4">
        <v>40.9</v>
      </c>
      <c r="R830" s="3">
        <v>338822.07</v>
      </c>
      <c r="S830" s="1" t="s">
        <v>40</v>
      </c>
    </row>
    <row r="831" spans="1:19" x14ac:dyDescent="0.3">
      <c r="A831" s="5" t="s">
        <v>1292</v>
      </c>
      <c r="B831" s="5" t="s">
        <v>582</v>
      </c>
      <c r="C831" s="5" t="s">
        <v>131</v>
      </c>
      <c r="D831" s="5" t="s">
        <v>69</v>
      </c>
      <c r="E831" s="6" t="s">
        <v>184</v>
      </c>
      <c r="F831" s="5" t="s">
        <v>45</v>
      </c>
      <c r="G831" s="5" t="s">
        <v>36</v>
      </c>
      <c r="H831" s="5" t="s">
        <v>105</v>
      </c>
      <c r="I831" s="5" t="s">
        <v>38</v>
      </c>
      <c r="J831" s="5" t="s">
        <v>65</v>
      </c>
      <c r="K831" s="5" t="s">
        <v>88</v>
      </c>
      <c r="L831" s="7">
        <v>1251.26</v>
      </c>
      <c r="M831" s="5">
        <v>13</v>
      </c>
      <c r="N831" s="7">
        <v>16266.38</v>
      </c>
      <c r="O831" s="8">
        <v>12.2</v>
      </c>
      <c r="P831" s="7">
        <v>14281.88</v>
      </c>
      <c r="Q831" s="8">
        <v>38.5</v>
      </c>
      <c r="R831" s="7">
        <v>5498.52</v>
      </c>
      <c r="S831" s="5" t="s">
        <v>40</v>
      </c>
    </row>
    <row r="832" spans="1:19" x14ac:dyDescent="0.3">
      <c r="A832" s="1" t="s">
        <v>1293</v>
      </c>
      <c r="B832" s="1" t="s">
        <v>90</v>
      </c>
      <c r="C832" s="1" t="s">
        <v>75</v>
      </c>
      <c r="D832" s="1" t="s">
        <v>60</v>
      </c>
      <c r="E832" s="2" t="s">
        <v>194</v>
      </c>
      <c r="F832" s="1" t="s">
        <v>52</v>
      </c>
      <c r="G832" s="1" t="s">
        <v>36</v>
      </c>
      <c r="H832" s="1" t="s">
        <v>105</v>
      </c>
      <c r="I832" s="1" t="s">
        <v>55</v>
      </c>
      <c r="J832" s="1" t="s">
        <v>93</v>
      </c>
      <c r="K832" s="1" t="s">
        <v>48</v>
      </c>
      <c r="L832" s="3">
        <v>5884.51</v>
      </c>
      <c r="M832" s="1">
        <v>14</v>
      </c>
      <c r="N832" s="3">
        <v>82383.14</v>
      </c>
      <c r="O832" s="4">
        <v>5.6</v>
      </c>
      <c r="P832" s="3">
        <v>77769.679999999993</v>
      </c>
      <c r="Q832" s="4">
        <v>22.1</v>
      </c>
      <c r="R832" s="3">
        <v>17187.099999999999</v>
      </c>
      <c r="S832" s="1" t="s">
        <v>112</v>
      </c>
    </row>
    <row r="833" spans="1:19" x14ac:dyDescent="0.3">
      <c r="A833" s="5" t="s">
        <v>1294</v>
      </c>
      <c r="B833" s="5" t="s">
        <v>84</v>
      </c>
      <c r="C833" s="5" t="s">
        <v>85</v>
      </c>
      <c r="D833" s="5" t="s">
        <v>86</v>
      </c>
      <c r="E833" s="6" t="s">
        <v>114</v>
      </c>
      <c r="F833" s="5" t="s">
        <v>45</v>
      </c>
      <c r="G833" s="5" t="s">
        <v>63</v>
      </c>
      <c r="H833" s="5" t="s">
        <v>64</v>
      </c>
      <c r="I833" s="5" t="s">
        <v>38</v>
      </c>
      <c r="J833" s="5" t="s">
        <v>93</v>
      </c>
      <c r="K833" s="5" t="s">
        <v>78</v>
      </c>
      <c r="L833" s="7">
        <v>311.70999999999998</v>
      </c>
      <c r="M833" s="5">
        <v>8</v>
      </c>
      <c r="N833" s="7">
        <v>2493.6799999999998</v>
      </c>
      <c r="O833" s="8">
        <v>13.6</v>
      </c>
      <c r="P833" s="7">
        <v>2154.54</v>
      </c>
      <c r="Q833" s="8">
        <v>22.8</v>
      </c>
      <c r="R833" s="7">
        <v>491.24</v>
      </c>
      <c r="S833" s="5" t="s">
        <v>79</v>
      </c>
    </row>
    <row r="834" spans="1:19" x14ac:dyDescent="0.3">
      <c r="A834" s="1" t="s">
        <v>1295</v>
      </c>
      <c r="B834" s="1" t="s">
        <v>627</v>
      </c>
      <c r="C834" s="1" t="s">
        <v>21</v>
      </c>
      <c r="D834" s="1" t="s">
        <v>22</v>
      </c>
      <c r="E834" s="2" t="s">
        <v>170</v>
      </c>
      <c r="F834" s="1" t="s">
        <v>52</v>
      </c>
      <c r="G834" s="1" t="s">
        <v>109</v>
      </c>
      <c r="H834" s="1" t="s">
        <v>122</v>
      </c>
      <c r="I834" s="1" t="s">
        <v>38</v>
      </c>
      <c r="J834" s="1" t="s">
        <v>65</v>
      </c>
      <c r="K834" s="1" t="s">
        <v>88</v>
      </c>
      <c r="L834" s="3">
        <v>2951.3</v>
      </c>
      <c r="M834" s="1">
        <v>20</v>
      </c>
      <c r="N834" s="3">
        <v>59026</v>
      </c>
      <c r="O834" s="4">
        <v>5</v>
      </c>
      <c r="P834" s="3">
        <v>56074.7</v>
      </c>
      <c r="Q834" s="4">
        <v>36.799999999999997</v>
      </c>
      <c r="R834" s="3">
        <v>20635.490000000002</v>
      </c>
      <c r="S834" s="1" t="s">
        <v>40</v>
      </c>
    </row>
    <row r="835" spans="1:19" x14ac:dyDescent="0.3">
      <c r="A835" s="5" t="s">
        <v>1296</v>
      </c>
      <c r="B835" s="5" t="s">
        <v>805</v>
      </c>
      <c r="C835" s="5" t="s">
        <v>131</v>
      </c>
      <c r="D835" s="5" t="s">
        <v>69</v>
      </c>
      <c r="E835" s="6" t="s">
        <v>213</v>
      </c>
      <c r="F835" s="5" t="s">
        <v>62</v>
      </c>
      <c r="G835" s="5" t="s">
        <v>63</v>
      </c>
      <c r="H835" s="5" t="s">
        <v>64</v>
      </c>
      <c r="I835" s="5" t="s">
        <v>27</v>
      </c>
      <c r="J835" s="5" t="s">
        <v>65</v>
      </c>
      <c r="K835" s="5" t="s">
        <v>149</v>
      </c>
      <c r="L835" s="7">
        <v>3697.45</v>
      </c>
      <c r="M835" s="5">
        <v>15</v>
      </c>
      <c r="N835" s="7">
        <v>55461.75</v>
      </c>
      <c r="O835" s="8">
        <v>18</v>
      </c>
      <c r="P835" s="7">
        <v>45478.64</v>
      </c>
      <c r="Q835" s="8">
        <v>69.900000000000006</v>
      </c>
      <c r="R835" s="7">
        <v>31789.57</v>
      </c>
      <c r="S835" s="5" t="s">
        <v>40</v>
      </c>
    </row>
    <row r="836" spans="1:19" x14ac:dyDescent="0.3">
      <c r="A836" s="1" t="s">
        <v>1297</v>
      </c>
      <c r="B836" s="1" t="s">
        <v>453</v>
      </c>
      <c r="C836" s="1" t="s">
        <v>96</v>
      </c>
      <c r="D836" s="1" t="s">
        <v>86</v>
      </c>
      <c r="E836" s="2" t="s">
        <v>177</v>
      </c>
      <c r="F836" s="1" t="s">
        <v>166</v>
      </c>
      <c r="G836" s="1" t="s">
        <v>53</v>
      </c>
      <c r="H836" s="1" t="s">
        <v>98</v>
      </c>
      <c r="I836" s="1" t="s">
        <v>38</v>
      </c>
      <c r="J836" s="1" t="s">
        <v>47</v>
      </c>
      <c r="K836" s="1" t="s">
        <v>48</v>
      </c>
      <c r="L836" s="3">
        <v>2081.21</v>
      </c>
      <c r="M836" s="1">
        <v>21</v>
      </c>
      <c r="N836" s="3">
        <v>43705.41</v>
      </c>
      <c r="O836" s="4">
        <v>20.6</v>
      </c>
      <c r="P836" s="3">
        <v>34702.1</v>
      </c>
      <c r="Q836" s="4">
        <v>44.3</v>
      </c>
      <c r="R836" s="3">
        <v>15373.03</v>
      </c>
      <c r="S836" s="1" t="s">
        <v>40</v>
      </c>
    </row>
    <row r="837" spans="1:19" x14ac:dyDescent="0.3">
      <c r="A837" s="5" t="s">
        <v>1298</v>
      </c>
      <c r="B837" s="5" t="s">
        <v>574</v>
      </c>
      <c r="C837" s="5" t="s">
        <v>117</v>
      </c>
      <c r="D837" s="5" t="s">
        <v>86</v>
      </c>
      <c r="E837" s="6" t="s">
        <v>51</v>
      </c>
      <c r="F837" s="5" t="s">
        <v>52</v>
      </c>
      <c r="G837" s="5" t="s">
        <v>36</v>
      </c>
      <c r="H837" s="5" t="s">
        <v>105</v>
      </c>
      <c r="I837" s="5" t="s">
        <v>72</v>
      </c>
      <c r="J837" s="5" t="s">
        <v>93</v>
      </c>
      <c r="K837" s="5" t="s">
        <v>102</v>
      </c>
      <c r="L837" s="7">
        <v>5596.37</v>
      </c>
      <c r="M837" s="5">
        <v>23</v>
      </c>
      <c r="N837" s="7">
        <v>128716.51</v>
      </c>
      <c r="O837" s="8">
        <v>20.3</v>
      </c>
      <c r="P837" s="7">
        <v>102587.06</v>
      </c>
      <c r="Q837" s="8">
        <v>26.5</v>
      </c>
      <c r="R837" s="7">
        <v>27185.57</v>
      </c>
      <c r="S837" s="5" t="s">
        <v>40</v>
      </c>
    </row>
    <row r="838" spans="1:19" x14ac:dyDescent="0.3">
      <c r="A838" s="1" t="s">
        <v>1299</v>
      </c>
      <c r="B838" s="1" t="s">
        <v>251</v>
      </c>
      <c r="C838" s="1" t="s">
        <v>85</v>
      </c>
      <c r="D838" s="1" t="s">
        <v>86</v>
      </c>
      <c r="E838" s="2" t="s">
        <v>410</v>
      </c>
      <c r="F838" s="1" t="s">
        <v>166</v>
      </c>
      <c r="G838" s="1" t="s">
        <v>63</v>
      </c>
      <c r="H838" s="1" t="s">
        <v>92</v>
      </c>
      <c r="I838" s="1" t="s">
        <v>47</v>
      </c>
      <c r="J838" s="1" t="s">
        <v>47</v>
      </c>
      <c r="K838" s="1" t="s">
        <v>56</v>
      </c>
      <c r="L838" s="3">
        <v>4649.6499999999996</v>
      </c>
      <c r="M838" s="1">
        <v>17</v>
      </c>
      <c r="N838" s="3">
        <v>79044.05</v>
      </c>
      <c r="O838" s="4">
        <v>20.100000000000001</v>
      </c>
      <c r="P838" s="3">
        <v>63156.2</v>
      </c>
      <c r="Q838" s="4">
        <v>50.4</v>
      </c>
      <c r="R838" s="3">
        <v>31830.720000000001</v>
      </c>
      <c r="S838" s="1" t="s">
        <v>30</v>
      </c>
    </row>
    <row r="839" spans="1:19" x14ac:dyDescent="0.3">
      <c r="A839" s="5" t="s">
        <v>1300</v>
      </c>
      <c r="B839" s="5" t="s">
        <v>1301</v>
      </c>
      <c r="C839" s="5" t="s">
        <v>68</v>
      </c>
      <c r="D839" s="5" t="s">
        <v>69</v>
      </c>
      <c r="E839" s="6" t="s">
        <v>51</v>
      </c>
      <c r="F839" s="5" t="s">
        <v>52</v>
      </c>
      <c r="G839" s="5" t="s">
        <v>109</v>
      </c>
      <c r="H839" s="5" t="s">
        <v>152</v>
      </c>
      <c r="I839" s="5" t="s">
        <v>38</v>
      </c>
      <c r="J839" s="5" t="s">
        <v>47</v>
      </c>
      <c r="K839" s="5" t="s">
        <v>39</v>
      </c>
      <c r="L839" s="7">
        <v>5382.24</v>
      </c>
      <c r="M839" s="5">
        <v>18</v>
      </c>
      <c r="N839" s="7">
        <v>96880.320000000007</v>
      </c>
      <c r="O839" s="8">
        <v>3.5</v>
      </c>
      <c r="P839" s="7">
        <v>93489.51</v>
      </c>
      <c r="Q839" s="8">
        <v>22.6</v>
      </c>
      <c r="R839" s="7">
        <v>21128.63</v>
      </c>
      <c r="S839" s="5" t="s">
        <v>40</v>
      </c>
    </row>
    <row r="840" spans="1:19" x14ac:dyDescent="0.3">
      <c r="A840" s="1" t="s">
        <v>1302</v>
      </c>
      <c r="B840" s="1" t="s">
        <v>262</v>
      </c>
      <c r="C840" s="1" t="s">
        <v>43</v>
      </c>
      <c r="D840" s="1" t="s">
        <v>22</v>
      </c>
      <c r="E840" s="2" t="s">
        <v>224</v>
      </c>
      <c r="F840" s="1" t="s">
        <v>166</v>
      </c>
      <c r="G840" s="1" t="s">
        <v>63</v>
      </c>
      <c r="H840" s="1" t="s">
        <v>87</v>
      </c>
      <c r="I840" s="1" t="s">
        <v>72</v>
      </c>
      <c r="J840" s="1" t="s">
        <v>65</v>
      </c>
      <c r="K840" s="1" t="s">
        <v>88</v>
      </c>
      <c r="L840" s="3">
        <v>3915.08</v>
      </c>
      <c r="M840" s="1">
        <v>6</v>
      </c>
      <c r="N840" s="3">
        <v>23490.48</v>
      </c>
      <c r="O840" s="4">
        <v>8.8000000000000007</v>
      </c>
      <c r="P840" s="3">
        <v>21423.32</v>
      </c>
      <c r="Q840" s="4">
        <v>50.3</v>
      </c>
      <c r="R840" s="3">
        <v>10775.93</v>
      </c>
      <c r="S840" s="1" t="s">
        <v>40</v>
      </c>
    </row>
    <row r="841" spans="1:19" x14ac:dyDescent="0.3">
      <c r="A841" s="5" t="s">
        <v>1303</v>
      </c>
      <c r="B841" s="5" t="s">
        <v>1304</v>
      </c>
      <c r="C841" s="5" t="s">
        <v>33</v>
      </c>
      <c r="D841" s="5" t="s">
        <v>22</v>
      </c>
      <c r="E841" s="6" t="s">
        <v>51</v>
      </c>
      <c r="F841" s="5" t="s">
        <v>52</v>
      </c>
      <c r="G841" s="5" t="s">
        <v>25</v>
      </c>
      <c r="H841" s="5" t="s">
        <v>26</v>
      </c>
      <c r="I841" s="5" t="s">
        <v>27</v>
      </c>
      <c r="J841" s="5" t="s">
        <v>47</v>
      </c>
      <c r="K841" s="5" t="s">
        <v>56</v>
      </c>
      <c r="L841" s="7">
        <v>8378.33</v>
      </c>
      <c r="M841" s="5">
        <v>15</v>
      </c>
      <c r="N841" s="7">
        <v>125674.95</v>
      </c>
      <c r="O841" s="8">
        <v>8.8000000000000007</v>
      </c>
      <c r="P841" s="7">
        <v>114615.55</v>
      </c>
      <c r="Q841" s="8">
        <v>35.9</v>
      </c>
      <c r="R841" s="7">
        <v>41146.980000000003</v>
      </c>
      <c r="S841" s="5" t="s">
        <v>40</v>
      </c>
    </row>
    <row r="842" spans="1:19" x14ac:dyDescent="0.3">
      <c r="A842" s="1" t="s">
        <v>1305</v>
      </c>
      <c r="B842" s="1" t="s">
        <v>42</v>
      </c>
      <c r="C842" s="1" t="s">
        <v>43</v>
      </c>
      <c r="D842" s="1" t="s">
        <v>22</v>
      </c>
      <c r="E842" s="2" t="s">
        <v>158</v>
      </c>
      <c r="F842" s="1" t="s">
        <v>35</v>
      </c>
      <c r="G842" s="1" t="s">
        <v>63</v>
      </c>
      <c r="H842" s="1" t="s">
        <v>167</v>
      </c>
      <c r="I842" s="1" t="s">
        <v>47</v>
      </c>
      <c r="J842" s="1" t="s">
        <v>28</v>
      </c>
      <c r="K842" s="1" t="s">
        <v>88</v>
      </c>
      <c r="L842" s="3">
        <v>15380.69</v>
      </c>
      <c r="M842" s="1">
        <v>23</v>
      </c>
      <c r="N842" s="3">
        <v>353755.87</v>
      </c>
      <c r="O842" s="4">
        <v>16.5</v>
      </c>
      <c r="P842" s="3">
        <v>295386.15000000002</v>
      </c>
      <c r="Q842" s="4">
        <v>42.9</v>
      </c>
      <c r="R842" s="3">
        <v>126720.66</v>
      </c>
      <c r="S842" s="1" t="s">
        <v>112</v>
      </c>
    </row>
    <row r="843" spans="1:19" x14ac:dyDescent="0.3">
      <c r="A843" s="5" t="s">
        <v>1306</v>
      </c>
      <c r="B843" s="5" t="s">
        <v>274</v>
      </c>
      <c r="C843" s="5" t="s">
        <v>135</v>
      </c>
      <c r="D843" s="5" t="s">
        <v>69</v>
      </c>
      <c r="E843" s="6" t="s">
        <v>139</v>
      </c>
      <c r="F843" s="5" t="s">
        <v>45</v>
      </c>
      <c r="G843" s="5" t="s">
        <v>25</v>
      </c>
      <c r="H843" s="5" t="s">
        <v>46</v>
      </c>
      <c r="I843" s="5" t="s">
        <v>55</v>
      </c>
      <c r="J843" s="5" t="s">
        <v>28</v>
      </c>
      <c r="K843" s="5" t="s">
        <v>111</v>
      </c>
      <c r="L843" s="7">
        <v>1113.1199999999999</v>
      </c>
      <c r="M843" s="5">
        <v>24</v>
      </c>
      <c r="N843" s="7">
        <v>26714.880000000001</v>
      </c>
      <c r="O843" s="8">
        <v>0.8</v>
      </c>
      <c r="P843" s="7">
        <v>26501.16</v>
      </c>
      <c r="Q843" s="8">
        <v>27.5</v>
      </c>
      <c r="R843" s="7">
        <v>7287.82</v>
      </c>
      <c r="S843" s="5" t="s">
        <v>40</v>
      </c>
    </row>
    <row r="844" spans="1:19" x14ac:dyDescent="0.3">
      <c r="A844" s="1" t="s">
        <v>1307</v>
      </c>
      <c r="B844" s="1" t="s">
        <v>401</v>
      </c>
      <c r="C844" s="1" t="s">
        <v>101</v>
      </c>
      <c r="D844" s="1" t="s">
        <v>60</v>
      </c>
      <c r="E844" s="2" t="s">
        <v>23</v>
      </c>
      <c r="F844" s="1" t="s">
        <v>24</v>
      </c>
      <c r="G844" s="1" t="s">
        <v>36</v>
      </c>
      <c r="H844" s="1" t="s">
        <v>37</v>
      </c>
      <c r="I844" s="1" t="s">
        <v>55</v>
      </c>
      <c r="J844" s="1" t="s">
        <v>28</v>
      </c>
      <c r="K844" s="1" t="s">
        <v>111</v>
      </c>
      <c r="L844" s="3">
        <v>90879.88</v>
      </c>
      <c r="M844" s="1">
        <v>21</v>
      </c>
      <c r="N844" s="3">
        <v>1908477.48</v>
      </c>
      <c r="O844" s="4">
        <v>25</v>
      </c>
      <c r="P844" s="3">
        <v>1431358.11</v>
      </c>
      <c r="Q844" s="4">
        <v>18.2</v>
      </c>
      <c r="R844" s="3">
        <v>260507.18</v>
      </c>
      <c r="S844" s="1" t="s">
        <v>40</v>
      </c>
    </row>
    <row r="845" spans="1:19" x14ac:dyDescent="0.3">
      <c r="A845" s="5" t="s">
        <v>1308</v>
      </c>
      <c r="B845" s="5" t="s">
        <v>255</v>
      </c>
      <c r="C845" s="5" t="s">
        <v>43</v>
      </c>
      <c r="D845" s="5" t="s">
        <v>22</v>
      </c>
      <c r="E845" s="6" t="s">
        <v>246</v>
      </c>
      <c r="F845" s="5" t="s">
        <v>52</v>
      </c>
      <c r="G845" s="5" t="s">
        <v>63</v>
      </c>
      <c r="H845" s="5" t="s">
        <v>64</v>
      </c>
      <c r="I845" s="5" t="s">
        <v>55</v>
      </c>
      <c r="J845" s="5" t="s">
        <v>28</v>
      </c>
      <c r="K845" s="5" t="s">
        <v>111</v>
      </c>
      <c r="L845" s="7">
        <v>8375.26</v>
      </c>
      <c r="M845" s="5">
        <v>16</v>
      </c>
      <c r="N845" s="7">
        <v>134004.16</v>
      </c>
      <c r="O845" s="8">
        <v>13.4</v>
      </c>
      <c r="P845" s="7">
        <v>116047.6</v>
      </c>
      <c r="Q845" s="8">
        <v>23</v>
      </c>
      <c r="R845" s="7">
        <v>26690.95</v>
      </c>
      <c r="S845" s="5" t="s">
        <v>30</v>
      </c>
    </row>
    <row r="846" spans="1:19" x14ac:dyDescent="0.3">
      <c r="A846" s="1" t="s">
        <v>1309</v>
      </c>
      <c r="B846" s="1" t="s">
        <v>714</v>
      </c>
      <c r="C846" s="1" t="s">
        <v>96</v>
      </c>
      <c r="D846" s="1" t="s">
        <v>86</v>
      </c>
      <c r="E846" s="2" t="s">
        <v>114</v>
      </c>
      <c r="F846" s="1" t="s">
        <v>45</v>
      </c>
      <c r="G846" s="1" t="s">
        <v>36</v>
      </c>
      <c r="H846" s="1" t="s">
        <v>105</v>
      </c>
      <c r="I846" s="1" t="s">
        <v>47</v>
      </c>
      <c r="J846" s="1" t="s">
        <v>65</v>
      </c>
      <c r="K846" s="1" t="s">
        <v>56</v>
      </c>
      <c r="L846" s="3">
        <v>385.23</v>
      </c>
      <c r="M846" s="1">
        <v>17</v>
      </c>
      <c r="N846" s="3">
        <v>6548.91</v>
      </c>
      <c r="O846" s="4">
        <v>13.8</v>
      </c>
      <c r="P846" s="3">
        <v>5645.16</v>
      </c>
      <c r="Q846" s="4">
        <v>18.8</v>
      </c>
      <c r="R846" s="3">
        <v>1061.29</v>
      </c>
      <c r="S846" s="1" t="s">
        <v>40</v>
      </c>
    </row>
    <row r="847" spans="1:19" x14ac:dyDescent="0.3">
      <c r="A847" s="5" t="s">
        <v>1310</v>
      </c>
      <c r="B847" s="5" t="s">
        <v>453</v>
      </c>
      <c r="C847" s="5" t="s">
        <v>96</v>
      </c>
      <c r="D847" s="5" t="s">
        <v>86</v>
      </c>
      <c r="E847" s="6" t="s">
        <v>320</v>
      </c>
      <c r="F847" s="5" t="s">
        <v>24</v>
      </c>
      <c r="G847" s="5" t="s">
        <v>53</v>
      </c>
      <c r="H847" s="5" t="s">
        <v>54</v>
      </c>
      <c r="I847" s="5" t="s">
        <v>27</v>
      </c>
      <c r="J847" s="5" t="s">
        <v>28</v>
      </c>
      <c r="K847" s="5" t="s">
        <v>78</v>
      </c>
      <c r="L847" s="7">
        <v>19709.740000000002</v>
      </c>
      <c r="M847" s="5">
        <v>1</v>
      </c>
      <c r="N847" s="7">
        <v>19709.740000000002</v>
      </c>
      <c r="O847" s="8">
        <v>6.5</v>
      </c>
      <c r="P847" s="7">
        <v>18428.61</v>
      </c>
      <c r="Q847" s="8">
        <v>20.9</v>
      </c>
      <c r="R847" s="7">
        <v>3851.58</v>
      </c>
      <c r="S847" s="5" t="s">
        <v>40</v>
      </c>
    </row>
    <row r="848" spans="1:19" x14ac:dyDescent="0.3">
      <c r="A848" s="1" t="s">
        <v>1311</v>
      </c>
      <c r="B848" s="1" t="s">
        <v>523</v>
      </c>
      <c r="C848" s="1" t="s">
        <v>43</v>
      </c>
      <c r="D848" s="1" t="s">
        <v>22</v>
      </c>
      <c r="E848" s="2" t="s">
        <v>177</v>
      </c>
      <c r="F848" s="1" t="s">
        <v>166</v>
      </c>
      <c r="G848" s="1" t="s">
        <v>63</v>
      </c>
      <c r="H848" s="1" t="s">
        <v>92</v>
      </c>
      <c r="I848" s="1" t="s">
        <v>72</v>
      </c>
      <c r="J848" s="1" t="s">
        <v>28</v>
      </c>
      <c r="K848" s="1" t="s">
        <v>111</v>
      </c>
      <c r="L848" s="3">
        <v>3378.69</v>
      </c>
      <c r="M848" s="1">
        <v>10</v>
      </c>
      <c r="N848" s="3">
        <v>33786.9</v>
      </c>
      <c r="O848" s="4">
        <v>21.5</v>
      </c>
      <c r="P848" s="3">
        <v>26522.720000000001</v>
      </c>
      <c r="Q848" s="4">
        <v>56.4</v>
      </c>
      <c r="R848" s="3">
        <v>14958.81</v>
      </c>
      <c r="S848" s="1" t="s">
        <v>79</v>
      </c>
    </row>
    <row r="849" spans="1:19" x14ac:dyDescent="0.3">
      <c r="A849" s="5" t="s">
        <v>1312</v>
      </c>
      <c r="B849" s="5" t="s">
        <v>505</v>
      </c>
      <c r="C849" s="5" t="s">
        <v>101</v>
      </c>
      <c r="D849" s="5" t="s">
        <v>60</v>
      </c>
      <c r="E849" s="6" t="s">
        <v>145</v>
      </c>
      <c r="F849" s="5" t="s">
        <v>62</v>
      </c>
      <c r="G849" s="5" t="s">
        <v>25</v>
      </c>
      <c r="H849" s="5" t="s">
        <v>215</v>
      </c>
      <c r="I849" s="5" t="s">
        <v>47</v>
      </c>
      <c r="J849" s="5" t="s">
        <v>47</v>
      </c>
      <c r="K849" s="5" t="s">
        <v>29</v>
      </c>
      <c r="L849" s="7">
        <v>1053.71</v>
      </c>
      <c r="M849" s="5">
        <v>23</v>
      </c>
      <c r="N849" s="7">
        <v>24235.33</v>
      </c>
      <c r="O849" s="8">
        <v>5.5</v>
      </c>
      <c r="P849" s="7">
        <v>22902.39</v>
      </c>
      <c r="Q849" s="8">
        <v>66.099999999999994</v>
      </c>
      <c r="R849" s="7">
        <v>15138.48</v>
      </c>
      <c r="S849" s="5" t="s">
        <v>40</v>
      </c>
    </row>
    <row r="850" spans="1:19" x14ac:dyDescent="0.3">
      <c r="A850" s="1" t="s">
        <v>1313</v>
      </c>
      <c r="B850" s="1" t="s">
        <v>973</v>
      </c>
      <c r="C850" s="1" t="s">
        <v>131</v>
      </c>
      <c r="D850" s="1" t="s">
        <v>69</v>
      </c>
      <c r="E850" s="2" t="s">
        <v>194</v>
      </c>
      <c r="F850" s="1" t="s">
        <v>52</v>
      </c>
      <c r="G850" s="1" t="s">
        <v>63</v>
      </c>
      <c r="H850" s="1" t="s">
        <v>87</v>
      </c>
      <c r="I850" s="1" t="s">
        <v>72</v>
      </c>
      <c r="J850" s="1" t="s">
        <v>65</v>
      </c>
      <c r="K850" s="1" t="s">
        <v>149</v>
      </c>
      <c r="L850" s="3">
        <v>5345.82</v>
      </c>
      <c r="M850" s="1">
        <v>1</v>
      </c>
      <c r="N850" s="3">
        <v>5345.82</v>
      </c>
      <c r="O850" s="4">
        <v>22.8</v>
      </c>
      <c r="P850" s="3">
        <v>4126.97</v>
      </c>
      <c r="Q850" s="4">
        <v>36.5</v>
      </c>
      <c r="R850" s="3">
        <v>1506.34</v>
      </c>
      <c r="S850" s="1" t="s">
        <v>79</v>
      </c>
    </row>
    <row r="851" spans="1:19" x14ac:dyDescent="0.3">
      <c r="A851" s="5" t="s">
        <v>1314</v>
      </c>
      <c r="B851" s="5" t="s">
        <v>1026</v>
      </c>
      <c r="C851" s="5" t="s">
        <v>21</v>
      </c>
      <c r="D851" s="5" t="s">
        <v>22</v>
      </c>
      <c r="E851" s="6" t="s">
        <v>174</v>
      </c>
      <c r="F851" s="5" t="s">
        <v>45</v>
      </c>
      <c r="G851" s="5" t="s">
        <v>53</v>
      </c>
      <c r="H851" s="5" t="s">
        <v>54</v>
      </c>
      <c r="I851" s="5" t="s">
        <v>47</v>
      </c>
      <c r="J851" s="5" t="s">
        <v>65</v>
      </c>
      <c r="K851" s="5" t="s">
        <v>78</v>
      </c>
      <c r="L851" s="7">
        <v>1152.74</v>
      </c>
      <c r="M851" s="5">
        <v>2</v>
      </c>
      <c r="N851" s="7">
        <v>2305.48</v>
      </c>
      <c r="O851" s="8">
        <v>8</v>
      </c>
      <c r="P851" s="7">
        <v>2121.04</v>
      </c>
      <c r="Q851" s="8">
        <v>34.4</v>
      </c>
      <c r="R851" s="7">
        <v>729.64</v>
      </c>
      <c r="S851" s="5" t="s">
        <v>79</v>
      </c>
    </row>
    <row r="852" spans="1:19" x14ac:dyDescent="0.3">
      <c r="A852" s="1" t="s">
        <v>1315</v>
      </c>
      <c r="B852" s="1" t="s">
        <v>690</v>
      </c>
      <c r="C852" s="1" t="s">
        <v>33</v>
      </c>
      <c r="D852" s="1" t="s">
        <v>22</v>
      </c>
      <c r="E852" s="2" t="s">
        <v>23</v>
      </c>
      <c r="F852" s="1" t="s">
        <v>24</v>
      </c>
      <c r="G852" s="1" t="s">
        <v>36</v>
      </c>
      <c r="H852" s="1" t="s">
        <v>136</v>
      </c>
      <c r="I852" s="1" t="s">
        <v>55</v>
      </c>
      <c r="J852" s="1" t="s">
        <v>93</v>
      </c>
      <c r="K852" s="1" t="s">
        <v>149</v>
      </c>
      <c r="L852" s="3">
        <v>43417.77</v>
      </c>
      <c r="M852" s="1">
        <v>14</v>
      </c>
      <c r="N852" s="3">
        <v>607848.78</v>
      </c>
      <c r="O852" s="4">
        <v>23.3</v>
      </c>
      <c r="P852" s="3">
        <v>466220.01</v>
      </c>
      <c r="Q852" s="4">
        <v>29.2</v>
      </c>
      <c r="R852" s="3">
        <v>136136.24</v>
      </c>
      <c r="S852" s="1" t="s">
        <v>40</v>
      </c>
    </row>
    <row r="853" spans="1:19" x14ac:dyDescent="0.3">
      <c r="A853" s="5" t="s">
        <v>1316</v>
      </c>
      <c r="B853" s="5" t="s">
        <v>124</v>
      </c>
      <c r="C853" s="5" t="s">
        <v>59</v>
      </c>
      <c r="D853" s="5" t="s">
        <v>60</v>
      </c>
      <c r="E853" s="6" t="s">
        <v>346</v>
      </c>
      <c r="F853" s="5" t="s">
        <v>35</v>
      </c>
      <c r="G853" s="5" t="s">
        <v>25</v>
      </c>
      <c r="H853" s="5" t="s">
        <v>46</v>
      </c>
      <c r="I853" s="5" t="s">
        <v>38</v>
      </c>
      <c r="J853" s="5" t="s">
        <v>28</v>
      </c>
      <c r="K853" s="5" t="s">
        <v>29</v>
      </c>
      <c r="L853" s="7">
        <v>40708.32</v>
      </c>
      <c r="M853" s="5">
        <v>14</v>
      </c>
      <c r="N853" s="7">
        <v>569916.48</v>
      </c>
      <c r="O853" s="8">
        <v>15</v>
      </c>
      <c r="P853" s="7">
        <v>484429.01</v>
      </c>
      <c r="Q853" s="8">
        <v>35</v>
      </c>
      <c r="R853" s="7">
        <v>169550.15</v>
      </c>
      <c r="S853" s="5" t="s">
        <v>79</v>
      </c>
    </row>
    <row r="854" spans="1:19" x14ac:dyDescent="0.3">
      <c r="A854" s="1" t="s">
        <v>1317</v>
      </c>
      <c r="B854" s="1" t="s">
        <v>323</v>
      </c>
      <c r="C854" s="1" t="s">
        <v>68</v>
      </c>
      <c r="D854" s="1" t="s">
        <v>69</v>
      </c>
      <c r="E854" s="2" t="s">
        <v>279</v>
      </c>
      <c r="F854" s="1" t="s">
        <v>166</v>
      </c>
      <c r="G854" s="1" t="s">
        <v>25</v>
      </c>
      <c r="H854" s="1" t="s">
        <v>26</v>
      </c>
      <c r="I854" s="1" t="s">
        <v>38</v>
      </c>
      <c r="J854" s="1" t="s">
        <v>47</v>
      </c>
      <c r="K854" s="1" t="s">
        <v>111</v>
      </c>
      <c r="L854" s="3">
        <v>3490.18</v>
      </c>
      <c r="M854" s="1">
        <v>15</v>
      </c>
      <c r="N854" s="3">
        <v>52352.7</v>
      </c>
      <c r="O854" s="4">
        <v>15.8</v>
      </c>
      <c r="P854" s="3">
        <v>44080.97</v>
      </c>
      <c r="Q854" s="4">
        <v>41</v>
      </c>
      <c r="R854" s="3">
        <v>18073.2</v>
      </c>
      <c r="S854" s="1" t="s">
        <v>40</v>
      </c>
    </row>
    <row r="855" spans="1:19" x14ac:dyDescent="0.3">
      <c r="A855" s="5" t="s">
        <v>1318</v>
      </c>
      <c r="B855" s="5" t="s">
        <v>1265</v>
      </c>
      <c r="C855" s="5" t="s">
        <v>33</v>
      </c>
      <c r="D855" s="5" t="s">
        <v>22</v>
      </c>
      <c r="E855" s="6" t="s">
        <v>145</v>
      </c>
      <c r="F855" s="5" t="s">
        <v>62</v>
      </c>
      <c r="G855" s="5" t="s">
        <v>63</v>
      </c>
      <c r="H855" s="5" t="s">
        <v>64</v>
      </c>
      <c r="I855" s="5" t="s">
        <v>47</v>
      </c>
      <c r="J855" s="5" t="s">
        <v>65</v>
      </c>
      <c r="K855" s="5" t="s">
        <v>149</v>
      </c>
      <c r="L855" s="7">
        <v>3036.68</v>
      </c>
      <c r="M855" s="5">
        <v>8</v>
      </c>
      <c r="N855" s="7">
        <v>24293.439999999999</v>
      </c>
      <c r="O855" s="8">
        <v>10.3</v>
      </c>
      <c r="P855" s="7">
        <v>21791.22</v>
      </c>
      <c r="Q855" s="8">
        <v>50</v>
      </c>
      <c r="R855" s="7">
        <v>10895.61</v>
      </c>
      <c r="S855" s="5" t="s">
        <v>30</v>
      </c>
    </row>
    <row r="856" spans="1:19" x14ac:dyDescent="0.3">
      <c r="A856" s="1" t="s">
        <v>1319</v>
      </c>
      <c r="B856" s="1" t="s">
        <v>780</v>
      </c>
      <c r="C856" s="1" t="s">
        <v>117</v>
      </c>
      <c r="D856" s="1" t="s">
        <v>86</v>
      </c>
      <c r="E856" s="2" t="s">
        <v>246</v>
      </c>
      <c r="F856" s="1" t="s">
        <v>52</v>
      </c>
      <c r="G856" s="1" t="s">
        <v>36</v>
      </c>
      <c r="H856" s="1" t="s">
        <v>105</v>
      </c>
      <c r="I856" s="1" t="s">
        <v>38</v>
      </c>
      <c r="J856" s="1" t="s">
        <v>47</v>
      </c>
      <c r="K856" s="1" t="s">
        <v>29</v>
      </c>
      <c r="L856" s="3">
        <v>5426.71</v>
      </c>
      <c r="M856" s="1">
        <v>18</v>
      </c>
      <c r="N856" s="3">
        <v>97680.78</v>
      </c>
      <c r="O856" s="4">
        <v>0.1</v>
      </c>
      <c r="P856" s="3">
        <v>97583.1</v>
      </c>
      <c r="Q856" s="4">
        <v>28.9</v>
      </c>
      <c r="R856" s="3">
        <v>28201.52</v>
      </c>
      <c r="S856" s="1" t="s">
        <v>40</v>
      </c>
    </row>
    <row r="857" spans="1:19" x14ac:dyDescent="0.3">
      <c r="A857" s="5" t="s">
        <v>1320</v>
      </c>
      <c r="B857" s="5" t="s">
        <v>588</v>
      </c>
      <c r="C857" s="5" t="s">
        <v>135</v>
      </c>
      <c r="D857" s="5" t="s">
        <v>69</v>
      </c>
      <c r="E857" s="6" t="s">
        <v>213</v>
      </c>
      <c r="F857" s="5" t="s">
        <v>62</v>
      </c>
      <c r="G857" s="5" t="s">
        <v>25</v>
      </c>
      <c r="H857" s="5" t="s">
        <v>26</v>
      </c>
      <c r="I857" s="5" t="s">
        <v>38</v>
      </c>
      <c r="J857" s="5" t="s">
        <v>65</v>
      </c>
      <c r="K857" s="5" t="s">
        <v>102</v>
      </c>
      <c r="L857" s="7">
        <v>1509.94</v>
      </c>
      <c r="M857" s="5">
        <v>19</v>
      </c>
      <c r="N857" s="7">
        <v>28688.86</v>
      </c>
      <c r="O857" s="8">
        <v>2.7</v>
      </c>
      <c r="P857" s="7">
        <v>27914.26</v>
      </c>
      <c r="Q857" s="8">
        <v>58.1</v>
      </c>
      <c r="R857" s="7">
        <v>16218.19</v>
      </c>
      <c r="S857" s="5" t="s">
        <v>40</v>
      </c>
    </row>
    <row r="858" spans="1:19" x14ac:dyDescent="0.3">
      <c r="A858" s="1" t="s">
        <v>1321</v>
      </c>
      <c r="B858" s="1" t="s">
        <v>1322</v>
      </c>
      <c r="C858" s="1" t="s">
        <v>59</v>
      </c>
      <c r="D858" s="1" t="s">
        <v>60</v>
      </c>
      <c r="E858" s="2" t="s">
        <v>108</v>
      </c>
      <c r="F858" s="1" t="s">
        <v>35</v>
      </c>
      <c r="G858" s="1" t="s">
        <v>36</v>
      </c>
      <c r="H858" s="1" t="s">
        <v>37</v>
      </c>
      <c r="I858" s="1" t="s">
        <v>38</v>
      </c>
      <c r="J858" s="1" t="s">
        <v>47</v>
      </c>
      <c r="K858" s="1" t="s">
        <v>88</v>
      </c>
      <c r="L858" s="3">
        <v>19798.2</v>
      </c>
      <c r="M858" s="1">
        <v>7</v>
      </c>
      <c r="N858" s="3">
        <v>138587.4</v>
      </c>
      <c r="O858" s="4">
        <v>15.7</v>
      </c>
      <c r="P858" s="3">
        <v>116829.18</v>
      </c>
      <c r="Q858" s="4">
        <v>49.6</v>
      </c>
      <c r="R858" s="3">
        <v>57947.27</v>
      </c>
      <c r="S858" s="1" t="s">
        <v>79</v>
      </c>
    </row>
    <row r="859" spans="1:19" x14ac:dyDescent="0.3">
      <c r="A859" s="5" t="s">
        <v>1323</v>
      </c>
      <c r="B859" s="5" t="s">
        <v>179</v>
      </c>
      <c r="C859" s="5" t="s">
        <v>101</v>
      </c>
      <c r="D859" s="5" t="s">
        <v>60</v>
      </c>
      <c r="E859" s="6" t="s">
        <v>303</v>
      </c>
      <c r="F859" s="5" t="s">
        <v>62</v>
      </c>
      <c r="G859" s="5" t="s">
        <v>63</v>
      </c>
      <c r="H859" s="5" t="s">
        <v>92</v>
      </c>
      <c r="I859" s="5" t="s">
        <v>27</v>
      </c>
      <c r="J859" s="5" t="s">
        <v>93</v>
      </c>
      <c r="K859" s="5" t="s">
        <v>102</v>
      </c>
      <c r="L859" s="7">
        <v>1873.48</v>
      </c>
      <c r="M859" s="5">
        <v>12</v>
      </c>
      <c r="N859" s="7">
        <v>22481.759999999998</v>
      </c>
      <c r="O859" s="8">
        <v>5.2</v>
      </c>
      <c r="P859" s="7">
        <v>21312.71</v>
      </c>
      <c r="Q859" s="8">
        <v>52.7</v>
      </c>
      <c r="R859" s="7">
        <v>11231.8</v>
      </c>
      <c r="S859" s="5" t="s">
        <v>40</v>
      </c>
    </row>
    <row r="860" spans="1:19" x14ac:dyDescent="0.3">
      <c r="A860" s="1" t="s">
        <v>1324</v>
      </c>
      <c r="B860" s="1" t="s">
        <v>627</v>
      </c>
      <c r="C860" s="1" t="s">
        <v>21</v>
      </c>
      <c r="D860" s="1" t="s">
        <v>22</v>
      </c>
      <c r="E860" s="2" t="s">
        <v>128</v>
      </c>
      <c r="F860" s="1" t="s">
        <v>45</v>
      </c>
      <c r="G860" s="1" t="s">
        <v>63</v>
      </c>
      <c r="H860" s="1" t="s">
        <v>167</v>
      </c>
      <c r="I860" s="1" t="s">
        <v>27</v>
      </c>
      <c r="J860" s="1" t="s">
        <v>47</v>
      </c>
      <c r="K860" s="1" t="s">
        <v>56</v>
      </c>
      <c r="L860" s="3">
        <v>384.84</v>
      </c>
      <c r="M860" s="1">
        <v>20</v>
      </c>
      <c r="N860" s="3">
        <v>7696.8</v>
      </c>
      <c r="O860" s="4">
        <v>14.9</v>
      </c>
      <c r="P860" s="3">
        <v>6549.98</v>
      </c>
      <c r="Q860" s="4">
        <v>29.3</v>
      </c>
      <c r="R860" s="3">
        <v>1919.14</v>
      </c>
      <c r="S860" s="1" t="s">
        <v>40</v>
      </c>
    </row>
    <row r="861" spans="1:19" x14ac:dyDescent="0.3">
      <c r="A861" s="5" t="s">
        <v>1325</v>
      </c>
      <c r="B861" s="5" t="s">
        <v>210</v>
      </c>
      <c r="C861" s="5" t="s">
        <v>33</v>
      </c>
      <c r="D861" s="5" t="s">
        <v>22</v>
      </c>
      <c r="E861" s="6" t="s">
        <v>201</v>
      </c>
      <c r="F861" s="5" t="s">
        <v>24</v>
      </c>
      <c r="G861" s="5" t="s">
        <v>63</v>
      </c>
      <c r="H861" s="5" t="s">
        <v>87</v>
      </c>
      <c r="I861" s="5" t="s">
        <v>38</v>
      </c>
      <c r="J861" s="5" t="s">
        <v>28</v>
      </c>
      <c r="K861" s="5" t="s">
        <v>48</v>
      </c>
      <c r="L861" s="7">
        <v>68651</v>
      </c>
      <c r="M861" s="5">
        <v>20</v>
      </c>
      <c r="N861" s="7">
        <v>1373020</v>
      </c>
      <c r="O861" s="8">
        <v>10.9</v>
      </c>
      <c r="P861" s="7">
        <v>1223360.82</v>
      </c>
      <c r="Q861" s="8">
        <v>17.5</v>
      </c>
      <c r="R861" s="7">
        <v>214088.14</v>
      </c>
      <c r="S861" s="5" t="s">
        <v>79</v>
      </c>
    </row>
    <row r="862" spans="1:19" x14ac:dyDescent="0.3">
      <c r="A862" s="1" t="s">
        <v>1326</v>
      </c>
      <c r="B862" s="1" t="s">
        <v>635</v>
      </c>
      <c r="C862" s="1" t="s">
        <v>21</v>
      </c>
      <c r="D862" s="1" t="s">
        <v>22</v>
      </c>
      <c r="E862" s="2" t="s">
        <v>201</v>
      </c>
      <c r="F862" s="1" t="s">
        <v>24</v>
      </c>
      <c r="G862" s="1" t="s">
        <v>36</v>
      </c>
      <c r="H862" s="1" t="s">
        <v>136</v>
      </c>
      <c r="I862" s="1" t="s">
        <v>27</v>
      </c>
      <c r="J862" s="1" t="s">
        <v>47</v>
      </c>
      <c r="K862" s="1" t="s">
        <v>88</v>
      </c>
      <c r="L862" s="3">
        <v>14731.21</v>
      </c>
      <c r="M862" s="1">
        <v>8</v>
      </c>
      <c r="N862" s="3">
        <v>117849.68</v>
      </c>
      <c r="O862" s="4">
        <v>9.8000000000000007</v>
      </c>
      <c r="P862" s="3">
        <v>106300.41</v>
      </c>
      <c r="Q862" s="4">
        <v>27</v>
      </c>
      <c r="R862" s="3">
        <v>28701.11</v>
      </c>
      <c r="S862" s="1" t="s">
        <v>40</v>
      </c>
    </row>
    <row r="863" spans="1:19" x14ac:dyDescent="0.3">
      <c r="A863" s="5" t="s">
        <v>1327</v>
      </c>
      <c r="B863" s="5" t="s">
        <v>276</v>
      </c>
      <c r="C863" s="5" t="s">
        <v>43</v>
      </c>
      <c r="D863" s="5" t="s">
        <v>22</v>
      </c>
      <c r="E863" s="6" t="s">
        <v>142</v>
      </c>
      <c r="F863" s="5" t="s">
        <v>24</v>
      </c>
      <c r="G863" s="5" t="s">
        <v>109</v>
      </c>
      <c r="H863" s="5" t="s">
        <v>122</v>
      </c>
      <c r="I863" s="5" t="s">
        <v>38</v>
      </c>
      <c r="J863" s="5" t="s">
        <v>93</v>
      </c>
      <c r="K863" s="5" t="s">
        <v>88</v>
      </c>
      <c r="L863" s="7">
        <v>28291.07</v>
      </c>
      <c r="M863" s="5">
        <v>5</v>
      </c>
      <c r="N863" s="7">
        <v>141455.35</v>
      </c>
      <c r="O863" s="8">
        <v>21.3</v>
      </c>
      <c r="P863" s="7">
        <v>111325.36</v>
      </c>
      <c r="Q863" s="8">
        <v>27.1</v>
      </c>
      <c r="R863" s="7">
        <v>30169.17</v>
      </c>
      <c r="S863" s="5" t="s">
        <v>40</v>
      </c>
    </row>
    <row r="864" spans="1:19" x14ac:dyDescent="0.3">
      <c r="A864" s="1" t="s">
        <v>1328</v>
      </c>
      <c r="B864" s="1" t="s">
        <v>443</v>
      </c>
      <c r="C864" s="1" t="s">
        <v>75</v>
      </c>
      <c r="D864" s="1" t="s">
        <v>60</v>
      </c>
      <c r="E864" s="2" t="s">
        <v>410</v>
      </c>
      <c r="F864" s="1" t="s">
        <v>166</v>
      </c>
      <c r="G864" s="1" t="s">
        <v>63</v>
      </c>
      <c r="H864" s="1" t="s">
        <v>64</v>
      </c>
      <c r="I864" s="1" t="s">
        <v>27</v>
      </c>
      <c r="J864" s="1" t="s">
        <v>47</v>
      </c>
      <c r="K864" s="1" t="s">
        <v>39</v>
      </c>
      <c r="L864" s="3">
        <v>3371.65</v>
      </c>
      <c r="M864" s="1">
        <v>2</v>
      </c>
      <c r="N864" s="3">
        <v>6743.3</v>
      </c>
      <c r="O864" s="4">
        <v>16.7</v>
      </c>
      <c r="P864" s="3">
        <v>5617.17</v>
      </c>
      <c r="Q864" s="4">
        <v>38.6</v>
      </c>
      <c r="R864" s="3">
        <v>2168.23</v>
      </c>
      <c r="S864" s="1" t="s">
        <v>40</v>
      </c>
    </row>
    <row r="865" spans="1:19" x14ac:dyDescent="0.3">
      <c r="A865" s="5" t="s">
        <v>1329</v>
      </c>
      <c r="B865" s="5" t="s">
        <v>596</v>
      </c>
      <c r="C865" s="5" t="s">
        <v>68</v>
      </c>
      <c r="D865" s="5" t="s">
        <v>69</v>
      </c>
      <c r="E865" s="6" t="s">
        <v>114</v>
      </c>
      <c r="F865" s="5" t="s">
        <v>45</v>
      </c>
      <c r="G865" s="5" t="s">
        <v>25</v>
      </c>
      <c r="H865" s="5" t="s">
        <v>46</v>
      </c>
      <c r="I865" s="5" t="s">
        <v>38</v>
      </c>
      <c r="J865" s="5" t="s">
        <v>47</v>
      </c>
      <c r="K865" s="5" t="s">
        <v>56</v>
      </c>
      <c r="L865" s="7">
        <v>1275.48</v>
      </c>
      <c r="M865" s="5">
        <v>4</v>
      </c>
      <c r="N865" s="7">
        <v>5101.92</v>
      </c>
      <c r="O865" s="8">
        <v>13.4</v>
      </c>
      <c r="P865" s="7">
        <v>4418.26</v>
      </c>
      <c r="Q865" s="8">
        <v>18.100000000000001</v>
      </c>
      <c r="R865" s="7">
        <v>799.71</v>
      </c>
      <c r="S865" s="5" t="s">
        <v>40</v>
      </c>
    </row>
    <row r="866" spans="1:19" x14ac:dyDescent="0.3">
      <c r="A866" s="1" t="s">
        <v>1330</v>
      </c>
      <c r="B866" s="1" t="s">
        <v>364</v>
      </c>
      <c r="C866" s="1" t="s">
        <v>59</v>
      </c>
      <c r="D866" s="1" t="s">
        <v>60</v>
      </c>
      <c r="E866" s="2" t="s">
        <v>125</v>
      </c>
      <c r="F866" s="1" t="s">
        <v>62</v>
      </c>
      <c r="G866" s="1" t="s">
        <v>109</v>
      </c>
      <c r="H866" s="1" t="s">
        <v>152</v>
      </c>
      <c r="I866" s="1" t="s">
        <v>27</v>
      </c>
      <c r="J866" s="1" t="s">
        <v>65</v>
      </c>
      <c r="K866" s="1" t="s">
        <v>88</v>
      </c>
      <c r="L866" s="3">
        <v>2010.74</v>
      </c>
      <c r="M866" s="1">
        <v>19</v>
      </c>
      <c r="N866" s="3">
        <v>38204.06</v>
      </c>
      <c r="O866" s="4">
        <v>24</v>
      </c>
      <c r="P866" s="3">
        <v>29035.09</v>
      </c>
      <c r="Q866" s="4">
        <v>53.4</v>
      </c>
      <c r="R866" s="3">
        <v>15504.74</v>
      </c>
      <c r="S866" s="1" t="s">
        <v>40</v>
      </c>
    </row>
    <row r="867" spans="1:19" x14ac:dyDescent="0.3">
      <c r="A867" s="5" t="s">
        <v>1331</v>
      </c>
      <c r="B867" s="5" t="s">
        <v>637</v>
      </c>
      <c r="C867" s="5" t="s">
        <v>59</v>
      </c>
      <c r="D867" s="5" t="s">
        <v>60</v>
      </c>
      <c r="E867" s="6" t="s">
        <v>125</v>
      </c>
      <c r="F867" s="5" t="s">
        <v>62</v>
      </c>
      <c r="G867" s="5" t="s">
        <v>109</v>
      </c>
      <c r="H867" s="5" t="s">
        <v>189</v>
      </c>
      <c r="I867" s="5" t="s">
        <v>38</v>
      </c>
      <c r="J867" s="5" t="s">
        <v>47</v>
      </c>
      <c r="K867" s="5" t="s">
        <v>102</v>
      </c>
      <c r="L867" s="7">
        <v>2028.03</v>
      </c>
      <c r="M867" s="5">
        <v>2</v>
      </c>
      <c r="N867" s="7">
        <v>4056.06</v>
      </c>
      <c r="O867" s="8">
        <v>18.7</v>
      </c>
      <c r="P867" s="7">
        <v>3297.58</v>
      </c>
      <c r="Q867" s="8">
        <v>69.900000000000006</v>
      </c>
      <c r="R867" s="7">
        <v>2305.0100000000002</v>
      </c>
      <c r="S867" s="5" t="s">
        <v>40</v>
      </c>
    </row>
    <row r="868" spans="1:19" x14ac:dyDescent="0.3">
      <c r="A868" s="1" t="s">
        <v>1332</v>
      </c>
      <c r="B868" s="1" t="s">
        <v>594</v>
      </c>
      <c r="C868" s="1" t="s">
        <v>33</v>
      </c>
      <c r="D868" s="1" t="s">
        <v>22</v>
      </c>
      <c r="E868" s="2" t="s">
        <v>180</v>
      </c>
      <c r="F868" s="1" t="s">
        <v>166</v>
      </c>
      <c r="G868" s="1" t="s">
        <v>63</v>
      </c>
      <c r="H868" s="1" t="s">
        <v>167</v>
      </c>
      <c r="I868" s="1" t="s">
        <v>47</v>
      </c>
      <c r="J868" s="1" t="s">
        <v>65</v>
      </c>
      <c r="K868" s="1" t="s">
        <v>88</v>
      </c>
      <c r="L868" s="3">
        <v>2751.49</v>
      </c>
      <c r="M868" s="1">
        <v>25</v>
      </c>
      <c r="N868" s="3">
        <v>68787.25</v>
      </c>
      <c r="O868" s="4">
        <v>16.100000000000001</v>
      </c>
      <c r="P868" s="3">
        <v>57712.5</v>
      </c>
      <c r="Q868" s="4">
        <v>51.7</v>
      </c>
      <c r="R868" s="3">
        <v>29837.360000000001</v>
      </c>
      <c r="S868" s="1" t="s">
        <v>40</v>
      </c>
    </row>
    <row r="869" spans="1:19" x14ac:dyDescent="0.3">
      <c r="A869" s="5" t="s">
        <v>1333</v>
      </c>
      <c r="B869" s="5" t="s">
        <v>323</v>
      </c>
      <c r="C869" s="5" t="s">
        <v>68</v>
      </c>
      <c r="D869" s="5" t="s">
        <v>69</v>
      </c>
      <c r="E869" s="6" t="s">
        <v>177</v>
      </c>
      <c r="F869" s="5" t="s">
        <v>166</v>
      </c>
      <c r="G869" s="5" t="s">
        <v>25</v>
      </c>
      <c r="H869" s="5" t="s">
        <v>132</v>
      </c>
      <c r="I869" s="5" t="s">
        <v>47</v>
      </c>
      <c r="J869" s="5" t="s">
        <v>47</v>
      </c>
      <c r="K869" s="5" t="s">
        <v>39</v>
      </c>
      <c r="L869" s="7">
        <v>2833.66</v>
      </c>
      <c r="M869" s="5">
        <v>16</v>
      </c>
      <c r="N869" s="7">
        <v>45338.559999999998</v>
      </c>
      <c r="O869" s="8">
        <v>5.0999999999999996</v>
      </c>
      <c r="P869" s="7">
        <v>43026.29</v>
      </c>
      <c r="Q869" s="8">
        <v>58.2</v>
      </c>
      <c r="R869" s="7">
        <v>25041.3</v>
      </c>
      <c r="S869" s="5" t="s">
        <v>30</v>
      </c>
    </row>
    <row r="870" spans="1:19" x14ac:dyDescent="0.3">
      <c r="A870" s="1" t="s">
        <v>1334</v>
      </c>
      <c r="B870" s="1" t="s">
        <v>521</v>
      </c>
      <c r="C870" s="1" t="s">
        <v>101</v>
      </c>
      <c r="D870" s="1" t="s">
        <v>60</v>
      </c>
      <c r="E870" s="2" t="s">
        <v>217</v>
      </c>
      <c r="F870" s="1" t="s">
        <v>62</v>
      </c>
      <c r="G870" s="1" t="s">
        <v>25</v>
      </c>
      <c r="H870" s="1" t="s">
        <v>132</v>
      </c>
      <c r="I870" s="1" t="s">
        <v>55</v>
      </c>
      <c r="J870" s="1" t="s">
        <v>47</v>
      </c>
      <c r="K870" s="1" t="s">
        <v>149</v>
      </c>
      <c r="L870" s="3">
        <v>2189.9499999999998</v>
      </c>
      <c r="M870" s="1">
        <v>15</v>
      </c>
      <c r="N870" s="3">
        <v>32849.25</v>
      </c>
      <c r="O870" s="4">
        <v>18.399999999999999</v>
      </c>
      <c r="P870" s="3">
        <v>26804.99</v>
      </c>
      <c r="Q870" s="4">
        <v>63.7</v>
      </c>
      <c r="R870" s="3">
        <v>17074.78</v>
      </c>
      <c r="S870" s="1" t="s">
        <v>40</v>
      </c>
    </row>
    <row r="871" spans="1:19" x14ac:dyDescent="0.3">
      <c r="A871" s="5" t="s">
        <v>1335</v>
      </c>
      <c r="B871" s="5" t="s">
        <v>1336</v>
      </c>
      <c r="C871" s="5" t="s">
        <v>21</v>
      </c>
      <c r="D871" s="5" t="s">
        <v>22</v>
      </c>
      <c r="E871" s="6" t="s">
        <v>148</v>
      </c>
      <c r="F871" s="5" t="s">
        <v>52</v>
      </c>
      <c r="G871" s="5" t="s">
        <v>25</v>
      </c>
      <c r="H871" s="5" t="s">
        <v>215</v>
      </c>
      <c r="I871" s="5" t="s">
        <v>38</v>
      </c>
      <c r="J871" s="5" t="s">
        <v>47</v>
      </c>
      <c r="K871" s="5" t="s">
        <v>111</v>
      </c>
      <c r="L871" s="7">
        <v>369.59</v>
      </c>
      <c r="M871" s="5">
        <v>9</v>
      </c>
      <c r="N871" s="7">
        <v>3326.31</v>
      </c>
      <c r="O871" s="8">
        <v>5</v>
      </c>
      <c r="P871" s="7">
        <v>3159.99</v>
      </c>
      <c r="Q871" s="8">
        <v>38</v>
      </c>
      <c r="R871" s="7">
        <v>1200.8</v>
      </c>
      <c r="S871" s="5" t="s">
        <v>40</v>
      </c>
    </row>
    <row r="872" spans="1:19" x14ac:dyDescent="0.3">
      <c r="A872" s="1" t="s">
        <v>1337</v>
      </c>
      <c r="B872" s="1" t="s">
        <v>1287</v>
      </c>
      <c r="C872" s="1" t="s">
        <v>21</v>
      </c>
      <c r="D872" s="1" t="s">
        <v>22</v>
      </c>
      <c r="E872" s="2" t="s">
        <v>125</v>
      </c>
      <c r="F872" s="1" t="s">
        <v>62</v>
      </c>
      <c r="G872" s="1" t="s">
        <v>63</v>
      </c>
      <c r="H872" s="1" t="s">
        <v>167</v>
      </c>
      <c r="I872" s="1" t="s">
        <v>47</v>
      </c>
      <c r="J872" s="1" t="s">
        <v>47</v>
      </c>
      <c r="K872" s="1" t="s">
        <v>48</v>
      </c>
      <c r="L872" s="3">
        <v>1818.23</v>
      </c>
      <c r="M872" s="1">
        <v>2</v>
      </c>
      <c r="N872" s="3">
        <v>3636.46</v>
      </c>
      <c r="O872" s="4">
        <v>18.8</v>
      </c>
      <c r="P872" s="3">
        <v>2952.81</v>
      </c>
      <c r="Q872" s="4">
        <v>59.8</v>
      </c>
      <c r="R872" s="3">
        <v>1765.78</v>
      </c>
      <c r="S872" s="1" t="s">
        <v>79</v>
      </c>
    </row>
    <row r="873" spans="1:19" x14ac:dyDescent="0.3">
      <c r="A873" s="5" t="s">
        <v>1338</v>
      </c>
      <c r="B873" s="5" t="s">
        <v>1072</v>
      </c>
      <c r="C873" s="5" t="s">
        <v>59</v>
      </c>
      <c r="D873" s="5" t="s">
        <v>60</v>
      </c>
      <c r="E873" s="6" t="s">
        <v>97</v>
      </c>
      <c r="F873" s="5" t="s">
        <v>35</v>
      </c>
      <c r="G873" s="5" t="s">
        <v>53</v>
      </c>
      <c r="H873" s="5" t="s">
        <v>71</v>
      </c>
      <c r="I873" s="5" t="s">
        <v>72</v>
      </c>
      <c r="J873" s="5" t="s">
        <v>93</v>
      </c>
      <c r="K873" s="5" t="s">
        <v>39</v>
      </c>
      <c r="L873" s="7">
        <v>33589.730000000003</v>
      </c>
      <c r="M873" s="5">
        <v>13</v>
      </c>
      <c r="N873" s="7">
        <v>436666.49</v>
      </c>
      <c r="O873" s="8">
        <v>12.7</v>
      </c>
      <c r="P873" s="7">
        <v>381209.85</v>
      </c>
      <c r="Q873" s="8">
        <v>40.299999999999997</v>
      </c>
      <c r="R873" s="7">
        <v>153627.57</v>
      </c>
      <c r="S873" s="5" t="s">
        <v>30</v>
      </c>
    </row>
    <row r="874" spans="1:19" x14ac:dyDescent="0.3">
      <c r="A874" s="1" t="s">
        <v>1339</v>
      </c>
      <c r="B874" s="1" t="s">
        <v>747</v>
      </c>
      <c r="C874" s="1" t="s">
        <v>59</v>
      </c>
      <c r="D874" s="1" t="s">
        <v>60</v>
      </c>
      <c r="E874" s="2" t="s">
        <v>206</v>
      </c>
      <c r="F874" s="1" t="s">
        <v>52</v>
      </c>
      <c r="G874" s="1" t="s">
        <v>109</v>
      </c>
      <c r="H874" s="1" t="s">
        <v>152</v>
      </c>
      <c r="I874" s="1" t="s">
        <v>72</v>
      </c>
      <c r="J874" s="1" t="s">
        <v>93</v>
      </c>
      <c r="K874" s="1" t="s">
        <v>102</v>
      </c>
      <c r="L874" s="3">
        <v>7873.81</v>
      </c>
      <c r="M874" s="1">
        <v>19</v>
      </c>
      <c r="N874" s="3">
        <v>149602.39000000001</v>
      </c>
      <c r="O874" s="4">
        <v>5.9</v>
      </c>
      <c r="P874" s="3">
        <v>140775.85</v>
      </c>
      <c r="Q874" s="4">
        <v>24.6</v>
      </c>
      <c r="R874" s="3">
        <v>34630.86</v>
      </c>
      <c r="S874" s="1" t="s">
        <v>40</v>
      </c>
    </row>
    <row r="875" spans="1:19" x14ac:dyDescent="0.3">
      <c r="A875" s="5" t="s">
        <v>1340</v>
      </c>
      <c r="B875" s="5" t="s">
        <v>1171</v>
      </c>
      <c r="C875" s="5" t="s">
        <v>21</v>
      </c>
      <c r="D875" s="5" t="s">
        <v>22</v>
      </c>
      <c r="E875" s="6" t="s">
        <v>279</v>
      </c>
      <c r="F875" s="5" t="s">
        <v>166</v>
      </c>
      <c r="G875" s="5" t="s">
        <v>63</v>
      </c>
      <c r="H875" s="5" t="s">
        <v>87</v>
      </c>
      <c r="I875" s="5" t="s">
        <v>47</v>
      </c>
      <c r="J875" s="5" t="s">
        <v>28</v>
      </c>
      <c r="K875" s="5" t="s">
        <v>102</v>
      </c>
      <c r="L875" s="7">
        <v>3544.59</v>
      </c>
      <c r="M875" s="5">
        <v>19</v>
      </c>
      <c r="N875" s="7">
        <v>67347.210000000006</v>
      </c>
      <c r="O875" s="8">
        <v>14.9</v>
      </c>
      <c r="P875" s="7">
        <v>57312.480000000003</v>
      </c>
      <c r="Q875" s="8">
        <v>57.4</v>
      </c>
      <c r="R875" s="7">
        <v>32897.360000000001</v>
      </c>
      <c r="S875" s="5" t="s">
        <v>40</v>
      </c>
    </row>
    <row r="876" spans="1:19" x14ac:dyDescent="0.3">
      <c r="A876" s="1" t="s">
        <v>1341</v>
      </c>
      <c r="B876" s="1" t="s">
        <v>186</v>
      </c>
      <c r="C876" s="1" t="s">
        <v>33</v>
      </c>
      <c r="D876" s="1" t="s">
        <v>22</v>
      </c>
      <c r="E876" s="2" t="s">
        <v>139</v>
      </c>
      <c r="F876" s="1" t="s">
        <v>45</v>
      </c>
      <c r="G876" s="1" t="s">
        <v>53</v>
      </c>
      <c r="H876" s="1" t="s">
        <v>77</v>
      </c>
      <c r="I876" s="1" t="s">
        <v>38</v>
      </c>
      <c r="J876" s="1" t="s">
        <v>47</v>
      </c>
      <c r="K876" s="1" t="s">
        <v>48</v>
      </c>
      <c r="L876" s="3">
        <v>158.76</v>
      </c>
      <c r="M876" s="1">
        <v>24</v>
      </c>
      <c r="N876" s="3">
        <v>3810.24</v>
      </c>
      <c r="O876" s="4">
        <v>22.1</v>
      </c>
      <c r="P876" s="3">
        <v>2968.18</v>
      </c>
      <c r="Q876" s="4">
        <v>21.3</v>
      </c>
      <c r="R876" s="3">
        <v>632.22</v>
      </c>
      <c r="S876" s="1" t="s">
        <v>40</v>
      </c>
    </row>
    <row r="877" spans="1:19" x14ac:dyDescent="0.3">
      <c r="A877" s="5" t="s">
        <v>1342</v>
      </c>
      <c r="B877" s="5" t="s">
        <v>1029</v>
      </c>
      <c r="C877" s="5" t="s">
        <v>85</v>
      </c>
      <c r="D877" s="5" t="s">
        <v>86</v>
      </c>
      <c r="E877" s="6" t="s">
        <v>206</v>
      </c>
      <c r="F877" s="5" t="s">
        <v>52</v>
      </c>
      <c r="G877" s="5" t="s">
        <v>36</v>
      </c>
      <c r="H877" s="5" t="s">
        <v>136</v>
      </c>
      <c r="I877" s="5" t="s">
        <v>55</v>
      </c>
      <c r="J877" s="5" t="s">
        <v>65</v>
      </c>
      <c r="K877" s="5" t="s">
        <v>78</v>
      </c>
      <c r="L877" s="7">
        <v>1084.02</v>
      </c>
      <c r="M877" s="5">
        <v>12</v>
      </c>
      <c r="N877" s="7">
        <v>13008.24</v>
      </c>
      <c r="O877" s="8">
        <v>14.1</v>
      </c>
      <c r="P877" s="7">
        <v>11174.08</v>
      </c>
      <c r="Q877" s="8">
        <v>37.1</v>
      </c>
      <c r="R877" s="7">
        <v>4145.58</v>
      </c>
      <c r="S877" s="5" t="s">
        <v>40</v>
      </c>
    </row>
    <row r="878" spans="1:19" x14ac:dyDescent="0.3">
      <c r="A878" s="1" t="s">
        <v>1343</v>
      </c>
      <c r="B878" s="1" t="s">
        <v>985</v>
      </c>
      <c r="C878" s="1" t="s">
        <v>117</v>
      </c>
      <c r="D878" s="1" t="s">
        <v>86</v>
      </c>
      <c r="E878" s="2" t="s">
        <v>184</v>
      </c>
      <c r="F878" s="1" t="s">
        <v>45</v>
      </c>
      <c r="G878" s="1" t="s">
        <v>109</v>
      </c>
      <c r="H878" s="1" t="s">
        <v>110</v>
      </c>
      <c r="I878" s="1" t="s">
        <v>55</v>
      </c>
      <c r="J878" s="1" t="s">
        <v>28</v>
      </c>
      <c r="K878" s="1" t="s">
        <v>159</v>
      </c>
      <c r="L878" s="3">
        <v>209.86</v>
      </c>
      <c r="M878" s="1">
        <v>9</v>
      </c>
      <c r="N878" s="3">
        <v>1888.74</v>
      </c>
      <c r="O878" s="4">
        <v>1.8</v>
      </c>
      <c r="P878" s="3">
        <v>1854.74</v>
      </c>
      <c r="Q878" s="4">
        <v>25</v>
      </c>
      <c r="R878" s="3">
        <v>463.69</v>
      </c>
      <c r="S878" s="1" t="s">
        <v>40</v>
      </c>
    </row>
    <row r="879" spans="1:19" x14ac:dyDescent="0.3">
      <c r="A879" s="5" t="s">
        <v>1344</v>
      </c>
      <c r="B879" s="5" t="s">
        <v>448</v>
      </c>
      <c r="C879" s="5" t="s">
        <v>33</v>
      </c>
      <c r="D879" s="5" t="s">
        <v>22</v>
      </c>
      <c r="E879" s="6" t="s">
        <v>148</v>
      </c>
      <c r="F879" s="5" t="s">
        <v>52</v>
      </c>
      <c r="G879" s="5" t="s">
        <v>25</v>
      </c>
      <c r="H879" s="5" t="s">
        <v>26</v>
      </c>
      <c r="I879" s="5" t="s">
        <v>27</v>
      </c>
      <c r="J879" s="5" t="s">
        <v>65</v>
      </c>
      <c r="K879" s="5" t="s">
        <v>78</v>
      </c>
      <c r="L879" s="7">
        <v>6191.51</v>
      </c>
      <c r="M879" s="5">
        <v>10</v>
      </c>
      <c r="N879" s="7">
        <v>61915.1</v>
      </c>
      <c r="O879" s="8">
        <v>15.6</v>
      </c>
      <c r="P879" s="7">
        <v>52256.34</v>
      </c>
      <c r="Q879" s="8">
        <v>39.700000000000003</v>
      </c>
      <c r="R879" s="7">
        <v>20745.77</v>
      </c>
      <c r="S879" s="5" t="s">
        <v>40</v>
      </c>
    </row>
    <row r="880" spans="1:19" x14ac:dyDescent="0.3">
      <c r="A880" s="1" t="s">
        <v>1345</v>
      </c>
      <c r="B880" s="1" t="s">
        <v>294</v>
      </c>
      <c r="C880" s="1" t="s">
        <v>117</v>
      </c>
      <c r="D880" s="1" t="s">
        <v>86</v>
      </c>
      <c r="E880" s="2" t="s">
        <v>256</v>
      </c>
      <c r="F880" s="1" t="s">
        <v>166</v>
      </c>
      <c r="G880" s="1" t="s">
        <v>36</v>
      </c>
      <c r="H880" s="1" t="s">
        <v>37</v>
      </c>
      <c r="I880" s="1" t="s">
        <v>27</v>
      </c>
      <c r="J880" s="1" t="s">
        <v>28</v>
      </c>
      <c r="K880" s="1" t="s">
        <v>102</v>
      </c>
      <c r="L880" s="3">
        <v>3571.71</v>
      </c>
      <c r="M880" s="1">
        <v>20</v>
      </c>
      <c r="N880" s="3">
        <v>71434.2</v>
      </c>
      <c r="O880" s="4">
        <v>1.6</v>
      </c>
      <c r="P880" s="3">
        <v>70291.25</v>
      </c>
      <c r="Q880" s="4">
        <v>51.1</v>
      </c>
      <c r="R880" s="3">
        <v>35918.83</v>
      </c>
      <c r="S880" s="1" t="s">
        <v>40</v>
      </c>
    </row>
    <row r="881" spans="1:19" x14ac:dyDescent="0.3">
      <c r="A881" s="5" t="s">
        <v>1346</v>
      </c>
      <c r="B881" s="5" t="s">
        <v>557</v>
      </c>
      <c r="C881" s="5" t="s">
        <v>101</v>
      </c>
      <c r="D881" s="5" t="s">
        <v>60</v>
      </c>
      <c r="E881" s="6" t="s">
        <v>142</v>
      </c>
      <c r="F881" s="5" t="s">
        <v>24</v>
      </c>
      <c r="G881" s="5" t="s">
        <v>36</v>
      </c>
      <c r="H881" s="5" t="s">
        <v>105</v>
      </c>
      <c r="I881" s="5" t="s">
        <v>55</v>
      </c>
      <c r="J881" s="5" t="s">
        <v>93</v>
      </c>
      <c r="K881" s="5" t="s">
        <v>111</v>
      </c>
      <c r="L881" s="7">
        <v>33441.49</v>
      </c>
      <c r="M881" s="5">
        <v>3</v>
      </c>
      <c r="N881" s="7">
        <v>100324.47</v>
      </c>
      <c r="O881" s="8">
        <v>15.5</v>
      </c>
      <c r="P881" s="7">
        <v>84774.18</v>
      </c>
      <c r="Q881" s="8">
        <v>30.5</v>
      </c>
      <c r="R881" s="7">
        <v>25856.12</v>
      </c>
      <c r="S881" s="5" t="s">
        <v>40</v>
      </c>
    </row>
    <row r="882" spans="1:19" x14ac:dyDescent="0.3">
      <c r="A882" s="1" t="s">
        <v>1347</v>
      </c>
      <c r="B882" s="1" t="s">
        <v>1049</v>
      </c>
      <c r="C882" s="1" t="s">
        <v>117</v>
      </c>
      <c r="D882" s="1" t="s">
        <v>86</v>
      </c>
      <c r="E882" s="2" t="s">
        <v>194</v>
      </c>
      <c r="F882" s="1" t="s">
        <v>52</v>
      </c>
      <c r="G882" s="1" t="s">
        <v>63</v>
      </c>
      <c r="H882" s="1" t="s">
        <v>92</v>
      </c>
      <c r="I882" s="1" t="s">
        <v>47</v>
      </c>
      <c r="J882" s="1" t="s">
        <v>65</v>
      </c>
      <c r="K882" s="1" t="s">
        <v>111</v>
      </c>
      <c r="L882" s="3">
        <v>1537.61</v>
      </c>
      <c r="M882" s="1">
        <v>18</v>
      </c>
      <c r="N882" s="3">
        <v>27676.98</v>
      </c>
      <c r="O882" s="4">
        <v>16.600000000000001</v>
      </c>
      <c r="P882" s="3">
        <v>23082.6</v>
      </c>
      <c r="Q882" s="4">
        <v>44</v>
      </c>
      <c r="R882" s="3">
        <v>10156.34</v>
      </c>
      <c r="S882" s="1" t="s">
        <v>40</v>
      </c>
    </row>
    <row r="883" spans="1:19" x14ac:dyDescent="0.3">
      <c r="A883" s="5" t="s">
        <v>1348</v>
      </c>
      <c r="B883" s="5" t="s">
        <v>1349</v>
      </c>
      <c r="C883" s="5" t="s">
        <v>43</v>
      </c>
      <c r="D883" s="5" t="s">
        <v>22</v>
      </c>
      <c r="E883" s="6" t="s">
        <v>320</v>
      </c>
      <c r="F883" s="5" t="s">
        <v>24</v>
      </c>
      <c r="G883" s="5" t="s">
        <v>36</v>
      </c>
      <c r="H883" s="5" t="s">
        <v>105</v>
      </c>
      <c r="I883" s="5" t="s">
        <v>72</v>
      </c>
      <c r="J883" s="5" t="s">
        <v>65</v>
      </c>
      <c r="K883" s="5" t="s">
        <v>88</v>
      </c>
      <c r="L883" s="7">
        <v>56616.95</v>
      </c>
      <c r="M883" s="5">
        <v>9</v>
      </c>
      <c r="N883" s="7">
        <v>509552.55</v>
      </c>
      <c r="O883" s="8">
        <v>3.4</v>
      </c>
      <c r="P883" s="7">
        <v>492227.76</v>
      </c>
      <c r="Q883" s="8">
        <v>28.9</v>
      </c>
      <c r="R883" s="7">
        <v>142253.82</v>
      </c>
      <c r="S883" s="5" t="s">
        <v>40</v>
      </c>
    </row>
    <row r="884" spans="1:19" x14ac:dyDescent="0.3">
      <c r="A884" s="1" t="s">
        <v>1350</v>
      </c>
      <c r="B884" s="1" t="s">
        <v>1013</v>
      </c>
      <c r="C884" s="1" t="s">
        <v>75</v>
      </c>
      <c r="D884" s="1" t="s">
        <v>60</v>
      </c>
      <c r="E884" s="2" t="s">
        <v>206</v>
      </c>
      <c r="F884" s="1" t="s">
        <v>52</v>
      </c>
      <c r="G884" s="1" t="s">
        <v>36</v>
      </c>
      <c r="H884" s="1" t="s">
        <v>105</v>
      </c>
      <c r="I884" s="1" t="s">
        <v>55</v>
      </c>
      <c r="J884" s="1" t="s">
        <v>93</v>
      </c>
      <c r="K884" s="1" t="s">
        <v>29</v>
      </c>
      <c r="L884" s="3">
        <v>2209.27</v>
      </c>
      <c r="M884" s="1">
        <v>19</v>
      </c>
      <c r="N884" s="3">
        <v>41976.13</v>
      </c>
      <c r="O884" s="4">
        <v>0</v>
      </c>
      <c r="P884" s="3">
        <v>41976.13</v>
      </c>
      <c r="Q884" s="4">
        <v>30.2</v>
      </c>
      <c r="R884" s="3">
        <v>12676.79</v>
      </c>
      <c r="S884" s="1" t="s">
        <v>79</v>
      </c>
    </row>
    <row r="885" spans="1:19" x14ac:dyDescent="0.3">
      <c r="A885" s="5" t="s">
        <v>1351</v>
      </c>
      <c r="B885" s="5" t="s">
        <v>405</v>
      </c>
      <c r="C885" s="5" t="s">
        <v>68</v>
      </c>
      <c r="D885" s="5" t="s">
        <v>69</v>
      </c>
      <c r="E885" s="6" t="s">
        <v>279</v>
      </c>
      <c r="F885" s="5" t="s">
        <v>166</v>
      </c>
      <c r="G885" s="5" t="s">
        <v>63</v>
      </c>
      <c r="H885" s="5" t="s">
        <v>167</v>
      </c>
      <c r="I885" s="5" t="s">
        <v>27</v>
      </c>
      <c r="J885" s="5" t="s">
        <v>47</v>
      </c>
      <c r="K885" s="5" t="s">
        <v>48</v>
      </c>
      <c r="L885" s="7">
        <v>3586.92</v>
      </c>
      <c r="M885" s="5">
        <v>6</v>
      </c>
      <c r="N885" s="7">
        <v>21521.52</v>
      </c>
      <c r="O885" s="8">
        <v>3</v>
      </c>
      <c r="P885" s="7">
        <v>20875.87</v>
      </c>
      <c r="Q885" s="8">
        <v>55</v>
      </c>
      <c r="R885" s="7">
        <v>11481.73</v>
      </c>
      <c r="S885" s="5" t="s">
        <v>40</v>
      </c>
    </row>
    <row r="886" spans="1:19" x14ac:dyDescent="0.3">
      <c r="A886" s="1" t="s">
        <v>1352</v>
      </c>
      <c r="B886" s="1" t="s">
        <v>1280</v>
      </c>
      <c r="C886" s="1" t="s">
        <v>135</v>
      </c>
      <c r="D886" s="1" t="s">
        <v>69</v>
      </c>
      <c r="E886" s="2" t="s">
        <v>246</v>
      </c>
      <c r="F886" s="1" t="s">
        <v>52</v>
      </c>
      <c r="G886" s="1" t="s">
        <v>63</v>
      </c>
      <c r="H886" s="1" t="s">
        <v>64</v>
      </c>
      <c r="I886" s="1" t="s">
        <v>27</v>
      </c>
      <c r="J886" s="1" t="s">
        <v>47</v>
      </c>
      <c r="K886" s="1" t="s">
        <v>39</v>
      </c>
      <c r="L886" s="3">
        <v>5278.62</v>
      </c>
      <c r="M886" s="1">
        <v>20</v>
      </c>
      <c r="N886" s="3">
        <v>105572.4</v>
      </c>
      <c r="O886" s="4">
        <v>15.5</v>
      </c>
      <c r="P886" s="3">
        <v>89208.68</v>
      </c>
      <c r="Q886" s="4">
        <v>43.4</v>
      </c>
      <c r="R886" s="3">
        <v>38716.57</v>
      </c>
      <c r="S886" s="1" t="s">
        <v>40</v>
      </c>
    </row>
    <row r="887" spans="1:19" x14ac:dyDescent="0.3">
      <c r="A887" s="5" t="s">
        <v>1353</v>
      </c>
      <c r="B887" s="5" t="s">
        <v>1287</v>
      </c>
      <c r="C887" s="5" t="s">
        <v>21</v>
      </c>
      <c r="D887" s="5" t="s">
        <v>22</v>
      </c>
      <c r="E887" s="6" t="s">
        <v>194</v>
      </c>
      <c r="F887" s="5" t="s">
        <v>52</v>
      </c>
      <c r="G887" s="5" t="s">
        <v>63</v>
      </c>
      <c r="H887" s="5" t="s">
        <v>87</v>
      </c>
      <c r="I887" s="5" t="s">
        <v>47</v>
      </c>
      <c r="J887" s="5" t="s">
        <v>47</v>
      </c>
      <c r="K887" s="5" t="s">
        <v>56</v>
      </c>
      <c r="L887" s="7">
        <v>1065.72</v>
      </c>
      <c r="M887" s="5">
        <v>22</v>
      </c>
      <c r="N887" s="7">
        <v>23445.84</v>
      </c>
      <c r="O887" s="8">
        <v>1.7</v>
      </c>
      <c r="P887" s="7">
        <v>23047.26</v>
      </c>
      <c r="Q887" s="8">
        <v>34.299999999999997</v>
      </c>
      <c r="R887" s="7">
        <v>7905.21</v>
      </c>
      <c r="S887" s="5" t="s">
        <v>79</v>
      </c>
    </row>
    <row r="888" spans="1:19" x14ac:dyDescent="0.3">
      <c r="A888" s="1" t="s">
        <v>1354</v>
      </c>
      <c r="B888" s="1" t="s">
        <v>1355</v>
      </c>
      <c r="C888" s="1" t="s">
        <v>59</v>
      </c>
      <c r="D888" s="1" t="s">
        <v>60</v>
      </c>
      <c r="E888" s="2" t="s">
        <v>158</v>
      </c>
      <c r="F888" s="1" t="s">
        <v>35</v>
      </c>
      <c r="G888" s="1" t="s">
        <v>63</v>
      </c>
      <c r="H888" s="1" t="s">
        <v>87</v>
      </c>
      <c r="I888" s="1" t="s">
        <v>38</v>
      </c>
      <c r="J888" s="1" t="s">
        <v>65</v>
      </c>
      <c r="K888" s="1" t="s">
        <v>39</v>
      </c>
      <c r="L888" s="3">
        <v>10971.56</v>
      </c>
      <c r="M888" s="1">
        <v>15</v>
      </c>
      <c r="N888" s="3">
        <v>164573.4</v>
      </c>
      <c r="O888" s="4">
        <v>9.8000000000000007</v>
      </c>
      <c r="P888" s="3">
        <v>148445.21</v>
      </c>
      <c r="Q888" s="4">
        <v>41.9</v>
      </c>
      <c r="R888" s="3">
        <v>62198.54</v>
      </c>
      <c r="S888" s="1" t="s">
        <v>79</v>
      </c>
    </row>
    <row r="889" spans="1:19" x14ac:dyDescent="0.3">
      <c r="A889" s="5" t="s">
        <v>1356</v>
      </c>
      <c r="B889" s="5" t="s">
        <v>926</v>
      </c>
      <c r="C889" s="5" t="s">
        <v>131</v>
      </c>
      <c r="D889" s="5" t="s">
        <v>69</v>
      </c>
      <c r="E889" s="6" t="s">
        <v>76</v>
      </c>
      <c r="F889" s="5" t="s">
        <v>45</v>
      </c>
      <c r="G889" s="5" t="s">
        <v>25</v>
      </c>
      <c r="H889" s="5" t="s">
        <v>132</v>
      </c>
      <c r="I889" s="5" t="s">
        <v>47</v>
      </c>
      <c r="J889" s="5" t="s">
        <v>65</v>
      </c>
      <c r="K889" s="5" t="s">
        <v>29</v>
      </c>
      <c r="L889" s="7">
        <v>704.61</v>
      </c>
      <c r="M889" s="5">
        <v>12</v>
      </c>
      <c r="N889" s="7">
        <v>8455.32</v>
      </c>
      <c r="O889" s="8">
        <v>1.7</v>
      </c>
      <c r="P889" s="7">
        <v>8311.58</v>
      </c>
      <c r="Q889" s="8">
        <v>34.200000000000003</v>
      </c>
      <c r="R889" s="7">
        <v>2842.56</v>
      </c>
      <c r="S889" s="5" t="s">
        <v>40</v>
      </c>
    </row>
    <row r="890" spans="1:19" x14ac:dyDescent="0.3">
      <c r="A890" s="1" t="s">
        <v>1357</v>
      </c>
      <c r="B890" s="1" t="s">
        <v>1358</v>
      </c>
      <c r="C890" s="1" t="s">
        <v>59</v>
      </c>
      <c r="D890" s="1" t="s">
        <v>60</v>
      </c>
      <c r="E890" s="2" t="s">
        <v>61</v>
      </c>
      <c r="F890" s="1" t="s">
        <v>62</v>
      </c>
      <c r="G890" s="1" t="s">
        <v>53</v>
      </c>
      <c r="H890" s="1" t="s">
        <v>54</v>
      </c>
      <c r="I890" s="1" t="s">
        <v>38</v>
      </c>
      <c r="J890" s="1" t="s">
        <v>47</v>
      </c>
      <c r="K890" s="1" t="s">
        <v>88</v>
      </c>
      <c r="L890" s="3">
        <v>508.54</v>
      </c>
      <c r="M890" s="1">
        <v>7</v>
      </c>
      <c r="N890" s="3">
        <v>3559.78</v>
      </c>
      <c r="O890" s="4">
        <v>19.600000000000001</v>
      </c>
      <c r="P890" s="3">
        <v>2862.06</v>
      </c>
      <c r="Q890" s="4">
        <v>56.1</v>
      </c>
      <c r="R890" s="3">
        <v>1605.62</v>
      </c>
      <c r="S890" s="1" t="s">
        <v>30</v>
      </c>
    </row>
    <row r="891" spans="1:19" x14ac:dyDescent="0.3">
      <c r="A891" s="5" t="s">
        <v>1359</v>
      </c>
      <c r="B891" s="5" t="s">
        <v>1360</v>
      </c>
      <c r="C891" s="5" t="s">
        <v>43</v>
      </c>
      <c r="D891" s="5" t="s">
        <v>22</v>
      </c>
      <c r="E891" s="6" t="s">
        <v>114</v>
      </c>
      <c r="F891" s="5" t="s">
        <v>45</v>
      </c>
      <c r="G891" s="5" t="s">
        <v>63</v>
      </c>
      <c r="H891" s="5" t="s">
        <v>167</v>
      </c>
      <c r="I891" s="5" t="s">
        <v>72</v>
      </c>
      <c r="J891" s="5" t="s">
        <v>28</v>
      </c>
      <c r="K891" s="5" t="s">
        <v>78</v>
      </c>
      <c r="L891" s="7">
        <v>1135.54</v>
      </c>
      <c r="M891" s="5">
        <v>16</v>
      </c>
      <c r="N891" s="7">
        <v>18168.64</v>
      </c>
      <c r="O891" s="8">
        <v>6.4</v>
      </c>
      <c r="P891" s="7">
        <v>17005.849999999999</v>
      </c>
      <c r="Q891" s="8">
        <v>41.4</v>
      </c>
      <c r="R891" s="7">
        <v>7040.42</v>
      </c>
      <c r="S891" s="5" t="s">
        <v>40</v>
      </c>
    </row>
    <row r="892" spans="1:19" x14ac:dyDescent="0.3">
      <c r="A892" s="1" t="s">
        <v>1361</v>
      </c>
      <c r="B892" s="1" t="s">
        <v>1362</v>
      </c>
      <c r="C892" s="1" t="s">
        <v>131</v>
      </c>
      <c r="D892" s="1" t="s">
        <v>69</v>
      </c>
      <c r="E892" s="2" t="s">
        <v>125</v>
      </c>
      <c r="F892" s="1" t="s">
        <v>62</v>
      </c>
      <c r="G892" s="1" t="s">
        <v>36</v>
      </c>
      <c r="H892" s="1" t="s">
        <v>37</v>
      </c>
      <c r="I892" s="1" t="s">
        <v>38</v>
      </c>
      <c r="J892" s="1" t="s">
        <v>47</v>
      </c>
      <c r="K892" s="1" t="s">
        <v>88</v>
      </c>
      <c r="L892" s="3">
        <v>1849.52</v>
      </c>
      <c r="M892" s="1">
        <v>19</v>
      </c>
      <c r="N892" s="3">
        <v>35140.879999999997</v>
      </c>
      <c r="O892" s="4">
        <v>12.4</v>
      </c>
      <c r="P892" s="3">
        <v>30783.41</v>
      </c>
      <c r="Q892" s="4">
        <v>58</v>
      </c>
      <c r="R892" s="3">
        <v>17854.38</v>
      </c>
      <c r="S892" s="1" t="s">
        <v>40</v>
      </c>
    </row>
    <row r="893" spans="1:19" x14ac:dyDescent="0.3">
      <c r="A893" s="5" t="s">
        <v>1363</v>
      </c>
      <c r="B893" s="5" t="s">
        <v>495</v>
      </c>
      <c r="C893" s="5" t="s">
        <v>101</v>
      </c>
      <c r="D893" s="5" t="s">
        <v>60</v>
      </c>
      <c r="E893" s="6" t="s">
        <v>44</v>
      </c>
      <c r="F893" s="5" t="s">
        <v>45</v>
      </c>
      <c r="G893" s="5" t="s">
        <v>36</v>
      </c>
      <c r="H893" s="5" t="s">
        <v>37</v>
      </c>
      <c r="I893" s="5" t="s">
        <v>72</v>
      </c>
      <c r="J893" s="5" t="s">
        <v>28</v>
      </c>
      <c r="K893" s="5" t="s">
        <v>102</v>
      </c>
      <c r="L893" s="7">
        <v>992.05</v>
      </c>
      <c r="M893" s="5">
        <v>11</v>
      </c>
      <c r="N893" s="7">
        <v>10912.55</v>
      </c>
      <c r="O893" s="8">
        <v>10.8</v>
      </c>
      <c r="P893" s="7">
        <v>9733.99</v>
      </c>
      <c r="Q893" s="8">
        <v>34.9</v>
      </c>
      <c r="R893" s="7">
        <v>3397.16</v>
      </c>
      <c r="S893" s="5" t="s">
        <v>40</v>
      </c>
    </row>
    <row r="894" spans="1:19" x14ac:dyDescent="0.3">
      <c r="A894" s="1" t="s">
        <v>1364</v>
      </c>
      <c r="B894" s="1" t="s">
        <v>1365</v>
      </c>
      <c r="C894" s="1" t="s">
        <v>75</v>
      </c>
      <c r="D894" s="1" t="s">
        <v>60</v>
      </c>
      <c r="E894" s="2" t="s">
        <v>125</v>
      </c>
      <c r="F894" s="1" t="s">
        <v>62</v>
      </c>
      <c r="G894" s="1" t="s">
        <v>36</v>
      </c>
      <c r="H894" s="1" t="s">
        <v>105</v>
      </c>
      <c r="I894" s="1" t="s">
        <v>47</v>
      </c>
      <c r="J894" s="1" t="s">
        <v>93</v>
      </c>
      <c r="K894" s="1" t="s">
        <v>39</v>
      </c>
      <c r="L894" s="3">
        <v>2474.87</v>
      </c>
      <c r="M894" s="1">
        <v>2</v>
      </c>
      <c r="N894" s="3">
        <v>4949.74</v>
      </c>
      <c r="O894" s="4">
        <v>13.9</v>
      </c>
      <c r="P894" s="3">
        <v>4261.7299999999996</v>
      </c>
      <c r="Q894" s="4">
        <v>52.1</v>
      </c>
      <c r="R894" s="3">
        <v>2220.36</v>
      </c>
      <c r="S894" s="1" t="s">
        <v>40</v>
      </c>
    </row>
    <row r="895" spans="1:19" x14ac:dyDescent="0.3">
      <c r="A895" s="5" t="s">
        <v>1366</v>
      </c>
      <c r="B895" s="5" t="s">
        <v>577</v>
      </c>
      <c r="C895" s="5" t="s">
        <v>135</v>
      </c>
      <c r="D895" s="5" t="s">
        <v>69</v>
      </c>
      <c r="E895" s="6" t="s">
        <v>174</v>
      </c>
      <c r="F895" s="5" t="s">
        <v>45</v>
      </c>
      <c r="G895" s="5" t="s">
        <v>25</v>
      </c>
      <c r="H895" s="5" t="s">
        <v>132</v>
      </c>
      <c r="I895" s="5" t="s">
        <v>55</v>
      </c>
      <c r="J895" s="5" t="s">
        <v>93</v>
      </c>
      <c r="K895" s="5" t="s">
        <v>159</v>
      </c>
      <c r="L895" s="7">
        <v>1098.2</v>
      </c>
      <c r="M895" s="5">
        <v>3</v>
      </c>
      <c r="N895" s="7">
        <v>3294.6</v>
      </c>
      <c r="O895" s="8">
        <v>21.2</v>
      </c>
      <c r="P895" s="7">
        <v>2596.14</v>
      </c>
      <c r="Q895" s="8">
        <v>21.8</v>
      </c>
      <c r="R895" s="7">
        <v>565.96</v>
      </c>
      <c r="S895" s="5" t="s">
        <v>40</v>
      </c>
    </row>
    <row r="896" spans="1:19" x14ac:dyDescent="0.3">
      <c r="A896" s="1" t="s">
        <v>1367</v>
      </c>
      <c r="B896" s="1" t="s">
        <v>1203</v>
      </c>
      <c r="C896" s="1" t="s">
        <v>131</v>
      </c>
      <c r="D896" s="1" t="s">
        <v>69</v>
      </c>
      <c r="E896" s="2" t="s">
        <v>358</v>
      </c>
      <c r="F896" s="1" t="s">
        <v>35</v>
      </c>
      <c r="G896" s="1" t="s">
        <v>109</v>
      </c>
      <c r="H896" s="1" t="s">
        <v>110</v>
      </c>
      <c r="I896" s="1" t="s">
        <v>55</v>
      </c>
      <c r="J896" s="1" t="s">
        <v>47</v>
      </c>
      <c r="K896" s="1" t="s">
        <v>159</v>
      </c>
      <c r="L896" s="3">
        <v>31541.55</v>
      </c>
      <c r="M896" s="1">
        <v>5</v>
      </c>
      <c r="N896" s="3">
        <v>157707.75</v>
      </c>
      <c r="O896" s="4">
        <v>16.2</v>
      </c>
      <c r="P896" s="3">
        <v>132159.09</v>
      </c>
      <c r="Q896" s="4">
        <v>34.299999999999997</v>
      </c>
      <c r="R896" s="3">
        <v>45330.57</v>
      </c>
      <c r="S896" s="1" t="s">
        <v>40</v>
      </c>
    </row>
    <row r="897" spans="1:19" x14ac:dyDescent="0.3">
      <c r="A897" s="5" t="s">
        <v>1368</v>
      </c>
      <c r="B897" s="5" t="s">
        <v>1072</v>
      </c>
      <c r="C897" s="5" t="s">
        <v>59</v>
      </c>
      <c r="D897" s="5" t="s">
        <v>60</v>
      </c>
      <c r="E897" s="6" t="s">
        <v>34</v>
      </c>
      <c r="F897" s="5" t="s">
        <v>35</v>
      </c>
      <c r="G897" s="5" t="s">
        <v>53</v>
      </c>
      <c r="H897" s="5" t="s">
        <v>98</v>
      </c>
      <c r="I897" s="5" t="s">
        <v>47</v>
      </c>
      <c r="J897" s="5" t="s">
        <v>47</v>
      </c>
      <c r="K897" s="5" t="s">
        <v>78</v>
      </c>
      <c r="L897" s="7">
        <v>42413.68</v>
      </c>
      <c r="M897" s="5">
        <v>22</v>
      </c>
      <c r="N897" s="7">
        <v>933100.96</v>
      </c>
      <c r="O897" s="8">
        <v>6.4</v>
      </c>
      <c r="P897" s="7">
        <v>873382.5</v>
      </c>
      <c r="Q897" s="8">
        <v>36.4</v>
      </c>
      <c r="R897" s="7">
        <v>317911.23</v>
      </c>
      <c r="S897" s="5" t="s">
        <v>40</v>
      </c>
    </row>
    <row r="898" spans="1:19" x14ac:dyDescent="0.3">
      <c r="A898" s="1" t="s">
        <v>1369</v>
      </c>
      <c r="B898" s="1" t="s">
        <v>169</v>
      </c>
      <c r="C898" s="1" t="s">
        <v>117</v>
      </c>
      <c r="D898" s="1" t="s">
        <v>86</v>
      </c>
      <c r="E898" s="2" t="s">
        <v>76</v>
      </c>
      <c r="F898" s="1" t="s">
        <v>45</v>
      </c>
      <c r="G898" s="1" t="s">
        <v>36</v>
      </c>
      <c r="H898" s="1" t="s">
        <v>119</v>
      </c>
      <c r="I898" s="1" t="s">
        <v>47</v>
      </c>
      <c r="J898" s="1" t="s">
        <v>28</v>
      </c>
      <c r="K898" s="1" t="s">
        <v>29</v>
      </c>
      <c r="L898" s="3">
        <v>1084.4100000000001</v>
      </c>
      <c r="M898" s="1">
        <v>20</v>
      </c>
      <c r="N898" s="3">
        <v>21688.2</v>
      </c>
      <c r="O898" s="4">
        <v>20.5</v>
      </c>
      <c r="P898" s="3">
        <v>17242.12</v>
      </c>
      <c r="Q898" s="4">
        <v>34.4</v>
      </c>
      <c r="R898" s="3">
        <v>5931.29</v>
      </c>
      <c r="S898" s="1" t="s">
        <v>79</v>
      </c>
    </row>
    <row r="899" spans="1:19" x14ac:dyDescent="0.3">
      <c r="A899" s="5" t="s">
        <v>1370</v>
      </c>
      <c r="B899" s="5" t="s">
        <v>515</v>
      </c>
      <c r="C899" s="5" t="s">
        <v>21</v>
      </c>
      <c r="D899" s="5" t="s">
        <v>22</v>
      </c>
      <c r="E899" s="6" t="s">
        <v>114</v>
      </c>
      <c r="F899" s="5" t="s">
        <v>45</v>
      </c>
      <c r="G899" s="5" t="s">
        <v>36</v>
      </c>
      <c r="H899" s="5" t="s">
        <v>105</v>
      </c>
      <c r="I899" s="5" t="s">
        <v>55</v>
      </c>
      <c r="J899" s="5" t="s">
        <v>47</v>
      </c>
      <c r="K899" s="5" t="s">
        <v>78</v>
      </c>
      <c r="L899" s="7">
        <v>1106.3</v>
      </c>
      <c r="M899" s="5">
        <v>25</v>
      </c>
      <c r="N899" s="7">
        <v>27657.5</v>
      </c>
      <c r="O899" s="8">
        <v>13.6</v>
      </c>
      <c r="P899" s="7">
        <v>23896.080000000002</v>
      </c>
      <c r="Q899" s="8">
        <v>35</v>
      </c>
      <c r="R899" s="7">
        <v>8363.6299999999992</v>
      </c>
      <c r="S899" s="5" t="s">
        <v>79</v>
      </c>
    </row>
    <row r="900" spans="1:19" x14ac:dyDescent="0.3">
      <c r="A900" s="1" t="s">
        <v>1371</v>
      </c>
      <c r="B900" s="1" t="s">
        <v>678</v>
      </c>
      <c r="C900" s="1" t="s">
        <v>68</v>
      </c>
      <c r="D900" s="1" t="s">
        <v>69</v>
      </c>
      <c r="E900" s="2" t="s">
        <v>125</v>
      </c>
      <c r="F900" s="1" t="s">
        <v>62</v>
      </c>
      <c r="G900" s="1" t="s">
        <v>63</v>
      </c>
      <c r="H900" s="1" t="s">
        <v>167</v>
      </c>
      <c r="I900" s="1" t="s">
        <v>47</v>
      </c>
      <c r="J900" s="1" t="s">
        <v>93</v>
      </c>
      <c r="K900" s="1" t="s">
        <v>48</v>
      </c>
      <c r="L900" s="3">
        <v>1301.46</v>
      </c>
      <c r="M900" s="1">
        <v>2</v>
      </c>
      <c r="N900" s="3">
        <v>2602.92</v>
      </c>
      <c r="O900" s="4">
        <v>12</v>
      </c>
      <c r="P900" s="3">
        <v>2290.5700000000002</v>
      </c>
      <c r="Q900" s="4">
        <v>52.8</v>
      </c>
      <c r="R900" s="3">
        <v>1209.42</v>
      </c>
      <c r="S900" s="1" t="s">
        <v>40</v>
      </c>
    </row>
    <row r="901" spans="1:19" x14ac:dyDescent="0.3">
      <c r="A901" s="5" t="s">
        <v>1372</v>
      </c>
      <c r="B901" s="5" t="s">
        <v>121</v>
      </c>
      <c r="C901" s="5" t="s">
        <v>117</v>
      </c>
      <c r="D901" s="5" t="s">
        <v>86</v>
      </c>
      <c r="E901" s="6" t="s">
        <v>256</v>
      </c>
      <c r="F901" s="5" t="s">
        <v>166</v>
      </c>
      <c r="G901" s="5" t="s">
        <v>109</v>
      </c>
      <c r="H901" s="5" t="s">
        <v>152</v>
      </c>
      <c r="I901" s="5" t="s">
        <v>72</v>
      </c>
      <c r="J901" s="5" t="s">
        <v>47</v>
      </c>
      <c r="K901" s="5" t="s">
        <v>102</v>
      </c>
      <c r="L901" s="7">
        <v>2016.96</v>
      </c>
      <c r="M901" s="5">
        <v>8</v>
      </c>
      <c r="N901" s="7">
        <v>16135.68</v>
      </c>
      <c r="O901" s="8">
        <v>3.8</v>
      </c>
      <c r="P901" s="7">
        <v>15522.52</v>
      </c>
      <c r="Q901" s="8">
        <v>47.7</v>
      </c>
      <c r="R901" s="7">
        <v>7404.24</v>
      </c>
      <c r="S901" s="5" t="s">
        <v>40</v>
      </c>
    </row>
    <row r="902" spans="1:19" x14ac:dyDescent="0.3">
      <c r="A902" s="1" t="s">
        <v>1373</v>
      </c>
      <c r="B902" s="1" t="s">
        <v>1010</v>
      </c>
      <c r="C902" s="1" t="s">
        <v>43</v>
      </c>
      <c r="D902" s="1" t="s">
        <v>22</v>
      </c>
      <c r="E902" s="2" t="s">
        <v>34</v>
      </c>
      <c r="F902" s="1" t="s">
        <v>35</v>
      </c>
      <c r="G902" s="1" t="s">
        <v>36</v>
      </c>
      <c r="H902" s="1" t="s">
        <v>119</v>
      </c>
      <c r="I902" s="1" t="s">
        <v>47</v>
      </c>
      <c r="J902" s="1" t="s">
        <v>47</v>
      </c>
      <c r="K902" s="1" t="s">
        <v>159</v>
      </c>
      <c r="L902" s="3">
        <v>13116.56</v>
      </c>
      <c r="M902" s="1">
        <v>14</v>
      </c>
      <c r="N902" s="3">
        <v>183631.84</v>
      </c>
      <c r="O902" s="4">
        <v>6.6</v>
      </c>
      <c r="P902" s="3">
        <v>171512.14</v>
      </c>
      <c r="Q902" s="4">
        <v>36.5</v>
      </c>
      <c r="R902" s="3">
        <v>62601.93</v>
      </c>
      <c r="S902" s="1" t="s">
        <v>40</v>
      </c>
    </row>
    <row r="903" spans="1:19" x14ac:dyDescent="0.3">
      <c r="A903" s="5" t="s">
        <v>1374</v>
      </c>
      <c r="B903" s="5" t="s">
        <v>1193</v>
      </c>
      <c r="C903" s="5" t="s">
        <v>131</v>
      </c>
      <c r="D903" s="5" t="s">
        <v>69</v>
      </c>
      <c r="E903" s="6" t="s">
        <v>177</v>
      </c>
      <c r="F903" s="5" t="s">
        <v>166</v>
      </c>
      <c r="G903" s="5" t="s">
        <v>63</v>
      </c>
      <c r="H903" s="5" t="s">
        <v>167</v>
      </c>
      <c r="I903" s="5" t="s">
        <v>38</v>
      </c>
      <c r="J903" s="5" t="s">
        <v>28</v>
      </c>
      <c r="K903" s="5" t="s">
        <v>159</v>
      </c>
      <c r="L903" s="7">
        <v>2073.2600000000002</v>
      </c>
      <c r="M903" s="5">
        <v>10</v>
      </c>
      <c r="N903" s="7">
        <v>20732.599999999999</v>
      </c>
      <c r="O903" s="8">
        <v>12.1</v>
      </c>
      <c r="P903" s="7">
        <v>18223.96</v>
      </c>
      <c r="Q903" s="8">
        <v>61.3</v>
      </c>
      <c r="R903" s="7">
        <v>11171.29</v>
      </c>
      <c r="S903" s="5" t="s">
        <v>79</v>
      </c>
    </row>
    <row r="904" spans="1:19" x14ac:dyDescent="0.3">
      <c r="A904" s="1" t="s">
        <v>1375</v>
      </c>
      <c r="B904" s="1" t="s">
        <v>450</v>
      </c>
      <c r="C904" s="1" t="s">
        <v>85</v>
      </c>
      <c r="D904" s="1" t="s">
        <v>86</v>
      </c>
      <c r="E904" s="2" t="s">
        <v>118</v>
      </c>
      <c r="F904" s="1" t="s">
        <v>62</v>
      </c>
      <c r="G904" s="1" t="s">
        <v>25</v>
      </c>
      <c r="H904" s="1" t="s">
        <v>132</v>
      </c>
      <c r="I904" s="1" t="s">
        <v>27</v>
      </c>
      <c r="J904" s="1" t="s">
        <v>28</v>
      </c>
      <c r="K904" s="1" t="s">
        <v>56</v>
      </c>
      <c r="L904" s="3">
        <v>3431.72</v>
      </c>
      <c r="M904" s="1">
        <v>16</v>
      </c>
      <c r="N904" s="3">
        <v>54907.519999999997</v>
      </c>
      <c r="O904" s="4">
        <v>3.8</v>
      </c>
      <c r="P904" s="3">
        <v>52821.03</v>
      </c>
      <c r="Q904" s="4">
        <v>64.8</v>
      </c>
      <c r="R904" s="3">
        <v>34228.03</v>
      </c>
      <c r="S904" s="1" t="s">
        <v>30</v>
      </c>
    </row>
    <row r="905" spans="1:19" x14ac:dyDescent="0.3">
      <c r="A905" s="5" t="s">
        <v>1376</v>
      </c>
      <c r="B905" s="5" t="s">
        <v>1041</v>
      </c>
      <c r="C905" s="5" t="s">
        <v>59</v>
      </c>
      <c r="D905" s="5" t="s">
        <v>60</v>
      </c>
      <c r="E905" s="6" t="s">
        <v>256</v>
      </c>
      <c r="F905" s="5" t="s">
        <v>166</v>
      </c>
      <c r="G905" s="5" t="s">
        <v>109</v>
      </c>
      <c r="H905" s="5" t="s">
        <v>189</v>
      </c>
      <c r="I905" s="5" t="s">
        <v>55</v>
      </c>
      <c r="J905" s="5" t="s">
        <v>93</v>
      </c>
      <c r="K905" s="5" t="s">
        <v>29</v>
      </c>
      <c r="L905" s="7">
        <v>1205.4000000000001</v>
      </c>
      <c r="M905" s="5">
        <v>9</v>
      </c>
      <c r="N905" s="7">
        <v>10848.6</v>
      </c>
      <c r="O905" s="8">
        <v>19.8</v>
      </c>
      <c r="P905" s="7">
        <v>8700.58</v>
      </c>
      <c r="Q905" s="8">
        <v>48.1</v>
      </c>
      <c r="R905" s="7">
        <v>4184.9799999999996</v>
      </c>
      <c r="S905" s="5" t="s">
        <v>40</v>
      </c>
    </row>
    <row r="906" spans="1:19" x14ac:dyDescent="0.3">
      <c r="A906" s="1" t="s">
        <v>1377</v>
      </c>
      <c r="B906" s="1" t="s">
        <v>272</v>
      </c>
      <c r="C906" s="1" t="s">
        <v>131</v>
      </c>
      <c r="D906" s="1" t="s">
        <v>69</v>
      </c>
      <c r="E906" s="2" t="s">
        <v>320</v>
      </c>
      <c r="F906" s="1" t="s">
        <v>24</v>
      </c>
      <c r="G906" s="1" t="s">
        <v>25</v>
      </c>
      <c r="H906" s="1" t="s">
        <v>46</v>
      </c>
      <c r="I906" s="1" t="s">
        <v>47</v>
      </c>
      <c r="J906" s="1" t="s">
        <v>28</v>
      </c>
      <c r="K906" s="1" t="s">
        <v>39</v>
      </c>
      <c r="L906" s="3">
        <v>76465.95</v>
      </c>
      <c r="M906" s="1">
        <v>2</v>
      </c>
      <c r="N906" s="3">
        <v>152931.9</v>
      </c>
      <c r="O906" s="4">
        <v>6</v>
      </c>
      <c r="P906" s="3">
        <v>143755.99</v>
      </c>
      <c r="Q906" s="4">
        <v>17.3</v>
      </c>
      <c r="R906" s="3">
        <v>24869.79</v>
      </c>
      <c r="S906" s="1" t="s">
        <v>40</v>
      </c>
    </row>
    <row r="907" spans="1:19" x14ac:dyDescent="0.3">
      <c r="A907" s="5" t="s">
        <v>1378</v>
      </c>
      <c r="B907" s="5" t="s">
        <v>785</v>
      </c>
      <c r="C907" s="5" t="s">
        <v>96</v>
      </c>
      <c r="D907" s="5" t="s">
        <v>86</v>
      </c>
      <c r="E907" s="6" t="s">
        <v>108</v>
      </c>
      <c r="F907" s="5" t="s">
        <v>35</v>
      </c>
      <c r="G907" s="5" t="s">
        <v>53</v>
      </c>
      <c r="H907" s="5" t="s">
        <v>54</v>
      </c>
      <c r="I907" s="5" t="s">
        <v>55</v>
      </c>
      <c r="J907" s="5" t="s">
        <v>28</v>
      </c>
      <c r="K907" s="5" t="s">
        <v>111</v>
      </c>
      <c r="L907" s="7">
        <v>42063.94</v>
      </c>
      <c r="M907" s="5">
        <v>12</v>
      </c>
      <c r="N907" s="7">
        <v>504767.28</v>
      </c>
      <c r="O907" s="8">
        <v>7.1</v>
      </c>
      <c r="P907" s="7">
        <v>468928.8</v>
      </c>
      <c r="Q907" s="8">
        <v>46</v>
      </c>
      <c r="R907" s="7">
        <v>215707.25</v>
      </c>
      <c r="S907" s="5" t="s">
        <v>40</v>
      </c>
    </row>
    <row r="908" spans="1:19" x14ac:dyDescent="0.3">
      <c r="A908" s="1" t="s">
        <v>1379</v>
      </c>
      <c r="B908" s="1" t="s">
        <v>755</v>
      </c>
      <c r="C908" s="1" t="s">
        <v>33</v>
      </c>
      <c r="D908" s="1" t="s">
        <v>22</v>
      </c>
      <c r="E908" s="2" t="s">
        <v>184</v>
      </c>
      <c r="F908" s="1" t="s">
        <v>45</v>
      </c>
      <c r="G908" s="1" t="s">
        <v>109</v>
      </c>
      <c r="H908" s="1" t="s">
        <v>122</v>
      </c>
      <c r="I908" s="1" t="s">
        <v>47</v>
      </c>
      <c r="J908" s="1" t="s">
        <v>93</v>
      </c>
      <c r="K908" s="1" t="s">
        <v>29</v>
      </c>
      <c r="L908" s="3">
        <v>1136.29</v>
      </c>
      <c r="M908" s="1">
        <v>14</v>
      </c>
      <c r="N908" s="3">
        <v>15908.06</v>
      </c>
      <c r="O908" s="4">
        <v>17.2</v>
      </c>
      <c r="P908" s="3">
        <v>13171.87</v>
      </c>
      <c r="Q908" s="4">
        <v>29.9</v>
      </c>
      <c r="R908" s="3">
        <v>3938.39</v>
      </c>
      <c r="S908" s="1" t="s">
        <v>79</v>
      </c>
    </row>
    <row r="909" spans="1:19" x14ac:dyDescent="0.3">
      <c r="A909" s="5" t="s">
        <v>1380</v>
      </c>
      <c r="B909" s="5" t="s">
        <v>780</v>
      </c>
      <c r="C909" s="5" t="s">
        <v>117</v>
      </c>
      <c r="D909" s="5" t="s">
        <v>86</v>
      </c>
      <c r="E909" s="6" t="s">
        <v>145</v>
      </c>
      <c r="F909" s="5" t="s">
        <v>62</v>
      </c>
      <c r="G909" s="5" t="s">
        <v>53</v>
      </c>
      <c r="H909" s="5" t="s">
        <v>98</v>
      </c>
      <c r="I909" s="5" t="s">
        <v>38</v>
      </c>
      <c r="J909" s="5" t="s">
        <v>65</v>
      </c>
      <c r="K909" s="5" t="s">
        <v>39</v>
      </c>
      <c r="L909" s="7">
        <v>956.26</v>
      </c>
      <c r="M909" s="5">
        <v>15</v>
      </c>
      <c r="N909" s="7">
        <v>14343.9</v>
      </c>
      <c r="O909" s="8">
        <v>19.899999999999999</v>
      </c>
      <c r="P909" s="7">
        <v>11489.46</v>
      </c>
      <c r="Q909" s="8">
        <v>63.6</v>
      </c>
      <c r="R909" s="7">
        <v>7307.3</v>
      </c>
      <c r="S909" s="5" t="s">
        <v>40</v>
      </c>
    </row>
    <row r="910" spans="1:19" x14ac:dyDescent="0.3">
      <c r="A910" s="1" t="s">
        <v>1381</v>
      </c>
      <c r="B910" s="1" t="s">
        <v>770</v>
      </c>
      <c r="C910" s="1" t="s">
        <v>85</v>
      </c>
      <c r="D910" s="1" t="s">
        <v>86</v>
      </c>
      <c r="E910" s="2" t="s">
        <v>165</v>
      </c>
      <c r="F910" s="1" t="s">
        <v>166</v>
      </c>
      <c r="G910" s="1" t="s">
        <v>63</v>
      </c>
      <c r="H910" s="1" t="s">
        <v>92</v>
      </c>
      <c r="I910" s="1" t="s">
        <v>55</v>
      </c>
      <c r="J910" s="1" t="s">
        <v>28</v>
      </c>
      <c r="K910" s="1" t="s">
        <v>29</v>
      </c>
      <c r="L910" s="3">
        <v>2111.7800000000002</v>
      </c>
      <c r="M910" s="1">
        <v>6</v>
      </c>
      <c r="N910" s="3">
        <v>12670.68</v>
      </c>
      <c r="O910" s="4">
        <v>21.2</v>
      </c>
      <c r="P910" s="3">
        <v>9984.5</v>
      </c>
      <c r="Q910" s="4">
        <v>41.1</v>
      </c>
      <c r="R910" s="3">
        <v>4103.63</v>
      </c>
      <c r="S910" s="1" t="s">
        <v>40</v>
      </c>
    </row>
    <row r="911" spans="1:19" x14ac:dyDescent="0.3">
      <c r="A911" s="5" t="s">
        <v>1382</v>
      </c>
      <c r="B911" s="5" t="s">
        <v>1101</v>
      </c>
      <c r="C911" s="5" t="s">
        <v>85</v>
      </c>
      <c r="D911" s="5" t="s">
        <v>86</v>
      </c>
      <c r="E911" s="6" t="s">
        <v>139</v>
      </c>
      <c r="F911" s="5" t="s">
        <v>45</v>
      </c>
      <c r="G911" s="5" t="s">
        <v>63</v>
      </c>
      <c r="H911" s="5" t="s">
        <v>87</v>
      </c>
      <c r="I911" s="5" t="s">
        <v>72</v>
      </c>
      <c r="J911" s="5" t="s">
        <v>47</v>
      </c>
      <c r="K911" s="5" t="s">
        <v>149</v>
      </c>
      <c r="L911" s="7">
        <v>538.94000000000005</v>
      </c>
      <c r="M911" s="5">
        <v>11</v>
      </c>
      <c r="N911" s="7">
        <v>5928.34</v>
      </c>
      <c r="O911" s="8">
        <v>21.8</v>
      </c>
      <c r="P911" s="7">
        <v>4635.96</v>
      </c>
      <c r="Q911" s="8">
        <v>25.7</v>
      </c>
      <c r="R911" s="7">
        <v>1191.44</v>
      </c>
      <c r="S911" s="5" t="s">
        <v>40</v>
      </c>
    </row>
    <row r="912" spans="1:19" x14ac:dyDescent="0.3">
      <c r="A912" s="1" t="s">
        <v>1383</v>
      </c>
      <c r="B912" s="1" t="s">
        <v>1301</v>
      </c>
      <c r="C912" s="1" t="s">
        <v>68</v>
      </c>
      <c r="D912" s="1" t="s">
        <v>69</v>
      </c>
      <c r="E912" s="2" t="s">
        <v>194</v>
      </c>
      <c r="F912" s="1" t="s">
        <v>52</v>
      </c>
      <c r="G912" s="1" t="s">
        <v>25</v>
      </c>
      <c r="H912" s="1" t="s">
        <v>132</v>
      </c>
      <c r="I912" s="1" t="s">
        <v>38</v>
      </c>
      <c r="J912" s="1" t="s">
        <v>93</v>
      </c>
      <c r="K912" s="1" t="s">
        <v>56</v>
      </c>
      <c r="L912" s="3">
        <v>4466.37</v>
      </c>
      <c r="M912" s="1">
        <v>25</v>
      </c>
      <c r="N912" s="3">
        <v>111659.25</v>
      </c>
      <c r="O912" s="4">
        <v>5</v>
      </c>
      <c r="P912" s="3">
        <v>106076.29</v>
      </c>
      <c r="Q912" s="4">
        <v>26.6</v>
      </c>
      <c r="R912" s="3">
        <v>28216.29</v>
      </c>
      <c r="S912" s="1" t="s">
        <v>40</v>
      </c>
    </row>
    <row r="913" spans="1:19" x14ac:dyDescent="0.3">
      <c r="A913" s="5" t="s">
        <v>1384</v>
      </c>
      <c r="B913" s="5" t="s">
        <v>600</v>
      </c>
      <c r="C913" s="5" t="s">
        <v>21</v>
      </c>
      <c r="D913" s="5" t="s">
        <v>22</v>
      </c>
      <c r="E913" s="6" t="s">
        <v>128</v>
      </c>
      <c r="F913" s="5" t="s">
        <v>45</v>
      </c>
      <c r="G913" s="5" t="s">
        <v>36</v>
      </c>
      <c r="H913" s="5" t="s">
        <v>37</v>
      </c>
      <c r="I913" s="5" t="s">
        <v>27</v>
      </c>
      <c r="J913" s="5" t="s">
        <v>93</v>
      </c>
      <c r="K913" s="5" t="s">
        <v>149</v>
      </c>
      <c r="L913" s="7">
        <v>1311.9</v>
      </c>
      <c r="M913" s="5">
        <v>4</v>
      </c>
      <c r="N913" s="7">
        <v>5247.6</v>
      </c>
      <c r="O913" s="8">
        <v>8.8000000000000007</v>
      </c>
      <c r="P913" s="7">
        <v>4785.8100000000004</v>
      </c>
      <c r="Q913" s="8">
        <v>29.1</v>
      </c>
      <c r="R913" s="7">
        <v>1392.67</v>
      </c>
      <c r="S913" s="5" t="s">
        <v>40</v>
      </c>
    </row>
    <row r="914" spans="1:19" x14ac:dyDescent="0.3">
      <c r="A914" s="1" t="s">
        <v>1385</v>
      </c>
      <c r="B914" s="1" t="s">
        <v>251</v>
      </c>
      <c r="C914" s="1" t="s">
        <v>85</v>
      </c>
      <c r="D914" s="1" t="s">
        <v>86</v>
      </c>
      <c r="E914" s="2" t="s">
        <v>145</v>
      </c>
      <c r="F914" s="1" t="s">
        <v>62</v>
      </c>
      <c r="G914" s="1" t="s">
        <v>53</v>
      </c>
      <c r="H914" s="1" t="s">
        <v>98</v>
      </c>
      <c r="I914" s="1" t="s">
        <v>47</v>
      </c>
      <c r="J914" s="1" t="s">
        <v>93</v>
      </c>
      <c r="K914" s="1" t="s">
        <v>159</v>
      </c>
      <c r="L914" s="3">
        <v>1192.49</v>
      </c>
      <c r="M914" s="1">
        <v>7</v>
      </c>
      <c r="N914" s="3">
        <v>8347.43</v>
      </c>
      <c r="O914" s="4">
        <v>20.9</v>
      </c>
      <c r="P914" s="3">
        <v>6602.82</v>
      </c>
      <c r="Q914" s="4">
        <v>52.1</v>
      </c>
      <c r="R914" s="3">
        <v>3440.07</v>
      </c>
      <c r="S914" s="1" t="s">
        <v>40</v>
      </c>
    </row>
    <row r="915" spans="1:19" x14ac:dyDescent="0.3">
      <c r="A915" s="5" t="s">
        <v>1386</v>
      </c>
      <c r="B915" s="5" t="s">
        <v>985</v>
      </c>
      <c r="C915" s="5" t="s">
        <v>117</v>
      </c>
      <c r="D915" s="5" t="s">
        <v>86</v>
      </c>
      <c r="E915" s="6" t="s">
        <v>180</v>
      </c>
      <c r="F915" s="5" t="s">
        <v>166</v>
      </c>
      <c r="G915" s="5" t="s">
        <v>53</v>
      </c>
      <c r="H915" s="5" t="s">
        <v>54</v>
      </c>
      <c r="I915" s="5" t="s">
        <v>38</v>
      </c>
      <c r="J915" s="5" t="s">
        <v>65</v>
      </c>
      <c r="K915" s="5" t="s">
        <v>29</v>
      </c>
      <c r="L915" s="7">
        <v>2283.9899999999998</v>
      </c>
      <c r="M915" s="5">
        <v>8</v>
      </c>
      <c r="N915" s="7">
        <v>18271.919999999998</v>
      </c>
      <c r="O915" s="8">
        <v>14.4</v>
      </c>
      <c r="P915" s="7">
        <v>15640.76</v>
      </c>
      <c r="Q915" s="8">
        <v>52</v>
      </c>
      <c r="R915" s="7">
        <v>8133.2</v>
      </c>
      <c r="S915" s="5" t="s">
        <v>79</v>
      </c>
    </row>
    <row r="916" spans="1:19" x14ac:dyDescent="0.3">
      <c r="A916" s="1" t="s">
        <v>1387</v>
      </c>
      <c r="B916" s="1" t="s">
        <v>1185</v>
      </c>
      <c r="C916" s="1" t="s">
        <v>43</v>
      </c>
      <c r="D916" s="1" t="s">
        <v>22</v>
      </c>
      <c r="E916" s="2" t="s">
        <v>320</v>
      </c>
      <c r="F916" s="1" t="s">
        <v>24</v>
      </c>
      <c r="G916" s="1" t="s">
        <v>63</v>
      </c>
      <c r="H916" s="1" t="s">
        <v>167</v>
      </c>
      <c r="I916" s="1" t="s">
        <v>38</v>
      </c>
      <c r="J916" s="1" t="s">
        <v>65</v>
      </c>
      <c r="K916" s="1" t="s">
        <v>159</v>
      </c>
      <c r="L916" s="3">
        <v>81114.81</v>
      </c>
      <c r="M916" s="1">
        <v>25</v>
      </c>
      <c r="N916" s="3">
        <v>2027870.25</v>
      </c>
      <c r="O916" s="4">
        <v>15.4</v>
      </c>
      <c r="P916" s="3">
        <v>1715578.23</v>
      </c>
      <c r="Q916" s="4">
        <v>30.9</v>
      </c>
      <c r="R916" s="3">
        <v>530113.67000000004</v>
      </c>
      <c r="S916" s="1" t="s">
        <v>79</v>
      </c>
    </row>
    <row r="917" spans="1:19" x14ac:dyDescent="0.3">
      <c r="A917" s="5" t="s">
        <v>1388</v>
      </c>
      <c r="B917" s="5" t="s">
        <v>1301</v>
      </c>
      <c r="C917" s="5" t="s">
        <v>68</v>
      </c>
      <c r="D917" s="5" t="s">
        <v>69</v>
      </c>
      <c r="E917" s="6" t="s">
        <v>224</v>
      </c>
      <c r="F917" s="5" t="s">
        <v>166</v>
      </c>
      <c r="G917" s="5" t="s">
        <v>25</v>
      </c>
      <c r="H917" s="5" t="s">
        <v>215</v>
      </c>
      <c r="I917" s="5" t="s">
        <v>47</v>
      </c>
      <c r="J917" s="5" t="s">
        <v>28</v>
      </c>
      <c r="K917" s="5" t="s">
        <v>111</v>
      </c>
      <c r="L917" s="7">
        <v>2370.2600000000002</v>
      </c>
      <c r="M917" s="5">
        <v>3</v>
      </c>
      <c r="N917" s="7">
        <v>7110.78</v>
      </c>
      <c r="O917" s="8">
        <v>15.9</v>
      </c>
      <c r="P917" s="7">
        <v>5980.17</v>
      </c>
      <c r="Q917" s="8">
        <v>41.8</v>
      </c>
      <c r="R917" s="7">
        <v>2499.71</v>
      </c>
      <c r="S917" s="5" t="s">
        <v>40</v>
      </c>
    </row>
    <row r="918" spans="1:19" x14ac:dyDescent="0.3">
      <c r="A918" s="1" t="s">
        <v>1389</v>
      </c>
      <c r="B918" s="1" t="s">
        <v>584</v>
      </c>
      <c r="C918" s="1" t="s">
        <v>75</v>
      </c>
      <c r="D918" s="1" t="s">
        <v>60</v>
      </c>
      <c r="E918" s="2" t="s">
        <v>303</v>
      </c>
      <c r="F918" s="1" t="s">
        <v>62</v>
      </c>
      <c r="G918" s="1" t="s">
        <v>36</v>
      </c>
      <c r="H918" s="1" t="s">
        <v>37</v>
      </c>
      <c r="I918" s="1" t="s">
        <v>55</v>
      </c>
      <c r="J918" s="1" t="s">
        <v>93</v>
      </c>
      <c r="K918" s="1" t="s">
        <v>78</v>
      </c>
      <c r="L918" s="3">
        <v>3013.14</v>
      </c>
      <c r="M918" s="1">
        <v>8</v>
      </c>
      <c r="N918" s="3">
        <v>24105.119999999999</v>
      </c>
      <c r="O918" s="4">
        <v>19.8</v>
      </c>
      <c r="P918" s="3">
        <v>19332.310000000001</v>
      </c>
      <c r="Q918" s="4">
        <v>58.1</v>
      </c>
      <c r="R918" s="3">
        <v>11232.07</v>
      </c>
      <c r="S918" s="1" t="s">
        <v>40</v>
      </c>
    </row>
    <row r="919" spans="1:19" x14ac:dyDescent="0.3">
      <c r="A919" s="5" t="s">
        <v>1390</v>
      </c>
      <c r="B919" s="5" t="s">
        <v>906</v>
      </c>
      <c r="C919" s="5" t="s">
        <v>131</v>
      </c>
      <c r="D919" s="5" t="s">
        <v>69</v>
      </c>
      <c r="E919" s="6" t="s">
        <v>34</v>
      </c>
      <c r="F919" s="5" t="s">
        <v>35</v>
      </c>
      <c r="G919" s="5" t="s">
        <v>109</v>
      </c>
      <c r="H919" s="5" t="s">
        <v>189</v>
      </c>
      <c r="I919" s="5" t="s">
        <v>55</v>
      </c>
      <c r="J919" s="5" t="s">
        <v>93</v>
      </c>
      <c r="K919" s="5" t="s">
        <v>56</v>
      </c>
      <c r="L919" s="7">
        <v>29480.400000000001</v>
      </c>
      <c r="M919" s="5">
        <v>23</v>
      </c>
      <c r="N919" s="7">
        <v>678049.2</v>
      </c>
      <c r="O919" s="8">
        <v>17.100000000000001</v>
      </c>
      <c r="P919" s="7">
        <v>562102.79</v>
      </c>
      <c r="Q919" s="8">
        <v>45.2</v>
      </c>
      <c r="R919" s="7">
        <v>254070.46</v>
      </c>
      <c r="S919" s="5" t="s">
        <v>40</v>
      </c>
    </row>
    <row r="920" spans="1:19" x14ac:dyDescent="0.3">
      <c r="A920" s="1" t="s">
        <v>1391</v>
      </c>
      <c r="B920" s="1" t="s">
        <v>1047</v>
      </c>
      <c r="C920" s="1" t="s">
        <v>135</v>
      </c>
      <c r="D920" s="1" t="s">
        <v>69</v>
      </c>
      <c r="E920" s="2" t="s">
        <v>145</v>
      </c>
      <c r="F920" s="1" t="s">
        <v>62</v>
      </c>
      <c r="G920" s="1" t="s">
        <v>36</v>
      </c>
      <c r="H920" s="1" t="s">
        <v>105</v>
      </c>
      <c r="I920" s="1" t="s">
        <v>38</v>
      </c>
      <c r="J920" s="1" t="s">
        <v>28</v>
      </c>
      <c r="K920" s="1" t="s">
        <v>29</v>
      </c>
      <c r="L920" s="3">
        <v>448.2</v>
      </c>
      <c r="M920" s="1">
        <v>10</v>
      </c>
      <c r="N920" s="3">
        <v>4482</v>
      </c>
      <c r="O920" s="4">
        <v>3.3</v>
      </c>
      <c r="P920" s="3">
        <v>4334.09</v>
      </c>
      <c r="Q920" s="4">
        <v>55.1</v>
      </c>
      <c r="R920" s="3">
        <v>2388.08</v>
      </c>
      <c r="S920" s="1" t="s">
        <v>30</v>
      </c>
    </row>
    <row r="921" spans="1:19" x14ac:dyDescent="0.3">
      <c r="A921" s="5" t="s">
        <v>1392</v>
      </c>
      <c r="B921" s="5" t="s">
        <v>1393</v>
      </c>
      <c r="C921" s="5" t="s">
        <v>85</v>
      </c>
      <c r="D921" s="5" t="s">
        <v>86</v>
      </c>
      <c r="E921" s="6" t="s">
        <v>128</v>
      </c>
      <c r="F921" s="5" t="s">
        <v>45</v>
      </c>
      <c r="G921" s="5" t="s">
        <v>25</v>
      </c>
      <c r="H921" s="5" t="s">
        <v>46</v>
      </c>
      <c r="I921" s="5" t="s">
        <v>47</v>
      </c>
      <c r="J921" s="5" t="s">
        <v>47</v>
      </c>
      <c r="K921" s="5" t="s">
        <v>149</v>
      </c>
      <c r="L921" s="7">
        <v>112.72</v>
      </c>
      <c r="M921" s="5">
        <v>3</v>
      </c>
      <c r="N921" s="7">
        <v>338.16</v>
      </c>
      <c r="O921" s="8">
        <v>16.600000000000001</v>
      </c>
      <c r="P921" s="7">
        <v>282.02999999999997</v>
      </c>
      <c r="Q921" s="8">
        <v>33.5</v>
      </c>
      <c r="R921" s="7">
        <v>94.48</v>
      </c>
      <c r="S921" s="5" t="s">
        <v>30</v>
      </c>
    </row>
    <row r="922" spans="1:19" x14ac:dyDescent="0.3">
      <c r="A922" s="1" t="s">
        <v>1394</v>
      </c>
      <c r="B922" s="1" t="s">
        <v>388</v>
      </c>
      <c r="C922" s="1" t="s">
        <v>68</v>
      </c>
      <c r="D922" s="1" t="s">
        <v>69</v>
      </c>
      <c r="E922" s="2" t="s">
        <v>76</v>
      </c>
      <c r="F922" s="1" t="s">
        <v>45</v>
      </c>
      <c r="G922" s="1" t="s">
        <v>63</v>
      </c>
      <c r="H922" s="1" t="s">
        <v>87</v>
      </c>
      <c r="I922" s="1" t="s">
        <v>27</v>
      </c>
      <c r="J922" s="1" t="s">
        <v>47</v>
      </c>
      <c r="K922" s="1" t="s">
        <v>88</v>
      </c>
      <c r="L922" s="3">
        <v>383.68</v>
      </c>
      <c r="M922" s="1">
        <v>14</v>
      </c>
      <c r="N922" s="3">
        <v>5371.52</v>
      </c>
      <c r="O922" s="4">
        <v>17.3</v>
      </c>
      <c r="P922" s="3">
        <v>4442.25</v>
      </c>
      <c r="Q922" s="4">
        <v>36.4</v>
      </c>
      <c r="R922" s="3">
        <v>1616.98</v>
      </c>
      <c r="S922" s="1" t="s">
        <v>40</v>
      </c>
    </row>
    <row r="923" spans="1:19" x14ac:dyDescent="0.3">
      <c r="A923" s="5" t="s">
        <v>1395</v>
      </c>
      <c r="B923" s="5" t="s">
        <v>448</v>
      </c>
      <c r="C923" s="5" t="s">
        <v>33</v>
      </c>
      <c r="D923" s="5" t="s">
        <v>22</v>
      </c>
      <c r="E923" s="6" t="s">
        <v>128</v>
      </c>
      <c r="F923" s="5" t="s">
        <v>45</v>
      </c>
      <c r="G923" s="5" t="s">
        <v>109</v>
      </c>
      <c r="H923" s="5" t="s">
        <v>189</v>
      </c>
      <c r="I923" s="5" t="s">
        <v>72</v>
      </c>
      <c r="J923" s="5" t="s">
        <v>28</v>
      </c>
      <c r="K923" s="5" t="s">
        <v>29</v>
      </c>
      <c r="L923" s="7">
        <v>1028.0999999999999</v>
      </c>
      <c r="M923" s="5">
        <v>24</v>
      </c>
      <c r="N923" s="7">
        <v>24674.400000000001</v>
      </c>
      <c r="O923" s="8">
        <v>11.1</v>
      </c>
      <c r="P923" s="7">
        <v>21935.54</v>
      </c>
      <c r="Q923" s="8">
        <v>41.6</v>
      </c>
      <c r="R923" s="7">
        <v>9125.18</v>
      </c>
      <c r="S923" s="5" t="s">
        <v>40</v>
      </c>
    </row>
    <row r="924" spans="1:19" x14ac:dyDescent="0.3">
      <c r="A924" s="1" t="s">
        <v>1396</v>
      </c>
      <c r="B924" s="1" t="s">
        <v>394</v>
      </c>
      <c r="C924" s="1" t="s">
        <v>75</v>
      </c>
      <c r="D924" s="1" t="s">
        <v>60</v>
      </c>
      <c r="E924" s="2" t="s">
        <v>108</v>
      </c>
      <c r="F924" s="1" t="s">
        <v>35</v>
      </c>
      <c r="G924" s="1" t="s">
        <v>63</v>
      </c>
      <c r="H924" s="1" t="s">
        <v>167</v>
      </c>
      <c r="I924" s="1" t="s">
        <v>55</v>
      </c>
      <c r="J924" s="1" t="s">
        <v>65</v>
      </c>
      <c r="K924" s="1" t="s">
        <v>48</v>
      </c>
      <c r="L924" s="3">
        <v>19560.37</v>
      </c>
      <c r="M924" s="1">
        <v>8</v>
      </c>
      <c r="N924" s="3">
        <v>156482.96</v>
      </c>
      <c r="O924" s="4">
        <v>2.6</v>
      </c>
      <c r="P924" s="3">
        <v>152414.39999999999</v>
      </c>
      <c r="Q924" s="4">
        <v>32.200000000000003</v>
      </c>
      <c r="R924" s="3">
        <v>49077.440000000002</v>
      </c>
      <c r="S924" s="1" t="s">
        <v>40</v>
      </c>
    </row>
    <row r="925" spans="1:19" x14ac:dyDescent="0.3">
      <c r="A925" s="5" t="s">
        <v>1397</v>
      </c>
      <c r="B925" s="5" t="s">
        <v>300</v>
      </c>
      <c r="C925" s="5" t="s">
        <v>85</v>
      </c>
      <c r="D925" s="5" t="s">
        <v>86</v>
      </c>
      <c r="E925" s="6" t="s">
        <v>184</v>
      </c>
      <c r="F925" s="5" t="s">
        <v>45</v>
      </c>
      <c r="G925" s="5" t="s">
        <v>53</v>
      </c>
      <c r="H925" s="5" t="s">
        <v>54</v>
      </c>
      <c r="I925" s="5" t="s">
        <v>55</v>
      </c>
      <c r="J925" s="5" t="s">
        <v>65</v>
      </c>
      <c r="K925" s="5" t="s">
        <v>111</v>
      </c>
      <c r="L925" s="7">
        <v>238.19</v>
      </c>
      <c r="M925" s="5">
        <v>11</v>
      </c>
      <c r="N925" s="7">
        <v>2620.09</v>
      </c>
      <c r="O925" s="8">
        <v>2.1</v>
      </c>
      <c r="P925" s="7">
        <v>2565.0700000000002</v>
      </c>
      <c r="Q925" s="8">
        <v>32.1</v>
      </c>
      <c r="R925" s="7">
        <v>823.39</v>
      </c>
      <c r="S925" s="5" t="s">
        <v>79</v>
      </c>
    </row>
    <row r="926" spans="1:19" x14ac:dyDescent="0.3">
      <c r="A926" s="1" t="s">
        <v>1398</v>
      </c>
      <c r="B926" s="1" t="s">
        <v>594</v>
      </c>
      <c r="C926" s="1" t="s">
        <v>33</v>
      </c>
      <c r="D926" s="1" t="s">
        <v>22</v>
      </c>
      <c r="E926" s="2" t="s">
        <v>82</v>
      </c>
      <c r="F926" s="1" t="s">
        <v>24</v>
      </c>
      <c r="G926" s="1" t="s">
        <v>25</v>
      </c>
      <c r="H926" s="1" t="s">
        <v>46</v>
      </c>
      <c r="I926" s="1" t="s">
        <v>72</v>
      </c>
      <c r="J926" s="1" t="s">
        <v>28</v>
      </c>
      <c r="K926" s="1" t="s">
        <v>48</v>
      </c>
      <c r="L926" s="3">
        <v>44654.05</v>
      </c>
      <c r="M926" s="1">
        <v>2</v>
      </c>
      <c r="N926" s="3">
        <v>89308.1</v>
      </c>
      <c r="O926" s="4">
        <v>15.9</v>
      </c>
      <c r="P926" s="3">
        <v>75108.11</v>
      </c>
      <c r="Q926" s="4">
        <v>18.8</v>
      </c>
      <c r="R926" s="3">
        <v>14120.32</v>
      </c>
      <c r="S926" s="1" t="s">
        <v>40</v>
      </c>
    </row>
    <row r="927" spans="1:19" x14ac:dyDescent="0.3">
      <c r="A927" s="5" t="s">
        <v>1399</v>
      </c>
      <c r="B927" s="5" t="s">
        <v>343</v>
      </c>
      <c r="C927" s="5" t="s">
        <v>131</v>
      </c>
      <c r="D927" s="5" t="s">
        <v>69</v>
      </c>
      <c r="E927" s="6" t="s">
        <v>108</v>
      </c>
      <c r="F927" s="5" t="s">
        <v>35</v>
      </c>
      <c r="G927" s="5" t="s">
        <v>53</v>
      </c>
      <c r="H927" s="5" t="s">
        <v>98</v>
      </c>
      <c r="I927" s="5" t="s">
        <v>38</v>
      </c>
      <c r="J927" s="5" t="s">
        <v>93</v>
      </c>
      <c r="K927" s="5" t="s">
        <v>149</v>
      </c>
      <c r="L927" s="7">
        <v>39106.53</v>
      </c>
      <c r="M927" s="5">
        <v>16</v>
      </c>
      <c r="N927" s="7">
        <v>625704.48</v>
      </c>
      <c r="O927" s="8">
        <v>18.5</v>
      </c>
      <c r="P927" s="7">
        <v>509949.15</v>
      </c>
      <c r="Q927" s="8">
        <v>43.3</v>
      </c>
      <c r="R927" s="7">
        <v>220807.98</v>
      </c>
      <c r="S927" s="5" t="s">
        <v>112</v>
      </c>
    </row>
    <row r="928" spans="1:19" x14ac:dyDescent="0.3">
      <c r="A928" s="1" t="s">
        <v>1400</v>
      </c>
      <c r="B928" s="1" t="s">
        <v>364</v>
      </c>
      <c r="C928" s="1" t="s">
        <v>59</v>
      </c>
      <c r="D928" s="1" t="s">
        <v>60</v>
      </c>
      <c r="E928" s="2" t="s">
        <v>34</v>
      </c>
      <c r="F928" s="1" t="s">
        <v>35</v>
      </c>
      <c r="G928" s="1" t="s">
        <v>36</v>
      </c>
      <c r="H928" s="1" t="s">
        <v>119</v>
      </c>
      <c r="I928" s="1" t="s">
        <v>72</v>
      </c>
      <c r="J928" s="1" t="s">
        <v>65</v>
      </c>
      <c r="K928" s="1" t="s">
        <v>56</v>
      </c>
      <c r="L928" s="3">
        <v>15346.64</v>
      </c>
      <c r="M928" s="1">
        <v>2</v>
      </c>
      <c r="N928" s="3">
        <v>30693.279999999999</v>
      </c>
      <c r="O928" s="4">
        <v>19.100000000000001</v>
      </c>
      <c r="P928" s="3">
        <v>24830.86</v>
      </c>
      <c r="Q928" s="4">
        <v>43.8</v>
      </c>
      <c r="R928" s="3">
        <v>10875.92</v>
      </c>
      <c r="S928" s="1" t="s">
        <v>40</v>
      </c>
    </row>
    <row r="929" spans="1:19" x14ac:dyDescent="0.3">
      <c r="A929" s="5" t="s">
        <v>1401</v>
      </c>
      <c r="B929" s="5" t="s">
        <v>100</v>
      </c>
      <c r="C929" s="5" t="s">
        <v>101</v>
      </c>
      <c r="D929" s="5" t="s">
        <v>60</v>
      </c>
      <c r="E929" s="6" t="s">
        <v>279</v>
      </c>
      <c r="F929" s="5" t="s">
        <v>166</v>
      </c>
      <c r="G929" s="5" t="s">
        <v>25</v>
      </c>
      <c r="H929" s="5" t="s">
        <v>215</v>
      </c>
      <c r="I929" s="5" t="s">
        <v>38</v>
      </c>
      <c r="J929" s="5" t="s">
        <v>28</v>
      </c>
      <c r="K929" s="5" t="s">
        <v>102</v>
      </c>
      <c r="L929" s="7">
        <v>2492.09</v>
      </c>
      <c r="M929" s="5">
        <v>16</v>
      </c>
      <c r="N929" s="7">
        <v>39873.440000000002</v>
      </c>
      <c r="O929" s="8">
        <v>23.8</v>
      </c>
      <c r="P929" s="7">
        <v>30383.56</v>
      </c>
      <c r="Q929" s="8">
        <v>47.4</v>
      </c>
      <c r="R929" s="7">
        <v>14401.81</v>
      </c>
      <c r="S929" s="5" t="s">
        <v>40</v>
      </c>
    </row>
    <row r="930" spans="1:19" x14ac:dyDescent="0.3">
      <c r="A930" s="1" t="s">
        <v>1402</v>
      </c>
      <c r="B930" s="1" t="s">
        <v>826</v>
      </c>
      <c r="C930" s="1" t="s">
        <v>21</v>
      </c>
      <c r="D930" s="1" t="s">
        <v>22</v>
      </c>
      <c r="E930" s="2" t="s">
        <v>177</v>
      </c>
      <c r="F930" s="1" t="s">
        <v>166</v>
      </c>
      <c r="G930" s="1" t="s">
        <v>53</v>
      </c>
      <c r="H930" s="1" t="s">
        <v>71</v>
      </c>
      <c r="I930" s="1" t="s">
        <v>72</v>
      </c>
      <c r="J930" s="1" t="s">
        <v>28</v>
      </c>
      <c r="K930" s="1" t="s">
        <v>39</v>
      </c>
      <c r="L930" s="3">
        <v>3689.4</v>
      </c>
      <c r="M930" s="1">
        <v>19</v>
      </c>
      <c r="N930" s="3">
        <v>70098.600000000006</v>
      </c>
      <c r="O930" s="4">
        <v>0.2</v>
      </c>
      <c r="P930" s="3">
        <v>69958.399999999994</v>
      </c>
      <c r="Q930" s="4">
        <v>49</v>
      </c>
      <c r="R930" s="3">
        <v>34279.620000000003</v>
      </c>
      <c r="S930" s="1" t="s">
        <v>40</v>
      </c>
    </row>
    <row r="931" spans="1:19" x14ac:dyDescent="0.3">
      <c r="A931" s="5" t="s">
        <v>1403</v>
      </c>
      <c r="B931" s="5" t="s">
        <v>489</v>
      </c>
      <c r="C931" s="5" t="s">
        <v>75</v>
      </c>
      <c r="D931" s="5" t="s">
        <v>60</v>
      </c>
      <c r="E931" s="6" t="s">
        <v>224</v>
      </c>
      <c r="F931" s="5" t="s">
        <v>166</v>
      </c>
      <c r="G931" s="5" t="s">
        <v>53</v>
      </c>
      <c r="H931" s="5" t="s">
        <v>77</v>
      </c>
      <c r="I931" s="5" t="s">
        <v>47</v>
      </c>
      <c r="J931" s="5" t="s">
        <v>47</v>
      </c>
      <c r="K931" s="5" t="s">
        <v>48</v>
      </c>
      <c r="L931" s="7">
        <v>2569.34</v>
      </c>
      <c r="M931" s="5">
        <v>9</v>
      </c>
      <c r="N931" s="7">
        <v>23124.06</v>
      </c>
      <c r="O931" s="8">
        <v>3.4</v>
      </c>
      <c r="P931" s="7">
        <v>22337.84</v>
      </c>
      <c r="Q931" s="8">
        <v>51</v>
      </c>
      <c r="R931" s="7">
        <v>11392.3</v>
      </c>
      <c r="S931" s="5" t="s">
        <v>40</v>
      </c>
    </row>
    <row r="932" spans="1:19" x14ac:dyDescent="0.3">
      <c r="A932" s="1" t="s">
        <v>1404</v>
      </c>
      <c r="B932" s="1" t="s">
        <v>985</v>
      </c>
      <c r="C932" s="1" t="s">
        <v>117</v>
      </c>
      <c r="D932" s="1" t="s">
        <v>86</v>
      </c>
      <c r="E932" s="2" t="s">
        <v>201</v>
      </c>
      <c r="F932" s="1" t="s">
        <v>24</v>
      </c>
      <c r="G932" s="1" t="s">
        <v>53</v>
      </c>
      <c r="H932" s="1" t="s">
        <v>98</v>
      </c>
      <c r="I932" s="1" t="s">
        <v>55</v>
      </c>
      <c r="J932" s="1" t="s">
        <v>47</v>
      </c>
      <c r="K932" s="1" t="s">
        <v>56</v>
      </c>
      <c r="L932" s="3">
        <v>72339.48</v>
      </c>
      <c r="M932" s="1">
        <v>21</v>
      </c>
      <c r="N932" s="3">
        <v>1519129.08</v>
      </c>
      <c r="O932" s="4">
        <v>19.8</v>
      </c>
      <c r="P932" s="3">
        <v>1218341.52</v>
      </c>
      <c r="Q932" s="4">
        <v>31</v>
      </c>
      <c r="R932" s="3">
        <v>377685.87</v>
      </c>
      <c r="S932" s="1" t="s">
        <v>30</v>
      </c>
    </row>
    <row r="933" spans="1:19" x14ac:dyDescent="0.3">
      <c r="A933" s="5" t="s">
        <v>1405</v>
      </c>
      <c r="B933" s="5" t="s">
        <v>200</v>
      </c>
      <c r="C933" s="5" t="s">
        <v>43</v>
      </c>
      <c r="D933" s="5" t="s">
        <v>22</v>
      </c>
      <c r="E933" s="6" t="s">
        <v>180</v>
      </c>
      <c r="F933" s="5" t="s">
        <v>166</v>
      </c>
      <c r="G933" s="5" t="s">
        <v>53</v>
      </c>
      <c r="H933" s="5" t="s">
        <v>54</v>
      </c>
      <c r="I933" s="5" t="s">
        <v>55</v>
      </c>
      <c r="J933" s="5" t="s">
        <v>28</v>
      </c>
      <c r="K933" s="5" t="s">
        <v>29</v>
      </c>
      <c r="L933" s="7">
        <v>1325.79</v>
      </c>
      <c r="M933" s="5">
        <v>15</v>
      </c>
      <c r="N933" s="7">
        <v>19886.849999999999</v>
      </c>
      <c r="O933" s="8">
        <v>24.9</v>
      </c>
      <c r="P933" s="7">
        <v>14935.02</v>
      </c>
      <c r="Q933" s="8">
        <v>43.2</v>
      </c>
      <c r="R933" s="7">
        <v>6451.93</v>
      </c>
      <c r="S933" s="5" t="s">
        <v>40</v>
      </c>
    </row>
    <row r="934" spans="1:19" x14ac:dyDescent="0.3">
      <c r="A934" s="1" t="s">
        <v>1406</v>
      </c>
      <c r="B934" s="1" t="s">
        <v>755</v>
      </c>
      <c r="C934" s="1" t="s">
        <v>33</v>
      </c>
      <c r="D934" s="1" t="s">
        <v>22</v>
      </c>
      <c r="E934" s="2" t="s">
        <v>320</v>
      </c>
      <c r="F934" s="1" t="s">
        <v>24</v>
      </c>
      <c r="G934" s="1" t="s">
        <v>53</v>
      </c>
      <c r="H934" s="1" t="s">
        <v>71</v>
      </c>
      <c r="I934" s="1" t="s">
        <v>47</v>
      </c>
      <c r="J934" s="1" t="s">
        <v>28</v>
      </c>
      <c r="K934" s="1" t="s">
        <v>78</v>
      </c>
      <c r="L934" s="3">
        <v>46028.11</v>
      </c>
      <c r="M934" s="1">
        <v>18</v>
      </c>
      <c r="N934" s="3">
        <v>828505.98</v>
      </c>
      <c r="O934" s="4">
        <v>18.899999999999999</v>
      </c>
      <c r="P934" s="3">
        <v>671918.35</v>
      </c>
      <c r="Q934" s="4">
        <v>12.6</v>
      </c>
      <c r="R934" s="3">
        <v>84661.71</v>
      </c>
      <c r="S934" s="1" t="s">
        <v>40</v>
      </c>
    </row>
    <row r="935" spans="1:19" x14ac:dyDescent="0.3">
      <c r="A935" s="5" t="s">
        <v>1407</v>
      </c>
      <c r="B935" s="5" t="s">
        <v>364</v>
      </c>
      <c r="C935" s="5" t="s">
        <v>59</v>
      </c>
      <c r="D935" s="5" t="s">
        <v>60</v>
      </c>
      <c r="E935" s="6" t="s">
        <v>279</v>
      </c>
      <c r="F935" s="5" t="s">
        <v>166</v>
      </c>
      <c r="G935" s="5" t="s">
        <v>25</v>
      </c>
      <c r="H935" s="5" t="s">
        <v>215</v>
      </c>
      <c r="I935" s="5" t="s">
        <v>47</v>
      </c>
      <c r="J935" s="5" t="s">
        <v>47</v>
      </c>
      <c r="K935" s="5" t="s">
        <v>48</v>
      </c>
      <c r="L935" s="7">
        <v>1120.56</v>
      </c>
      <c r="M935" s="5">
        <v>8</v>
      </c>
      <c r="N935" s="7">
        <v>8964.48</v>
      </c>
      <c r="O935" s="8">
        <v>11.9</v>
      </c>
      <c r="P935" s="7">
        <v>7897.71</v>
      </c>
      <c r="Q935" s="8">
        <v>57.6</v>
      </c>
      <c r="R935" s="7">
        <v>4549.08</v>
      </c>
      <c r="S935" s="5" t="s">
        <v>40</v>
      </c>
    </row>
    <row r="936" spans="1:19" x14ac:dyDescent="0.3">
      <c r="A936" s="1" t="s">
        <v>1408</v>
      </c>
      <c r="B936" s="1" t="s">
        <v>557</v>
      </c>
      <c r="C936" s="1" t="s">
        <v>101</v>
      </c>
      <c r="D936" s="1" t="s">
        <v>60</v>
      </c>
      <c r="E936" s="2" t="s">
        <v>23</v>
      </c>
      <c r="F936" s="1" t="s">
        <v>24</v>
      </c>
      <c r="G936" s="1" t="s">
        <v>25</v>
      </c>
      <c r="H936" s="1" t="s">
        <v>215</v>
      </c>
      <c r="I936" s="1" t="s">
        <v>27</v>
      </c>
      <c r="J936" s="1" t="s">
        <v>47</v>
      </c>
      <c r="K936" s="1" t="s">
        <v>78</v>
      </c>
      <c r="L936" s="3">
        <v>59054.03</v>
      </c>
      <c r="M936" s="1">
        <v>4</v>
      </c>
      <c r="N936" s="3">
        <v>236216.12</v>
      </c>
      <c r="O936" s="4">
        <v>24.8</v>
      </c>
      <c r="P936" s="3">
        <v>177634.52</v>
      </c>
      <c r="Q936" s="4">
        <v>28</v>
      </c>
      <c r="R936" s="3">
        <v>49737.67</v>
      </c>
      <c r="S936" s="1" t="s">
        <v>40</v>
      </c>
    </row>
    <row r="937" spans="1:19" x14ac:dyDescent="0.3">
      <c r="A937" s="5" t="s">
        <v>1409</v>
      </c>
      <c r="B937" s="5" t="s">
        <v>755</v>
      </c>
      <c r="C937" s="5" t="s">
        <v>33</v>
      </c>
      <c r="D937" s="5" t="s">
        <v>22</v>
      </c>
      <c r="E937" s="6" t="s">
        <v>174</v>
      </c>
      <c r="F937" s="5" t="s">
        <v>45</v>
      </c>
      <c r="G937" s="5" t="s">
        <v>36</v>
      </c>
      <c r="H937" s="5" t="s">
        <v>37</v>
      </c>
      <c r="I937" s="5" t="s">
        <v>38</v>
      </c>
      <c r="J937" s="5" t="s">
        <v>47</v>
      </c>
      <c r="K937" s="5" t="s">
        <v>48</v>
      </c>
      <c r="L937" s="7">
        <v>695.81</v>
      </c>
      <c r="M937" s="5">
        <v>2</v>
      </c>
      <c r="N937" s="7">
        <v>1391.62</v>
      </c>
      <c r="O937" s="8">
        <v>16.7</v>
      </c>
      <c r="P937" s="7">
        <v>1159.22</v>
      </c>
      <c r="Q937" s="8">
        <v>30</v>
      </c>
      <c r="R937" s="7">
        <v>347.77</v>
      </c>
      <c r="S937" s="5" t="s">
        <v>40</v>
      </c>
    </row>
    <row r="938" spans="1:19" x14ac:dyDescent="0.3">
      <c r="A938" s="1" t="s">
        <v>1410</v>
      </c>
      <c r="B938" s="1" t="s">
        <v>1411</v>
      </c>
      <c r="C938" s="1" t="s">
        <v>33</v>
      </c>
      <c r="D938" s="1" t="s">
        <v>22</v>
      </c>
      <c r="E938" s="2" t="s">
        <v>51</v>
      </c>
      <c r="F938" s="1" t="s">
        <v>52</v>
      </c>
      <c r="G938" s="1" t="s">
        <v>53</v>
      </c>
      <c r="H938" s="1" t="s">
        <v>54</v>
      </c>
      <c r="I938" s="1" t="s">
        <v>55</v>
      </c>
      <c r="J938" s="1" t="s">
        <v>28</v>
      </c>
      <c r="K938" s="1" t="s">
        <v>159</v>
      </c>
      <c r="L938" s="3">
        <v>1369.21</v>
      </c>
      <c r="M938" s="1">
        <v>3</v>
      </c>
      <c r="N938" s="3">
        <v>4107.63</v>
      </c>
      <c r="O938" s="4">
        <v>12.7</v>
      </c>
      <c r="P938" s="3">
        <v>3585.96</v>
      </c>
      <c r="Q938" s="4">
        <v>27</v>
      </c>
      <c r="R938" s="3">
        <v>968.21</v>
      </c>
      <c r="S938" s="1" t="s">
        <v>40</v>
      </c>
    </row>
    <row r="939" spans="1:19" x14ac:dyDescent="0.3">
      <c r="A939" s="5" t="s">
        <v>1412</v>
      </c>
      <c r="B939" s="5" t="s">
        <v>800</v>
      </c>
      <c r="C939" s="5" t="s">
        <v>59</v>
      </c>
      <c r="D939" s="5" t="s">
        <v>60</v>
      </c>
      <c r="E939" s="6" t="s">
        <v>213</v>
      </c>
      <c r="F939" s="5" t="s">
        <v>62</v>
      </c>
      <c r="G939" s="5" t="s">
        <v>25</v>
      </c>
      <c r="H939" s="5" t="s">
        <v>215</v>
      </c>
      <c r="I939" s="5" t="s">
        <v>47</v>
      </c>
      <c r="J939" s="5" t="s">
        <v>28</v>
      </c>
      <c r="K939" s="5" t="s">
        <v>78</v>
      </c>
      <c r="L939" s="7">
        <v>1776.54</v>
      </c>
      <c r="M939" s="5">
        <v>22</v>
      </c>
      <c r="N939" s="7">
        <v>39083.879999999997</v>
      </c>
      <c r="O939" s="8">
        <v>9</v>
      </c>
      <c r="P939" s="7">
        <v>35566.33</v>
      </c>
      <c r="Q939" s="8">
        <v>59.6</v>
      </c>
      <c r="R939" s="7">
        <v>21197.53</v>
      </c>
      <c r="S939" s="5" t="s">
        <v>40</v>
      </c>
    </row>
    <row r="940" spans="1:19" x14ac:dyDescent="0.3">
      <c r="A940" s="1" t="s">
        <v>1413</v>
      </c>
      <c r="B940" s="1" t="s">
        <v>461</v>
      </c>
      <c r="C940" s="1" t="s">
        <v>117</v>
      </c>
      <c r="D940" s="1" t="s">
        <v>86</v>
      </c>
      <c r="E940" s="2" t="s">
        <v>224</v>
      </c>
      <c r="F940" s="1" t="s">
        <v>166</v>
      </c>
      <c r="G940" s="1" t="s">
        <v>36</v>
      </c>
      <c r="H940" s="1" t="s">
        <v>105</v>
      </c>
      <c r="I940" s="1" t="s">
        <v>38</v>
      </c>
      <c r="J940" s="1" t="s">
        <v>28</v>
      </c>
      <c r="K940" s="1" t="s">
        <v>159</v>
      </c>
      <c r="L940" s="3">
        <v>3847.79</v>
      </c>
      <c r="M940" s="1">
        <v>25</v>
      </c>
      <c r="N940" s="3">
        <v>96194.75</v>
      </c>
      <c r="O940" s="4">
        <v>9.9</v>
      </c>
      <c r="P940" s="3">
        <v>86671.47</v>
      </c>
      <c r="Q940" s="4">
        <v>39.9</v>
      </c>
      <c r="R940" s="3">
        <v>34581.919999999998</v>
      </c>
      <c r="S940" s="1" t="s">
        <v>40</v>
      </c>
    </row>
    <row r="941" spans="1:19" x14ac:dyDescent="0.3">
      <c r="A941" s="5" t="s">
        <v>1414</v>
      </c>
      <c r="B941" s="5" t="s">
        <v>1415</v>
      </c>
      <c r="C941" s="5" t="s">
        <v>96</v>
      </c>
      <c r="D941" s="5" t="s">
        <v>86</v>
      </c>
      <c r="E941" s="6" t="s">
        <v>114</v>
      </c>
      <c r="F941" s="5" t="s">
        <v>45</v>
      </c>
      <c r="G941" s="5" t="s">
        <v>25</v>
      </c>
      <c r="H941" s="5" t="s">
        <v>132</v>
      </c>
      <c r="I941" s="5" t="s">
        <v>55</v>
      </c>
      <c r="J941" s="5" t="s">
        <v>28</v>
      </c>
      <c r="K941" s="5" t="s">
        <v>88</v>
      </c>
      <c r="L941" s="7">
        <v>1496.75</v>
      </c>
      <c r="M941" s="5">
        <v>5</v>
      </c>
      <c r="N941" s="7">
        <v>7483.75</v>
      </c>
      <c r="O941" s="8">
        <v>8.6999999999999993</v>
      </c>
      <c r="P941" s="7">
        <v>6832.66</v>
      </c>
      <c r="Q941" s="8">
        <v>33</v>
      </c>
      <c r="R941" s="7">
        <v>2254.7800000000002</v>
      </c>
      <c r="S941" s="5" t="s">
        <v>30</v>
      </c>
    </row>
    <row r="942" spans="1:19" x14ac:dyDescent="0.3">
      <c r="A942" s="1" t="s">
        <v>1416</v>
      </c>
      <c r="B942" s="1" t="s">
        <v>751</v>
      </c>
      <c r="C942" s="1" t="s">
        <v>75</v>
      </c>
      <c r="D942" s="1" t="s">
        <v>60</v>
      </c>
      <c r="E942" s="2" t="s">
        <v>82</v>
      </c>
      <c r="F942" s="1" t="s">
        <v>24</v>
      </c>
      <c r="G942" s="1" t="s">
        <v>53</v>
      </c>
      <c r="H942" s="1" t="s">
        <v>98</v>
      </c>
      <c r="I942" s="1" t="s">
        <v>38</v>
      </c>
      <c r="J942" s="1" t="s">
        <v>93</v>
      </c>
      <c r="K942" s="1" t="s">
        <v>39</v>
      </c>
      <c r="L942" s="3">
        <v>30937.3</v>
      </c>
      <c r="M942" s="1">
        <v>7</v>
      </c>
      <c r="N942" s="3">
        <v>216561.1</v>
      </c>
      <c r="O942" s="4">
        <v>10.3</v>
      </c>
      <c r="P942" s="3">
        <v>194255.31</v>
      </c>
      <c r="Q942" s="4">
        <v>26.2</v>
      </c>
      <c r="R942" s="3">
        <v>50894.89</v>
      </c>
      <c r="S942" s="1" t="s">
        <v>40</v>
      </c>
    </row>
    <row r="943" spans="1:19" x14ac:dyDescent="0.3">
      <c r="A943" s="5" t="s">
        <v>1417</v>
      </c>
      <c r="B943" s="5" t="s">
        <v>1265</v>
      </c>
      <c r="C943" s="5" t="s">
        <v>33</v>
      </c>
      <c r="D943" s="5" t="s">
        <v>22</v>
      </c>
      <c r="E943" s="6" t="s">
        <v>165</v>
      </c>
      <c r="F943" s="5" t="s">
        <v>166</v>
      </c>
      <c r="G943" s="5" t="s">
        <v>63</v>
      </c>
      <c r="H943" s="5" t="s">
        <v>87</v>
      </c>
      <c r="I943" s="5" t="s">
        <v>27</v>
      </c>
      <c r="J943" s="5" t="s">
        <v>47</v>
      </c>
      <c r="K943" s="5" t="s">
        <v>111</v>
      </c>
      <c r="L943" s="7">
        <v>1647.29</v>
      </c>
      <c r="M943" s="5">
        <v>5</v>
      </c>
      <c r="N943" s="7">
        <v>8236.4500000000007</v>
      </c>
      <c r="O943" s="8">
        <v>16.7</v>
      </c>
      <c r="P943" s="7">
        <v>6860.96</v>
      </c>
      <c r="Q943" s="8">
        <v>39.4</v>
      </c>
      <c r="R943" s="7">
        <v>2703.22</v>
      </c>
      <c r="S943" s="5" t="s">
        <v>79</v>
      </c>
    </row>
    <row r="944" spans="1:19" x14ac:dyDescent="0.3">
      <c r="A944" s="1" t="s">
        <v>1418</v>
      </c>
      <c r="B944" s="1" t="s">
        <v>499</v>
      </c>
      <c r="C944" s="1" t="s">
        <v>75</v>
      </c>
      <c r="D944" s="1" t="s">
        <v>60</v>
      </c>
      <c r="E944" s="2" t="s">
        <v>108</v>
      </c>
      <c r="F944" s="1" t="s">
        <v>35</v>
      </c>
      <c r="G944" s="1" t="s">
        <v>63</v>
      </c>
      <c r="H944" s="1" t="s">
        <v>64</v>
      </c>
      <c r="I944" s="1" t="s">
        <v>27</v>
      </c>
      <c r="J944" s="1" t="s">
        <v>28</v>
      </c>
      <c r="K944" s="1" t="s">
        <v>149</v>
      </c>
      <c r="L944" s="3">
        <v>35871.040000000001</v>
      </c>
      <c r="M944" s="1">
        <v>4</v>
      </c>
      <c r="N944" s="3">
        <v>143484.16</v>
      </c>
      <c r="O944" s="4">
        <v>24.2</v>
      </c>
      <c r="P944" s="3">
        <v>108760.99</v>
      </c>
      <c r="Q944" s="4">
        <v>30.8</v>
      </c>
      <c r="R944" s="3">
        <v>33498.379999999997</v>
      </c>
      <c r="S944" s="1" t="s">
        <v>40</v>
      </c>
    </row>
    <row r="945" spans="1:19" x14ac:dyDescent="0.3">
      <c r="A945" s="5" t="s">
        <v>1419</v>
      </c>
      <c r="B945" s="5" t="s">
        <v>600</v>
      </c>
      <c r="C945" s="5" t="s">
        <v>21</v>
      </c>
      <c r="D945" s="5" t="s">
        <v>22</v>
      </c>
      <c r="E945" s="6" t="s">
        <v>303</v>
      </c>
      <c r="F945" s="5" t="s">
        <v>62</v>
      </c>
      <c r="G945" s="5" t="s">
        <v>63</v>
      </c>
      <c r="H945" s="5" t="s">
        <v>167</v>
      </c>
      <c r="I945" s="5" t="s">
        <v>38</v>
      </c>
      <c r="J945" s="5" t="s">
        <v>47</v>
      </c>
      <c r="K945" s="5" t="s">
        <v>29</v>
      </c>
      <c r="L945" s="7">
        <v>3863.27</v>
      </c>
      <c r="M945" s="5">
        <v>20</v>
      </c>
      <c r="N945" s="7">
        <v>77265.399999999994</v>
      </c>
      <c r="O945" s="8">
        <v>13.5</v>
      </c>
      <c r="P945" s="7">
        <v>66834.570000000007</v>
      </c>
      <c r="Q945" s="8">
        <v>68.2</v>
      </c>
      <c r="R945" s="7">
        <v>45581.18</v>
      </c>
      <c r="S945" s="5" t="s">
        <v>40</v>
      </c>
    </row>
    <row r="946" spans="1:19" x14ac:dyDescent="0.3">
      <c r="A946" s="1" t="s">
        <v>1420</v>
      </c>
      <c r="B946" s="1" t="s">
        <v>1163</v>
      </c>
      <c r="C946" s="1" t="s">
        <v>21</v>
      </c>
      <c r="D946" s="1" t="s">
        <v>22</v>
      </c>
      <c r="E946" s="2" t="s">
        <v>180</v>
      </c>
      <c r="F946" s="1" t="s">
        <v>166</v>
      </c>
      <c r="G946" s="1" t="s">
        <v>109</v>
      </c>
      <c r="H946" s="1" t="s">
        <v>122</v>
      </c>
      <c r="I946" s="1" t="s">
        <v>55</v>
      </c>
      <c r="J946" s="1" t="s">
        <v>47</v>
      </c>
      <c r="K946" s="1" t="s">
        <v>159</v>
      </c>
      <c r="L946" s="3">
        <v>3727.53</v>
      </c>
      <c r="M946" s="1">
        <v>5</v>
      </c>
      <c r="N946" s="3">
        <v>18637.650000000001</v>
      </c>
      <c r="O946" s="4">
        <v>15</v>
      </c>
      <c r="P946" s="3">
        <v>15842</v>
      </c>
      <c r="Q946" s="4">
        <v>59.2</v>
      </c>
      <c r="R946" s="3">
        <v>9378.4599999999991</v>
      </c>
      <c r="S946" s="1" t="s">
        <v>40</v>
      </c>
    </row>
    <row r="947" spans="1:19" x14ac:dyDescent="0.3">
      <c r="A947" s="5" t="s">
        <v>1421</v>
      </c>
      <c r="B947" s="5" t="s">
        <v>824</v>
      </c>
      <c r="C947" s="5" t="s">
        <v>135</v>
      </c>
      <c r="D947" s="5" t="s">
        <v>69</v>
      </c>
      <c r="E947" s="6" t="s">
        <v>194</v>
      </c>
      <c r="F947" s="5" t="s">
        <v>52</v>
      </c>
      <c r="G947" s="5" t="s">
        <v>36</v>
      </c>
      <c r="H947" s="5" t="s">
        <v>105</v>
      </c>
      <c r="I947" s="5" t="s">
        <v>27</v>
      </c>
      <c r="J947" s="5" t="s">
        <v>47</v>
      </c>
      <c r="K947" s="5" t="s">
        <v>78</v>
      </c>
      <c r="L947" s="7">
        <v>7037.58</v>
      </c>
      <c r="M947" s="5">
        <v>1</v>
      </c>
      <c r="N947" s="7">
        <v>7037.58</v>
      </c>
      <c r="O947" s="8">
        <v>18.8</v>
      </c>
      <c r="P947" s="7">
        <v>5714.51</v>
      </c>
      <c r="Q947" s="8">
        <v>41.1</v>
      </c>
      <c r="R947" s="7">
        <v>2348.66</v>
      </c>
      <c r="S947" s="5" t="s">
        <v>79</v>
      </c>
    </row>
    <row r="948" spans="1:19" x14ac:dyDescent="0.3">
      <c r="A948" s="1" t="s">
        <v>1422</v>
      </c>
      <c r="B948" s="1" t="s">
        <v>898</v>
      </c>
      <c r="C948" s="1" t="s">
        <v>43</v>
      </c>
      <c r="D948" s="1" t="s">
        <v>22</v>
      </c>
      <c r="E948" s="2" t="s">
        <v>82</v>
      </c>
      <c r="F948" s="1" t="s">
        <v>24</v>
      </c>
      <c r="G948" s="1" t="s">
        <v>36</v>
      </c>
      <c r="H948" s="1" t="s">
        <v>37</v>
      </c>
      <c r="I948" s="1" t="s">
        <v>47</v>
      </c>
      <c r="J948" s="1" t="s">
        <v>93</v>
      </c>
      <c r="K948" s="1" t="s">
        <v>48</v>
      </c>
      <c r="L948" s="3">
        <v>34983.800000000003</v>
      </c>
      <c r="M948" s="1">
        <v>5</v>
      </c>
      <c r="N948" s="3">
        <v>174919</v>
      </c>
      <c r="O948" s="4">
        <v>22.3</v>
      </c>
      <c r="P948" s="3">
        <v>135912.06</v>
      </c>
      <c r="Q948" s="4">
        <v>18.5</v>
      </c>
      <c r="R948" s="3">
        <v>25143.73</v>
      </c>
      <c r="S948" s="1" t="s">
        <v>79</v>
      </c>
    </row>
    <row r="949" spans="1:19" x14ac:dyDescent="0.3">
      <c r="A949" s="5" t="s">
        <v>1423</v>
      </c>
      <c r="B949" s="5" t="s">
        <v>1362</v>
      </c>
      <c r="C949" s="5" t="s">
        <v>131</v>
      </c>
      <c r="D949" s="5" t="s">
        <v>69</v>
      </c>
      <c r="E949" s="6" t="s">
        <v>303</v>
      </c>
      <c r="F949" s="5" t="s">
        <v>62</v>
      </c>
      <c r="G949" s="5" t="s">
        <v>36</v>
      </c>
      <c r="H949" s="5" t="s">
        <v>119</v>
      </c>
      <c r="I949" s="5" t="s">
        <v>72</v>
      </c>
      <c r="J949" s="5" t="s">
        <v>28</v>
      </c>
      <c r="K949" s="5" t="s">
        <v>56</v>
      </c>
      <c r="L949" s="7">
        <v>2709.28</v>
      </c>
      <c r="M949" s="5">
        <v>19</v>
      </c>
      <c r="N949" s="7">
        <v>51476.32</v>
      </c>
      <c r="O949" s="8">
        <v>8.9</v>
      </c>
      <c r="P949" s="7">
        <v>46894.93</v>
      </c>
      <c r="Q949" s="8">
        <v>60.9</v>
      </c>
      <c r="R949" s="7">
        <v>28559.01</v>
      </c>
      <c r="S949" s="5" t="s">
        <v>40</v>
      </c>
    </row>
    <row r="950" spans="1:19" x14ac:dyDescent="0.3">
      <c r="A950" s="1" t="s">
        <v>1424</v>
      </c>
      <c r="B950" s="1" t="s">
        <v>443</v>
      </c>
      <c r="C950" s="1" t="s">
        <v>75</v>
      </c>
      <c r="D950" s="1" t="s">
        <v>60</v>
      </c>
      <c r="E950" s="2" t="s">
        <v>246</v>
      </c>
      <c r="F950" s="1" t="s">
        <v>52</v>
      </c>
      <c r="G950" s="1" t="s">
        <v>63</v>
      </c>
      <c r="H950" s="1" t="s">
        <v>87</v>
      </c>
      <c r="I950" s="1" t="s">
        <v>72</v>
      </c>
      <c r="J950" s="1" t="s">
        <v>65</v>
      </c>
      <c r="K950" s="1" t="s">
        <v>39</v>
      </c>
      <c r="L950" s="3">
        <v>6438.87</v>
      </c>
      <c r="M950" s="1">
        <v>15</v>
      </c>
      <c r="N950" s="3">
        <v>96583.05</v>
      </c>
      <c r="O950" s="4">
        <v>19.5</v>
      </c>
      <c r="P950" s="3">
        <v>77749.36</v>
      </c>
      <c r="Q950" s="4">
        <v>39.4</v>
      </c>
      <c r="R950" s="3">
        <v>30633.25</v>
      </c>
      <c r="S950" s="1" t="s">
        <v>40</v>
      </c>
    </row>
    <row r="951" spans="1:19" x14ac:dyDescent="0.3">
      <c r="A951" s="5" t="s">
        <v>1425</v>
      </c>
      <c r="B951" s="5" t="s">
        <v>892</v>
      </c>
      <c r="C951" s="5" t="s">
        <v>96</v>
      </c>
      <c r="D951" s="5" t="s">
        <v>86</v>
      </c>
      <c r="E951" s="6" t="s">
        <v>217</v>
      </c>
      <c r="F951" s="5" t="s">
        <v>62</v>
      </c>
      <c r="G951" s="5" t="s">
        <v>25</v>
      </c>
      <c r="H951" s="5" t="s">
        <v>26</v>
      </c>
      <c r="I951" s="5" t="s">
        <v>55</v>
      </c>
      <c r="J951" s="5" t="s">
        <v>65</v>
      </c>
      <c r="K951" s="5" t="s">
        <v>111</v>
      </c>
      <c r="L951" s="7">
        <v>852.31</v>
      </c>
      <c r="M951" s="5">
        <v>25</v>
      </c>
      <c r="N951" s="7">
        <v>21307.75</v>
      </c>
      <c r="O951" s="8">
        <v>14.6</v>
      </c>
      <c r="P951" s="7">
        <v>18196.82</v>
      </c>
      <c r="Q951" s="8">
        <v>50.2</v>
      </c>
      <c r="R951" s="7">
        <v>9134.7999999999993</v>
      </c>
      <c r="S951" s="5" t="s">
        <v>40</v>
      </c>
    </row>
    <row r="952" spans="1:19" x14ac:dyDescent="0.3">
      <c r="A952" s="1" t="s">
        <v>1426</v>
      </c>
      <c r="B952" s="1" t="s">
        <v>1427</v>
      </c>
      <c r="C952" s="1" t="s">
        <v>59</v>
      </c>
      <c r="D952" s="1" t="s">
        <v>60</v>
      </c>
      <c r="E952" s="2" t="s">
        <v>165</v>
      </c>
      <c r="F952" s="1" t="s">
        <v>166</v>
      </c>
      <c r="G952" s="1" t="s">
        <v>63</v>
      </c>
      <c r="H952" s="1" t="s">
        <v>64</v>
      </c>
      <c r="I952" s="1" t="s">
        <v>72</v>
      </c>
      <c r="J952" s="1" t="s">
        <v>65</v>
      </c>
      <c r="K952" s="1" t="s">
        <v>29</v>
      </c>
      <c r="L952" s="3">
        <v>1397.26</v>
      </c>
      <c r="M952" s="1">
        <v>18</v>
      </c>
      <c r="N952" s="3">
        <v>25150.68</v>
      </c>
      <c r="O952" s="4">
        <v>2.2999999999999998</v>
      </c>
      <c r="P952" s="3">
        <v>24572.21</v>
      </c>
      <c r="Q952" s="4">
        <v>50.5</v>
      </c>
      <c r="R952" s="3">
        <v>12408.97</v>
      </c>
      <c r="S952" s="1" t="s">
        <v>40</v>
      </c>
    </row>
    <row r="953" spans="1:19" x14ac:dyDescent="0.3">
      <c r="A953" s="5" t="s">
        <v>1428</v>
      </c>
      <c r="B953" s="5" t="s">
        <v>571</v>
      </c>
      <c r="C953" s="5" t="s">
        <v>68</v>
      </c>
      <c r="D953" s="5" t="s">
        <v>69</v>
      </c>
      <c r="E953" s="6" t="s">
        <v>320</v>
      </c>
      <c r="F953" s="5" t="s">
        <v>24</v>
      </c>
      <c r="G953" s="5" t="s">
        <v>25</v>
      </c>
      <c r="H953" s="5" t="s">
        <v>215</v>
      </c>
      <c r="I953" s="5" t="s">
        <v>38</v>
      </c>
      <c r="J953" s="5" t="s">
        <v>65</v>
      </c>
      <c r="K953" s="5" t="s">
        <v>111</v>
      </c>
      <c r="L953" s="7">
        <v>42734.33</v>
      </c>
      <c r="M953" s="5">
        <v>17</v>
      </c>
      <c r="N953" s="7">
        <v>726483.61</v>
      </c>
      <c r="O953" s="8">
        <v>17</v>
      </c>
      <c r="P953" s="7">
        <v>602981.4</v>
      </c>
      <c r="Q953" s="8">
        <v>14.1</v>
      </c>
      <c r="R953" s="7">
        <v>85020.38</v>
      </c>
      <c r="S953" s="5" t="s">
        <v>40</v>
      </c>
    </row>
    <row r="954" spans="1:19" x14ac:dyDescent="0.3">
      <c r="A954" s="1" t="s">
        <v>1429</v>
      </c>
      <c r="B954" s="1" t="s">
        <v>685</v>
      </c>
      <c r="C954" s="1" t="s">
        <v>131</v>
      </c>
      <c r="D954" s="1" t="s">
        <v>69</v>
      </c>
      <c r="E954" s="2" t="s">
        <v>145</v>
      </c>
      <c r="F954" s="1" t="s">
        <v>62</v>
      </c>
      <c r="G954" s="1" t="s">
        <v>53</v>
      </c>
      <c r="H954" s="1" t="s">
        <v>98</v>
      </c>
      <c r="I954" s="1" t="s">
        <v>38</v>
      </c>
      <c r="J954" s="1" t="s">
        <v>47</v>
      </c>
      <c r="K954" s="1" t="s">
        <v>88</v>
      </c>
      <c r="L954" s="3">
        <v>2582.65</v>
      </c>
      <c r="M954" s="1">
        <v>10</v>
      </c>
      <c r="N954" s="3">
        <v>25826.5</v>
      </c>
      <c r="O954" s="4">
        <v>23</v>
      </c>
      <c r="P954" s="3">
        <v>19886.400000000001</v>
      </c>
      <c r="Q954" s="4">
        <v>55.4</v>
      </c>
      <c r="R954" s="3">
        <v>11017.07</v>
      </c>
      <c r="S954" s="1" t="s">
        <v>112</v>
      </c>
    </row>
    <row r="955" spans="1:19" x14ac:dyDescent="0.3">
      <c r="A955" s="5" t="s">
        <v>1430</v>
      </c>
      <c r="B955" s="5" t="s">
        <v>323</v>
      </c>
      <c r="C955" s="5" t="s">
        <v>68</v>
      </c>
      <c r="D955" s="5" t="s">
        <v>69</v>
      </c>
      <c r="E955" s="6" t="s">
        <v>118</v>
      </c>
      <c r="F955" s="5" t="s">
        <v>62</v>
      </c>
      <c r="G955" s="5" t="s">
        <v>53</v>
      </c>
      <c r="H955" s="5" t="s">
        <v>77</v>
      </c>
      <c r="I955" s="5" t="s">
        <v>27</v>
      </c>
      <c r="J955" s="5" t="s">
        <v>28</v>
      </c>
      <c r="K955" s="5" t="s">
        <v>149</v>
      </c>
      <c r="L955" s="7">
        <v>1508.56</v>
      </c>
      <c r="M955" s="5">
        <v>12</v>
      </c>
      <c r="N955" s="7">
        <v>18102.72</v>
      </c>
      <c r="O955" s="8">
        <v>18.8</v>
      </c>
      <c r="P955" s="7">
        <v>14699.41</v>
      </c>
      <c r="Q955" s="8">
        <v>55.5</v>
      </c>
      <c r="R955" s="7">
        <v>8158.17</v>
      </c>
      <c r="S955" s="5" t="s">
        <v>79</v>
      </c>
    </row>
    <row r="956" spans="1:19" x14ac:dyDescent="0.3">
      <c r="A956" s="1" t="s">
        <v>1431</v>
      </c>
      <c r="B956" s="1" t="s">
        <v>228</v>
      </c>
      <c r="C956" s="1" t="s">
        <v>33</v>
      </c>
      <c r="D956" s="1" t="s">
        <v>22</v>
      </c>
      <c r="E956" s="2" t="s">
        <v>125</v>
      </c>
      <c r="F956" s="1" t="s">
        <v>62</v>
      </c>
      <c r="G956" s="1" t="s">
        <v>109</v>
      </c>
      <c r="H956" s="1" t="s">
        <v>110</v>
      </c>
      <c r="I956" s="1" t="s">
        <v>47</v>
      </c>
      <c r="J956" s="1" t="s">
        <v>28</v>
      </c>
      <c r="K956" s="1" t="s">
        <v>78</v>
      </c>
      <c r="L956" s="3">
        <v>254.53</v>
      </c>
      <c r="M956" s="1">
        <v>18</v>
      </c>
      <c r="N956" s="3">
        <v>4581.54</v>
      </c>
      <c r="O956" s="4">
        <v>12.2</v>
      </c>
      <c r="P956" s="3">
        <v>4022.59</v>
      </c>
      <c r="Q956" s="4">
        <v>70.099999999999994</v>
      </c>
      <c r="R956" s="3">
        <v>2819.84</v>
      </c>
      <c r="S956" s="1" t="s">
        <v>40</v>
      </c>
    </row>
    <row r="957" spans="1:19" x14ac:dyDescent="0.3">
      <c r="A957" s="5" t="s">
        <v>1432</v>
      </c>
      <c r="B957" s="5" t="s">
        <v>1433</v>
      </c>
      <c r="C957" s="5" t="s">
        <v>33</v>
      </c>
      <c r="D957" s="5" t="s">
        <v>22</v>
      </c>
      <c r="E957" s="6" t="s">
        <v>118</v>
      </c>
      <c r="F957" s="5" t="s">
        <v>62</v>
      </c>
      <c r="G957" s="5" t="s">
        <v>63</v>
      </c>
      <c r="H957" s="5" t="s">
        <v>92</v>
      </c>
      <c r="I957" s="5" t="s">
        <v>38</v>
      </c>
      <c r="J957" s="5" t="s">
        <v>28</v>
      </c>
      <c r="K957" s="5" t="s">
        <v>39</v>
      </c>
      <c r="L957" s="7">
        <v>2433.38</v>
      </c>
      <c r="M957" s="5">
        <v>11</v>
      </c>
      <c r="N957" s="7">
        <v>26767.18</v>
      </c>
      <c r="O957" s="8">
        <v>23.4</v>
      </c>
      <c r="P957" s="7">
        <v>20503.66</v>
      </c>
      <c r="Q957" s="8">
        <v>64.7</v>
      </c>
      <c r="R957" s="7">
        <v>13265.87</v>
      </c>
      <c r="S957" s="5" t="s">
        <v>30</v>
      </c>
    </row>
    <row r="958" spans="1:19" x14ac:dyDescent="0.3">
      <c r="A958" s="1" t="s">
        <v>1434</v>
      </c>
      <c r="B958" s="1" t="s">
        <v>147</v>
      </c>
      <c r="C958" s="1" t="s">
        <v>75</v>
      </c>
      <c r="D958" s="1" t="s">
        <v>60</v>
      </c>
      <c r="E958" s="2" t="s">
        <v>256</v>
      </c>
      <c r="F958" s="1" t="s">
        <v>166</v>
      </c>
      <c r="G958" s="1" t="s">
        <v>36</v>
      </c>
      <c r="H958" s="1" t="s">
        <v>136</v>
      </c>
      <c r="I958" s="1" t="s">
        <v>55</v>
      </c>
      <c r="J958" s="1" t="s">
        <v>28</v>
      </c>
      <c r="K958" s="1" t="s">
        <v>149</v>
      </c>
      <c r="L958" s="3">
        <v>1273.3800000000001</v>
      </c>
      <c r="M958" s="1">
        <v>14</v>
      </c>
      <c r="N958" s="3">
        <v>17827.32</v>
      </c>
      <c r="O958" s="4">
        <v>19.899999999999999</v>
      </c>
      <c r="P958" s="3">
        <v>14279.68</v>
      </c>
      <c r="Q958" s="4">
        <v>57.3</v>
      </c>
      <c r="R958" s="3">
        <v>8182.26</v>
      </c>
      <c r="S958" s="1" t="s">
        <v>40</v>
      </c>
    </row>
    <row r="959" spans="1:19" x14ac:dyDescent="0.3">
      <c r="A959" s="5" t="s">
        <v>1435</v>
      </c>
      <c r="B959" s="5" t="s">
        <v>251</v>
      </c>
      <c r="C959" s="5" t="s">
        <v>85</v>
      </c>
      <c r="D959" s="5" t="s">
        <v>86</v>
      </c>
      <c r="E959" s="6" t="s">
        <v>34</v>
      </c>
      <c r="F959" s="5" t="s">
        <v>35</v>
      </c>
      <c r="G959" s="5" t="s">
        <v>36</v>
      </c>
      <c r="H959" s="5" t="s">
        <v>105</v>
      </c>
      <c r="I959" s="5" t="s">
        <v>38</v>
      </c>
      <c r="J959" s="5" t="s">
        <v>93</v>
      </c>
      <c r="K959" s="5" t="s">
        <v>88</v>
      </c>
      <c r="L959" s="7">
        <v>27617.88</v>
      </c>
      <c r="M959" s="5">
        <v>3</v>
      </c>
      <c r="N959" s="7">
        <v>82853.64</v>
      </c>
      <c r="O959" s="8">
        <v>2.7</v>
      </c>
      <c r="P959" s="7">
        <v>80616.59</v>
      </c>
      <c r="Q959" s="8">
        <v>35.700000000000003</v>
      </c>
      <c r="R959" s="7">
        <v>28780.12</v>
      </c>
      <c r="S959" s="5" t="s">
        <v>40</v>
      </c>
    </row>
    <row r="960" spans="1:19" x14ac:dyDescent="0.3">
      <c r="A960" s="1" t="s">
        <v>1436</v>
      </c>
      <c r="B960" s="1" t="s">
        <v>74</v>
      </c>
      <c r="C960" s="1" t="s">
        <v>75</v>
      </c>
      <c r="D960" s="1" t="s">
        <v>60</v>
      </c>
      <c r="E960" s="2" t="s">
        <v>213</v>
      </c>
      <c r="F960" s="1" t="s">
        <v>62</v>
      </c>
      <c r="G960" s="1" t="s">
        <v>53</v>
      </c>
      <c r="H960" s="1" t="s">
        <v>98</v>
      </c>
      <c r="I960" s="1" t="s">
        <v>27</v>
      </c>
      <c r="J960" s="1" t="s">
        <v>93</v>
      </c>
      <c r="K960" s="1" t="s">
        <v>102</v>
      </c>
      <c r="L960" s="3">
        <v>932.8</v>
      </c>
      <c r="M960" s="1">
        <v>6</v>
      </c>
      <c r="N960" s="3">
        <v>5596.8</v>
      </c>
      <c r="O960" s="4">
        <v>23.8</v>
      </c>
      <c r="P960" s="3">
        <v>4264.76</v>
      </c>
      <c r="Q960" s="4">
        <v>54</v>
      </c>
      <c r="R960" s="3">
        <v>2302.9699999999998</v>
      </c>
      <c r="S960" s="1" t="s">
        <v>40</v>
      </c>
    </row>
    <row r="961" spans="1:19" x14ac:dyDescent="0.3">
      <c r="A961" s="5" t="s">
        <v>1437</v>
      </c>
      <c r="B961" s="5" t="s">
        <v>521</v>
      </c>
      <c r="C961" s="5" t="s">
        <v>101</v>
      </c>
      <c r="D961" s="5" t="s">
        <v>60</v>
      </c>
      <c r="E961" s="6" t="s">
        <v>44</v>
      </c>
      <c r="F961" s="5" t="s">
        <v>45</v>
      </c>
      <c r="G961" s="5" t="s">
        <v>53</v>
      </c>
      <c r="H961" s="5" t="s">
        <v>71</v>
      </c>
      <c r="I961" s="5" t="s">
        <v>47</v>
      </c>
      <c r="J961" s="5" t="s">
        <v>28</v>
      </c>
      <c r="K961" s="5" t="s">
        <v>39</v>
      </c>
      <c r="L961" s="7">
        <v>371.34</v>
      </c>
      <c r="M961" s="5">
        <v>8</v>
      </c>
      <c r="N961" s="7">
        <v>2970.72</v>
      </c>
      <c r="O961" s="8">
        <v>12.2</v>
      </c>
      <c r="P961" s="7">
        <v>2608.29</v>
      </c>
      <c r="Q961" s="8">
        <v>26.2</v>
      </c>
      <c r="R961" s="7">
        <v>683.37</v>
      </c>
      <c r="S961" s="5" t="s">
        <v>40</v>
      </c>
    </row>
    <row r="962" spans="1:19" x14ac:dyDescent="0.3">
      <c r="A962" s="1" t="s">
        <v>1438</v>
      </c>
      <c r="B962" s="1" t="s">
        <v>427</v>
      </c>
      <c r="C962" s="1" t="s">
        <v>135</v>
      </c>
      <c r="D962" s="1" t="s">
        <v>69</v>
      </c>
      <c r="E962" s="2" t="s">
        <v>91</v>
      </c>
      <c r="F962" s="1" t="s">
        <v>52</v>
      </c>
      <c r="G962" s="1" t="s">
        <v>25</v>
      </c>
      <c r="H962" s="1" t="s">
        <v>215</v>
      </c>
      <c r="I962" s="1" t="s">
        <v>72</v>
      </c>
      <c r="J962" s="1" t="s">
        <v>28</v>
      </c>
      <c r="K962" s="1" t="s">
        <v>39</v>
      </c>
      <c r="L962" s="3">
        <v>2098.59</v>
      </c>
      <c r="M962" s="1">
        <v>22</v>
      </c>
      <c r="N962" s="3">
        <v>46168.98</v>
      </c>
      <c r="O962" s="4">
        <v>15.5</v>
      </c>
      <c r="P962" s="3">
        <v>39012.79</v>
      </c>
      <c r="Q962" s="4">
        <v>26.1</v>
      </c>
      <c r="R962" s="3">
        <v>10182.34</v>
      </c>
      <c r="S962" s="1" t="s">
        <v>40</v>
      </c>
    </row>
    <row r="963" spans="1:19" x14ac:dyDescent="0.3">
      <c r="A963" s="5" t="s">
        <v>1439</v>
      </c>
      <c r="B963" s="5" t="s">
        <v>453</v>
      </c>
      <c r="C963" s="5" t="s">
        <v>96</v>
      </c>
      <c r="D963" s="5" t="s">
        <v>86</v>
      </c>
      <c r="E963" s="6" t="s">
        <v>346</v>
      </c>
      <c r="F963" s="5" t="s">
        <v>35</v>
      </c>
      <c r="G963" s="5" t="s">
        <v>53</v>
      </c>
      <c r="H963" s="5" t="s">
        <v>71</v>
      </c>
      <c r="I963" s="5" t="s">
        <v>38</v>
      </c>
      <c r="J963" s="5" t="s">
        <v>47</v>
      </c>
      <c r="K963" s="5" t="s">
        <v>159</v>
      </c>
      <c r="L963" s="7">
        <v>7421.11</v>
      </c>
      <c r="M963" s="5">
        <v>16</v>
      </c>
      <c r="N963" s="7">
        <v>118737.76</v>
      </c>
      <c r="O963" s="8">
        <v>13.4</v>
      </c>
      <c r="P963" s="7">
        <v>102826.9</v>
      </c>
      <c r="Q963" s="8">
        <v>32.9</v>
      </c>
      <c r="R963" s="7">
        <v>33830.050000000003</v>
      </c>
      <c r="S963" s="5" t="s">
        <v>40</v>
      </c>
    </row>
    <row r="964" spans="1:19" x14ac:dyDescent="0.3">
      <c r="A964" s="1" t="s">
        <v>1440</v>
      </c>
      <c r="B964" s="1" t="s">
        <v>775</v>
      </c>
      <c r="C964" s="1" t="s">
        <v>43</v>
      </c>
      <c r="D964" s="1" t="s">
        <v>22</v>
      </c>
      <c r="E964" s="2" t="s">
        <v>142</v>
      </c>
      <c r="F964" s="1" t="s">
        <v>24</v>
      </c>
      <c r="G964" s="1" t="s">
        <v>25</v>
      </c>
      <c r="H964" s="1" t="s">
        <v>132</v>
      </c>
      <c r="I964" s="1" t="s">
        <v>38</v>
      </c>
      <c r="J964" s="1" t="s">
        <v>28</v>
      </c>
      <c r="K964" s="1" t="s">
        <v>88</v>
      </c>
      <c r="L964" s="3">
        <v>77963.960000000006</v>
      </c>
      <c r="M964" s="1">
        <v>4</v>
      </c>
      <c r="N964" s="3">
        <v>311855.84000000003</v>
      </c>
      <c r="O964" s="4">
        <v>24.7</v>
      </c>
      <c r="P964" s="3">
        <v>234827.45</v>
      </c>
      <c r="Q964" s="4">
        <v>19.8</v>
      </c>
      <c r="R964" s="3">
        <v>46495.839999999997</v>
      </c>
      <c r="S964" s="1" t="s">
        <v>112</v>
      </c>
    </row>
    <row r="965" spans="1:19" x14ac:dyDescent="0.3">
      <c r="A965" s="5" t="s">
        <v>1441</v>
      </c>
      <c r="B965" s="5" t="s">
        <v>604</v>
      </c>
      <c r="C965" s="5" t="s">
        <v>101</v>
      </c>
      <c r="D965" s="5" t="s">
        <v>60</v>
      </c>
      <c r="E965" s="6" t="s">
        <v>279</v>
      </c>
      <c r="F965" s="5" t="s">
        <v>166</v>
      </c>
      <c r="G965" s="5" t="s">
        <v>36</v>
      </c>
      <c r="H965" s="5" t="s">
        <v>136</v>
      </c>
      <c r="I965" s="5" t="s">
        <v>72</v>
      </c>
      <c r="J965" s="5" t="s">
        <v>65</v>
      </c>
      <c r="K965" s="5" t="s">
        <v>149</v>
      </c>
      <c r="L965" s="7">
        <v>2510.16</v>
      </c>
      <c r="M965" s="5">
        <v>18</v>
      </c>
      <c r="N965" s="7">
        <v>45182.879999999997</v>
      </c>
      <c r="O965" s="8">
        <v>4.3</v>
      </c>
      <c r="P965" s="7">
        <v>43240.02</v>
      </c>
      <c r="Q965" s="8">
        <v>51.4</v>
      </c>
      <c r="R965" s="7">
        <v>22225.37</v>
      </c>
      <c r="S965" s="5" t="s">
        <v>40</v>
      </c>
    </row>
    <row r="966" spans="1:19" x14ac:dyDescent="0.3">
      <c r="A966" s="1" t="s">
        <v>1442</v>
      </c>
      <c r="B966" s="1" t="s">
        <v>397</v>
      </c>
      <c r="C966" s="1" t="s">
        <v>96</v>
      </c>
      <c r="D966" s="1" t="s">
        <v>86</v>
      </c>
      <c r="E966" s="2" t="s">
        <v>224</v>
      </c>
      <c r="F966" s="1" t="s">
        <v>166</v>
      </c>
      <c r="G966" s="1" t="s">
        <v>53</v>
      </c>
      <c r="H966" s="1" t="s">
        <v>54</v>
      </c>
      <c r="I966" s="1" t="s">
        <v>55</v>
      </c>
      <c r="J966" s="1" t="s">
        <v>47</v>
      </c>
      <c r="K966" s="1" t="s">
        <v>48</v>
      </c>
      <c r="L966" s="3">
        <v>459.16</v>
      </c>
      <c r="M966" s="1">
        <v>8</v>
      </c>
      <c r="N966" s="3">
        <v>3673.28</v>
      </c>
      <c r="O966" s="4">
        <v>13.4</v>
      </c>
      <c r="P966" s="3">
        <v>3181.06</v>
      </c>
      <c r="Q966" s="4">
        <v>56</v>
      </c>
      <c r="R966" s="3">
        <v>1781.39</v>
      </c>
      <c r="S966" s="1" t="s">
        <v>40</v>
      </c>
    </row>
    <row r="967" spans="1:19" x14ac:dyDescent="0.3">
      <c r="A967" s="5" t="s">
        <v>1443</v>
      </c>
      <c r="B967" s="5" t="s">
        <v>219</v>
      </c>
      <c r="C967" s="5" t="s">
        <v>101</v>
      </c>
      <c r="D967" s="5" t="s">
        <v>60</v>
      </c>
      <c r="E967" s="6" t="s">
        <v>410</v>
      </c>
      <c r="F967" s="5" t="s">
        <v>166</v>
      </c>
      <c r="G967" s="5" t="s">
        <v>25</v>
      </c>
      <c r="H967" s="5" t="s">
        <v>215</v>
      </c>
      <c r="I967" s="5" t="s">
        <v>47</v>
      </c>
      <c r="J967" s="5" t="s">
        <v>93</v>
      </c>
      <c r="K967" s="5" t="s">
        <v>29</v>
      </c>
      <c r="L967" s="7">
        <v>3650.76</v>
      </c>
      <c r="M967" s="5">
        <v>17</v>
      </c>
      <c r="N967" s="7">
        <v>62062.92</v>
      </c>
      <c r="O967" s="8">
        <v>12.3</v>
      </c>
      <c r="P967" s="7">
        <v>54429.18</v>
      </c>
      <c r="Q967" s="8">
        <v>50.7</v>
      </c>
      <c r="R967" s="7">
        <v>27595.59</v>
      </c>
      <c r="S967" s="5" t="s">
        <v>40</v>
      </c>
    </row>
    <row r="968" spans="1:19" x14ac:dyDescent="0.3">
      <c r="A968" s="1" t="s">
        <v>1444</v>
      </c>
      <c r="B968" s="1" t="s">
        <v>1445</v>
      </c>
      <c r="C968" s="1" t="s">
        <v>21</v>
      </c>
      <c r="D968" s="1" t="s">
        <v>22</v>
      </c>
      <c r="E968" s="2" t="s">
        <v>155</v>
      </c>
      <c r="F968" s="1" t="s">
        <v>24</v>
      </c>
      <c r="G968" s="1" t="s">
        <v>53</v>
      </c>
      <c r="H968" s="1" t="s">
        <v>77</v>
      </c>
      <c r="I968" s="1" t="s">
        <v>55</v>
      </c>
      <c r="J968" s="1" t="s">
        <v>28</v>
      </c>
      <c r="K968" s="1" t="s">
        <v>29</v>
      </c>
      <c r="L968" s="3">
        <v>42757.75</v>
      </c>
      <c r="M968" s="1">
        <v>11</v>
      </c>
      <c r="N968" s="3">
        <v>470335.25</v>
      </c>
      <c r="O968" s="4">
        <v>1.1000000000000001</v>
      </c>
      <c r="P968" s="3">
        <v>465161.56</v>
      </c>
      <c r="Q968" s="4">
        <v>22</v>
      </c>
      <c r="R968" s="3">
        <v>102335.54</v>
      </c>
      <c r="S968" s="1" t="s">
        <v>40</v>
      </c>
    </row>
    <row r="969" spans="1:19" x14ac:dyDescent="0.3">
      <c r="A969" s="5" t="s">
        <v>1446</v>
      </c>
      <c r="B969" s="5" t="s">
        <v>785</v>
      </c>
      <c r="C969" s="5" t="s">
        <v>96</v>
      </c>
      <c r="D969" s="5" t="s">
        <v>86</v>
      </c>
      <c r="E969" s="6" t="s">
        <v>180</v>
      </c>
      <c r="F969" s="5" t="s">
        <v>166</v>
      </c>
      <c r="G969" s="5" t="s">
        <v>53</v>
      </c>
      <c r="H969" s="5" t="s">
        <v>77</v>
      </c>
      <c r="I969" s="5" t="s">
        <v>38</v>
      </c>
      <c r="J969" s="5" t="s">
        <v>93</v>
      </c>
      <c r="K969" s="5" t="s">
        <v>149</v>
      </c>
      <c r="L969" s="7">
        <v>2897.56</v>
      </c>
      <c r="M969" s="5">
        <v>12</v>
      </c>
      <c r="N969" s="7">
        <v>34770.720000000001</v>
      </c>
      <c r="O969" s="8">
        <v>21.3</v>
      </c>
      <c r="P969" s="7">
        <v>27364.560000000001</v>
      </c>
      <c r="Q969" s="8">
        <v>50.9</v>
      </c>
      <c r="R969" s="7">
        <v>13928.56</v>
      </c>
      <c r="S969" s="5" t="s">
        <v>79</v>
      </c>
    </row>
    <row r="970" spans="1:19" x14ac:dyDescent="0.3">
      <c r="A970" s="1" t="s">
        <v>1447</v>
      </c>
      <c r="B970" s="1" t="s">
        <v>294</v>
      </c>
      <c r="C970" s="1" t="s">
        <v>117</v>
      </c>
      <c r="D970" s="1" t="s">
        <v>86</v>
      </c>
      <c r="E970" s="2" t="s">
        <v>91</v>
      </c>
      <c r="F970" s="1" t="s">
        <v>52</v>
      </c>
      <c r="G970" s="1" t="s">
        <v>25</v>
      </c>
      <c r="H970" s="1" t="s">
        <v>132</v>
      </c>
      <c r="I970" s="1" t="s">
        <v>72</v>
      </c>
      <c r="J970" s="1" t="s">
        <v>65</v>
      </c>
      <c r="K970" s="1" t="s">
        <v>48</v>
      </c>
      <c r="L970" s="3">
        <v>4013.95</v>
      </c>
      <c r="M970" s="1">
        <v>3</v>
      </c>
      <c r="N970" s="3">
        <v>12041.85</v>
      </c>
      <c r="O970" s="4">
        <v>9.6999999999999993</v>
      </c>
      <c r="P970" s="3">
        <v>10873.79</v>
      </c>
      <c r="Q970" s="4">
        <v>33.5</v>
      </c>
      <c r="R970" s="3">
        <v>3642.72</v>
      </c>
      <c r="S970" s="1" t="s">
        <v>79</v>
      </c>
    </row>
    <row r="971" spans="1:19" x14ac:dyDescent="0.3">
      <c r="A971" s="5" t="s">
        <v>1448</v>
      </c>
      <c r="B971" s="5" t="s">
        <v>326</v>
      </c>
      <c r="C971" s="5" t="s">
        <v>68</v>
      </c>
      <c r="D971" s="5" t="s">
        <v>69</v>
      </c>
      <c r="E971" s="6" t="s">
        <v>145</v>
      </c>
      <c r="F971" s="5" t="s">
        <v>62</v>
      </c>
      <c r="G971" s="5" t="s">
        <v>63</v>
      </c>
      <c r="H971" s="5" t="s">
        <v>92</v>
      </c>
      <c r="I971" s="5" t="s">
        <v>47</v>
      </c>
      <c r="J971" s="5" t="s">
        <v>47</v>
      </c>
      <c r="K971" s="5" t="s">
        <v>48</v>
      </c>
      <c r="L971" s="7">
        <v>3409.96</v>
      </c>
      <c r="M971" s="5">
        <v>4</v>
      </c>
      <c r="N971" s="7">
        <v>13639.84</v>
      </c>
      <c r="O971" s="8">
        <v>8.3000000000000007</v>
      </c>
      <c r="P971" s="7">
        <v>12507.73</v>
      </c>
      <c r="Q971" s="8">
        <v>63.6</v>
      </c>
      <c r="R971" s="7">
        <v>7954.92</v>
      </c>
      <c r="S971" s="5" t="s">
        <v>40</v>
      </c>
    </row>
    <row r="972" spans="1:19" x14ac:dyDescent="0.3">
      <c r="A972" s="1" t="s">
        <v>1449</v>
      </c>
      <c r="B972" s="1" t="s">
        <v>364</v>
      </c>
      <c r="C972" s="1" t="s">
        <v>59</v>
      </c>
      <c r="D972" s="1" t="s">
        <v>60</v>
      </c>
      <c r="E972" s="2" t="s">
        <v>279</v>
      </c>
      <c r="F972" s="1" t="s">
        <v>166</v>
      </c>
      <c r="G972" s="1" t="s">
        <v>36</v>
      </c>
      <c r="H972" s="1" t="s">
        <v>136</v>
      </c>
      <c r="I972" s="1" t="s">
        <v>38</v>
      </c>
      <c r="J972" s="1" t="s">
        <v>28</v>
      </c>
      <c r="K972" s="1" t="s">
        <v>56</v>
      </c>
      <c r="L972" s="3">
        <v>2271.9</v>
      </c>
      <c r="M972" s="1">
        <v>18</v>
      </c>
      <c r="N972" s="3">
        <v>40894.199999999997</v>
      </c>
      <c r="O972" s="4">
        <v>18.100000000000001</v>
      </c>
      <c r="P972" s="3">
        <v>33492.35</v>
      </c>
      <c r="Q972" s="4">
        <v>55.7</v>
      </c>
      <c r="R972" s="3">
        <v>18655.240000000002</v>
      </c>
      <c r="S972" s="1" t="s">
        <v>40</v>
      </c>
    </row>
    <row r="973" spans="1:19" x14ac:dyDescent="0.3">
      <c r="A973" s="5" t="s">
        <v>1450</v>
      </c>
      <c r="B973" s="5" t="s">
        <v>339</v>
      </c>
      <c r="C973" s="5" t="s">
        <v>135</v>
      </c>
      <c r="D973" s="5" t="s">
        <v>69</v>
      </c>
      <c r="E973" s="6" t="s">
        <v>170</v>
      </c>
      <c r="F973" s="5" t="s">
        <v>52</v>
      </c>
      <c r="G973" s="5" t="s">
        <v>36</v>
      </c>
      <c r="H973" s="5" t="s">
        <v>37</v>
      </c>
      <c r="I973" s="5" t="s">
        <v>47</v>
      </c>
      <c r="J973" s="5" t="s">
        <v>65</v>
      </c>
      <c r="K973" s="5" t="s">
        <v>111</v>
      </c>
      <c r="L973" s="7">
        <v>5456.3</v>
      </c>
      <c r="M973" s="5">
        <v>9</v>
      </c>
      <c r="N973" s="7">
        <v>49106.7</v>
      </c>
      <c r="O973" s="8">
        <v>21.1</v>
      </c>
      <c r="P973" s="7">
        <v>38745.19</v>
      </c>
      <c r="Q973" s="8">
        <v>46</v>
      </c>
      <c r="R973" s="7">
        <v>17822.79</v>
      </c>
      <c r="S973" s="5" t="s">
        <v>40</v>
      </c>
    </row>
    <row r="974" spans="1:19" x14ac:dyDescent="0.3">
      <c r="A974" s="1" t="s">
        <v>1451</v>
      </c>
      <c r="B974" s="1" t="s">
        <v>382</v>
      </c>
      <c r="C974" s="1" t="s">
        <v>33</v>
      </c>
      <c r="D974" s="1" t="s">
        <v>22</v>
      </c>
      <c r="E974" s="2" t="s">
        <v>217</v>
      </c>
      <c r="F974" s="1" t="s">
        <v>62</v>
      </c>
      <c r="G974" s="1" t="s">
        <v>36</v>
      </c>
      <c r="H974" s="1" t="s">
        <v>119</v>
      </c>
      <c r="I974" s="1" t="s">
        <v>72</v>
      </c>
      <c r="J974" s="1" t="s">
        <v>93</v>
      </c>
      <c r="K974" s="1" t="s">
        <v>102</v>
      </c>
      <c r="L974" s="3">
        <v>2233.09</v>
      </c>
      <c r="M974" s="1">
        <v>15</v>
      </c>
      <c r="N974" s="3">
        <v>33496.35</v>
      </c>
      <c r="O974" s="4">
        <v>17.899999999999999</v>
      </c>
      <c r="P974" s="3">
        <v>27500.5</v>
      </c>
      <c r="Q974" s="4">
        <v>65.8</v>
      </c>
      <c r="R974" s="3">
        <v>18095.330000000002</v>
      </c>
      <c r="S974" s="1" t="s">
        <v>30</v>
      </c>
    </row>
    <row r="975" spans="1:19" x14ac:dyDescent="0.3">
      <c r="A975" s="5" t="s">
        <v>1452</v>
      </c>
      <c r="B975" s="5" t="s">
        <v>188</v>
      </c>
      <c r="C975" s="5" t="s">
        <v>131</v>
      </c>
      <c r="D975" s="5" t="s">
        <v>69</v>
      </c>
      <c r="E975" s="6" t="s">
        <v>139</v>
      </c>
      <c r="F975" s="5" t="s">
        <v>45</v>
      </c>
      <c r="G975" s="5" t="s">
        <v>63</v>
      </c>
      <c r="H975" s="5" t="s">
        <v>64</v>
      </c>
      <c r="I975" s="5" t="s">
        <v>27</v>
      </c>
      <c r="J975" s="5" t="s">
        <v>65</v>
      </c>
      <c r="K975" s="5" t="s">
        <v>56</v>
      </c>
      <c r="L975" s="7">
        <v>1286.53</v>
      </c>
      <c r="M975" s="5">
        <v>3</v>
      </c>
      <c r="N975" s="7">
        <v>3859.59</v>
      </c>
      <c r="O975" s="8">
        <v>14</v>
      </c>
      <c r="P975" s="7">
        <v>3319.25</v>
      </c>
      <c r="Q975" s="8">
        <v>22.8</v>
      </c>
      <c r="R975" s="7">
        <v>756.79</v>
      </c>
      <c r="S975" s="5" t="s">
        <v>40</v>
      </c>
    </row>
    <row r="976" spans="1:19" x14ac:dyDescent="0.3">
      <c r="A976" s="1" t="s">
        <v>1453</v>
      </c>
      <c r="B976" s="1" t="s">
        <v>1454</v>
      </c>
      <c r="C976" s="1" t="s">
        <v>135</v>
      </c>
      <c r="D976" s="1" t="s">
        <v>69</v>
      </c>
      <c r="E976" s="2" t="s">
        <v>76</v>
      </c>
      <c r="F976" s="1" t="s">
        <v>45</v>
      </c>
      <c r="G976" s="1" t="s">
        <v>63</v>
      </c>
      <c r="H976" s="1" t="s">
        <v>87</v>
      </c>
      <c r="I976" s="1" t="s">
        <v>72</v>
      </c>
      <c r="J976" s="1" t="s">
        <v>65</v>
      </c>
      <c r="K976" s="1" t="s">
        <v>111</v>
      </c>
      <c r="L976" s="3">
        <v>835.73</v>
      </c>
      <c r="M976" s="1">
        <v>25</v>
      </c>
      <c r="N976" s="3">
        <v>20893.25</v>
      </c>
      <c r="O976" s="4">
        <v>17.399999999999999</v>
      </c>
      <c r="P976" s="3">
        <v>17257.82</v>
      </c>
      <c r="Q976" s="4">
        <v>35.200000000000003</v>
      </c>
      <c r="R976" s="3">
        <v>6074.75</v>
      </c>
      <c r="S976" s="1" t="s">
        <v>79</v>
      </c>
    </row>
    <row r="977" spans="1:19" x14ac:dyDescent="0.3">
      <c r="A977" s="5" t="s">
        <v>1455</v>
      </c>
      <c r="B977" s="5" t="s">
        <v>1128</v>
      </c>
      <c r="C977" s="5" t="s">
        <v>59</v>
      </c>
      <c r="D977" s="5" t="s">
        <v>60</v>
      </c>
      <c r="E977" s="6" t="s">
        <v>70</v>
      </c>
      <c r="F977" s="5" t="s">
        <v>24</v>
      </c>
      <c r="G977" s="5" t="s">
        <v>53</v>
      </c>
      <c r="H977" s="5" t="s">
        <v>98</v>
      </c>
      <c r="I977" s="5" t="s">
        <v>55</v>
      </c>
      <c r="J977" s="5" t="s">
        <v>28</v>
      </c>
      <c r="K977" s="5" t="s">
        <v>88</v>
      </c>
      <c r="L977" s="7">
        <v>79878.14</v>
      </c>
      <c r="M977" s="5">
        <v>2</v>
      </c>
      <c r="N977" s="7">
        <v>159756.28</v>
      </c>
      <c r="O977" s="8">
        <v>13</v>
      </c>
      <c r="P977" s="7">
        <v>138987.96</v>
      </c>
      <c r="Q977" s="8">
        <v>16.2</v>
      </c>
      <c r="R977" s="7">
        <v>22516.05</v>
      </c>
      <c r="S977" s="5" t="s">
        <v>40</v>
      </c>
    </row>
    <row r="978" spans="1:19" x14ac:dyDescent="0.3">
      <c r="A978" s="1" t="s">
        <v>1456</v>
      </c>
      <c r="B978" s="1" t="s">
        <v>538</v>
      </c>
      <c r="C978" s="1" t="s">
        <v>68</v>
      </c>
      <c r="D978" s="1" t="s">
        <v>69</v>
      </c>
      <c r="E978" s="2" t="s">
        <v>165</v>
      </c>
      <c r="F978" s="1" t="s">
        <v>166</v>
      </c>
      <c r="G978" s="1" t="s">
        <v>53</v>
      </c>
      <c r="H978" s="1" t="s">
        <v>98</v>
      </c>
      <c r="I978" s="1" t="s">
        <v>55</v>
      </c>
      <c r="J978" s="1" t="s">
        <v>28</v>
      </c>
      <c r="K978" s="1" t="s">
        <v>78</v>
      </c>
      <c r="L978" s="3">
        <v>2154.9</v>
      </c>
      <c r="M978" s="1">
        <v>14</v>
      </c>
      <c r="N978" s="3">
        <v>30168.6</v>
      </c>
      <c r="O978" s="4">
        <v>4.0999999999999996</v>
      </c>
      <c r="P978" s="3">
        <v>28931.69</v>
      </c>
      <c r="Q978" s="4">
        <v>42.3</v>
      </c>
      <c r="R978" s="3">
        <v>12238.1</v>
      </c>
      <c r="S978" s="1" t="s">
        <v>40</v>
      </c>
    </row>
    <row r="979" spans="1:19" x14ac:dyDescent="0.3">
      <c r="A979" s="5" t="s">
        <v>1457</v>
      </c>
      <c r="B979" s="5" t="s">
        <v>248</v>
      </c>
      <c r="C979" s="5" t="s">
        <v>43</v>
      </c>
      <c r="D979" s="5" t="s">
        <v>22</v>
      </c>
      <c r="E979" s="6" t="s">
        <v>51</v>
      </c>
      <c r="F979" s="5" t="s">
        <v>52</v>
      </c>
      <c r="G979" s="5" t="s">
        <v>63</v>
      </c>
      <c r="H979" s="5" t="s">
        <v>64</v>
      </c>
      <c r="I979" s="5" t="s">
        <v>27</v>
      </c>
      <c r="J979" s="5" t="s">
        <v>28</v>
      </c>
      <c r="K979" s="5" t="s">
        <v>29</v>
      </c>
      <c r="L979" s="7">
        <v>2863.79</v>
      </c>
      <c r="M979" s="5">
        <v>18</v>
      </c>
      <c r="N979" s="7">
        <v>51548.22</v>
      </c>
      <c r="O979" s="8">
        <v>19.3</v>
      </c>
      <c r="P979" s="7">
        <v>41599.410000000003</v>
      </c>
      <c r="Q979" s="8">
        <v>31.4</v>
      </c>
      <c r="R979" s="7">
        <v>13062.21</v>
      </c>
      <c r="S979" s="5" t="s">
        <v>40</v>
      </c>
    </row>
    <row r="980" spans="1:19" x14ac:dyDescent="0.3">
      <c r="A980" s="1" t="s">
        <v>1458</v>
      </c>
      <c r="B980" s="1" t="s">
        <v>366</v>
      </c>
      <c r="C980" s="1" t="s">
        <v>117</v>
      </c>
      <c r="D980" s="1" t="s">
        <v>86</v>
      </c>
      <c r="E980" s="2" t="s">
        <v>246</v>
      </c>
      <c r="F980" s="1" t="s">
        <v>52</v>
      </c>
      <c r="G980" s="1" t="s">
        <v>109</v>
      </c>
      <c r="H980" s="1" t="s">
        <v>152</v>
      </c>
      <c r="I980" s="1" t="s">
        <v>47</v>
      </c>
      <c r="J980" s="1" t="s">
        <v>93</v>
      </c>
      <c r="K980" s="1" t="s">
        <v>48</v>
      </c>
      <c r="L980" s="3">
        <v>5110.5600000000004</v>
      </c>
      <c r="M980" s="1">
        <v>16</v>
      </c>
      <c r="N980" s="3">
        <v>81768.960000000006</v>
      </c>
      <c r="O980" s="4">
        <v>4</v>
      </c>
      <c r="P980" s="3">
        <v>78498.2</v>
      </c>
      <c r="Q980" s="4">
        <v>25.4</v>
      </c>
      <c r="R980" s="3">
        <v>19938.54</v>
      </c>
      <c r="S980" s="1" t="s">
        <v>40</v>
      </c>
    </row>
    <row r="981" spans="1:19" x14ac:dyDescent="0.3">
      <c r="A981" s="5" t="s">
        <v>1459</v>
      </c>
      <c r="B981" s="5" t="s">
        <v>668</v>
      </c>
      <c r="C981" s="5" t="s">
        <v>43</v>
      </c>
      <c r="D981" s="5" t="s">
        <v>22</v>
      </c>
      <c r="E981" s="6" t="s">
        <v>97</v>
      </c>
      <c r="F981" s="5" t="s">
        <v>35</v>
      </c>
      <c r="G981" s="5" t="s">
        <v>109</v>
      </c>
      <c r="H981" s="5" t="s">
        <v>152</v>
      </c>
      <c r="I981" s="5" t="s">
        <v>38</v>
      </c>
      <c r="J981" s="5" t="s">
        <v>47</v>
      </c>
      <c r="K981" s="5" t="s">
        <v>56</v>
      </c>
      <c r="L981" s="7">
        <v>29245.33</v>
      </c>
      <c r="M981" s="5">
        <v>18</v>
      </c>
      <c r="N981" s="7">
        <v>526415.93999999994</v>
      </c>
      <c r="O981" s="8">
        <v>17</v>
      </c>
      <c r="P981" s="7">
        <v>436925.23</v>
      </c>
      <c r="Q981" s="8">
        <v>40.799999999999997</v>
      </c>
      <c r="R981" s="7">
        <v>178265.49</v>
      </c>
      <c r="S981" s="5" t="s">
        <v>112</v>
      </c>
    </row>
    <row r="982" spans="1:19" x14ac:dyDescent="0.3">
      <c r="A982" s="1" t="s">
        <v>1460</v>
      </c>
      <c r="B982" s="1" t="s">
        <v>412</v>
      </c>
      <c r="C982" s="1" t="s">
        <v>135</v>
      </c>
      <c r="D982" s="1" t="s">
        <v>69</v>
      </c>
      <c r="E982" s="2" t="s">
        <v>23</v>
      </c>
      <c r="F982" s="1" t="s">
        <v>24</v>
      </c>
      <c r="G982" s="1" t="s">
        <v>25</v>
      </c>
      <c r="H982" s="1" t="s">
        <v>26</v>
      </c>
      <c r="I982" s="1" t="s">
        <v>72</v>
      </c>
      <c r="J982" s="1" t="s">
        <v>28</v>
      </c>
      <c r="K982" s="1" t="s">
        <v>78</v>
      </c>
      <c r="L982" s="3">
        <v>91533.02</v>
      </c>
      <c r="M982" s="1">
        <v>8</v>
      </c>
      <c r="N982" s="3">
        <v>732264.16</v>
      </c>
      <c r="O982" s="4">
        <v>1</v>
      </c>
      <c r="P982" s="3">
        <v>724941.52</v>
      </c>
      <c r="Q982" s="4">
        <v>12.4</v>
      </c>
      <c r="R982" s="3">
        <v>89892.75</v>
      </c>
      <c r="S982" s="1" t="s">
        <v>79</v>
      </c>
    </row>
    <row r="983" spans="1:19" x14ac:dyDescent="0.3">
      <c r="A983" s="5" t="s">
        <v>1461</v>
      </c>
      <c r="B983" s="5" t="s">
        <v>1049</v>
      </c>
      <c r="C983" s="5" t="s">
        <v>117</v>
      </c>
      <c r="D983" s="5" t="s">
        <v>86</v>
      </c>
      <c r="E983" s="6" t="s">
        <v>34</v>
      </c>
      <c r="F983" s="5" t="s">
        <v>35</v>
      </c>
      <c r="G983" s="5" t="s">
        <v>63</v>
      </c>
      <c r="H983" s="5" t="s">
        <v>64</v>
      </c>
      <c r="I983" s="5" t="s">
        <v>55</v>
      </c>
      <c r="J983" s="5" t="s">
        <v>65</v>
      </c>
      <c r="K983" s="5" t="s">
        <v>78</v>
      </c>
      <c r="L983" s="7">
        <v>20907.32</v>
      </c>
      <c r="M983" s="5">
        <v>22</v>
      </c>
      <c r="N983" s="7">
        <v>459961.04</v>
      </c>
      <c r="O983" s="8">
        <v>21.8</v>
      </c>
      <c r="P983" s="7">
        <v>359689.53</v>
      </c>
      <c r="Q983" s="8">
        <v>38.1</v>
      </c>
      <c r="R983" s="7">
        <v>137041.71</v>
      </c>
      <c r="S983" s="5" t="s">
        <v>79</v>
      </c>
    </row>
    <row r="984" spans="1:19" x14ac:dyDescent="0.3">
      <c r="A984" s="1" t="s">
        <v>1462</v>
      </c>
      <c r="B984" s="1" t="s">
        <v>397</v>
      </c>
      <c r="C984" s="1" t="s">
        <v>96</v>
      </c>
      <c r="D984" s="1" t="s">
        <v>86</v>
      </c>
      <c r="E984" s="2" t="s">
        <v>256</v>
      </c>
      <c r="F984" s="1" t="s">
        <v>166</v>
      </c>
      <c r="G984" s="1" t="s">
        <v>63</v>
      </c>
      <c r="H984" s="1" t="s">
        <v>64</v>
      </c>
      <c r="I984" s="1" t="s">
        <v>27</v>
      </c>
      <c r="J984" s="1" t="s">
        <v>28</v>
      </c>
      <c r="K984" s="1" t="s">
        <v>149</v>
      </c>
      <c r="L984" s="3">
        <v>2138.61</v>
      </c>
      <c r="M984" s="1">
        <v>21</v>
      </c>
      <c r="N984" s="3">
        <v>44910.81</v>
      </c>
      <c r="O984" s="4">
        <v>10.4</v>
      </c>
      <c r="P984" s="3">
        <v>40240.089999999997</v>
      </c>
      <c r="Q984" s="4">
        <v>50.4</v>
      </c>
      <c r="R984" s="3">
        <v>20281.009999999998</v>
      </c>
      <c r="S984" s="1" t="s">
        <v>40</v>
      </c>
    </row>
    <row r="985" spans="1:19" x14ac:dyDescent="0.3">
      <c r="A985" s="5" t="s">
        <v>1463</v>
      </c>
      <c r="B985" s="5" t="s">
        <v>973</v>
      </c>
      <c r="C985" s="5" t="s">
        <v>131</v>
      </c>
      <c r="D985" s="5" t="s">
        <v>69</v>
      </c>
      <c r="E985" s="6" t="s">
        <v>82</v>
      </c>
      <c r="F985" s="5" t="s">
        <v>24</v>
      </c>
      <c r="G985" s="5" t="s">
        <v>25</v>
      </c>
      <c r="H985" s="5" t="s">
        <v>215</v>
      </c>
      <c r="I985" s="5" t="s">
        <v>47</v>
      </c>
      <c r="J985" s="5" t="s">
        <v>93</v>
      </c>
      <c r="K985" s="5" t="s">
        <v>39</v>
      </c>
      <c r="L985" s="7">
        <v>86218.62</v>
      </c>
      <c r="M985" s="5">
        <v>9</v>
      </c>
      <c r="N985" s="7">
        <v>775967.58</v>
      </c>
      <c r="O985" s="8">
        <v>10</v>
      </c>
      <c r="P985" s="7">
        <v>698370.82</v>
      </c>
      <c r="Q985" s="8">
        <v>22.2</v>
      </c>
      <c r="R985" s="7">
        <v>155038.32</v>
      </c>
      <c r="S985" s="5" t="s">
        <v>40</v>
      </c>
    </row>
    <row r="986" spans="1:19" x14ac:dyDescent="0.3">
      <c r="A986" s="1" t="s">
        <v>1464</v>
      </c>
      <c r="B986" s="1" t="s">
        <v>775</v>
      </c>
      <c r="C986" s="1" t="s">
        <v>43</v>
      </c>
      <c r="D986" s="1" t="s">
        <v>22</v>
      </c>
      <c r="E986" s="2" t="s">
        <v>194</v>
      </c>
      <c r="F986" s="1" t="s">
        <v>52</v>
      </c>
      <c r="G986" s="1" t="s">
        <v>53</v>
      </c>
      <c r="H986" s="1" t="s">
        <v>71</v>
      </c>
      <c r="I986" s="1" t="s">
        <v>72</v>
      </c>
      <c r="J986" s="1" t="s">
        <v>93</v>
      </c>
      <c r="K986" s="1" t="s">
        <v>56</v>
      </c>
      <c r="L986" s="3">
        <v>2389.0300000000002</v>
      </c>
      <c r="M986" s="1">
        <v>10</v>
      </c>
      <c r="N986" s="3">
        <v>23890.3</v>
      </c>
      <c r="O986" s="4">
        <v>24.3</v>
      </c>
      <c r="P986" s="3">
        <v>18084.96</v>
      </c>
      <c r="Q986" s="4">
        <v>45.7</v>
      </c>
      <c r="R986" s="3">
        <v>8264.83</v>
      </c>
      <c r="S986" s="1" t="s">
        <v>79</v>
      </c>
    </row>
    <row r="987" spans="1:19" x14ac:dyDescent="0.3">
      <c r="A987" s="5" t="s">
        <v>1465</v>
      </c>
      <c r="B987" s="5" t="s">
        <v>223</v>
      </c>
      <c r="C987" s="5" t="s">
        <v>33</v>
      </c>
      <c r="D987" s="5" t="s">
        <v>22</v>
      </c>
      <c r="E987" s="6" t="s">
        <v>303</v>
      </c>
      <c r="F987" s="5" t="s">
        <v>62</v>
      </c>
      <c r="G987" s="5" t="s">
        <v>109</v>
      </c>
      <c r="H987" s="5" t="s">
        <v>122</v>
      </c>
      <c r="I987" s="5" t="s">
        <v>27</v>
      </c>
      <c r="J987" s="5" t="s">
        <v>47</v>
      </c>
      <c r="K987" s="5" t="s">
        <v>111</v>
      </c>
      <c r="L987" s="7">
        <v>402.69</v>
      </c>
      <c r="M987" s="5">
        <v>11</v>
      </c>
      <c r="N987" s="7">
        <v>4429.59</v>
      </c>
      <c r="O987" s="8">
        <v>13.2</v>
      </c>
      <c r="P987" s="7">
        <v>3844.88</v>
      </c>
      <c r="Q987" s="8">
        <v>66.5</v>
      </c>
      <c r="R987" s="7">
        <v>2556.85</v>
      </c>
      <c r="S987" s="5" t="s">
        <v>112</v>
      </c>
    </row>
    <row r="988" spans="1:19" x14ac:dyDescent="0.3">
      <c r="A988" s="1" t="s">
        <v>1466</v>
      </c>
      <c r="B988" s="1" t="s">
        <v>144</v>
      </c>
      <c r="C988" s="1" t="s">
        <v>75</v>
      </c>
      <c r="D988" s="1" t="s">
        <v>60</v>
      </c>
      <c r="E988" s="2" t="s">
        <v>174</v>
      </c>
      <c r="F988" s="1" t="s">
        <v>45</v>
      </c>
      <c r="G988" s="1" t="s">
        <v>63</v>
      </c>
      <c r="H988" s="1" t="s">
        <v>87</v>
      </c>
      <c r="I988" s="1" t="s">
        <v>55</v>
      </c>
      <c r="J988" s="1" t="s">
        <v>65</v>
      </c>
      <c r="K988" s="1" t="s">
        <v>48</v>
      </c>
      <c r="L988" s="3">
        <v>1012.4</v>
      </c>
      <c r="M988" s="1">
        <v>22</v>
      </c>
      <c r="N988" s="3">
        <v>22272.799999999999</v>
      </c>
      <c r="O988" s="4">
        <v>21.3</v>
      </c>
      <c r="P988" s="3">
        <v>17528.689999999999</v>
      </c>
      <c r="Q988" s="4">
        <v>32.299999999999997</v>
      </c>
      <c r="R988" s="3">
        <v>5661.77</v>
      </c>
      <c r="S988" s="1" t="s">
        <v>40</v>
      </c>
    </row>
    <row r="989" spans="1:19" x14ac:dyDescent="0.3">
      <c r="A989" s="5" t="s">
        <v>1467</v>
      </c>
      <c r="B989" s="5" t="s">
        <v>243</v>
      </c>
      <c r="C989" s="5" t="s">
        <v>96</v>
      </c>
      <c r="D989" s="5" t="s">
        <v>86</v>
      </c>
      <c r="E989" s="6" t="s">
        <v>174</v>
      </c>
      <c r="F989" s="5" t="s">
        <v>45</v>
      </c>
      <c r="G989" s="5" t="s">
        <v>109</v>
      </c>
      <c r="H989" s="5" t="s">
        <v>189</v>
      </c>
      <c r="I989" s="5" t="s">
        <v>27</v>
      </c>
      <c r="J989" s="5" t="s">
        <v>28</v>
      </c>
      <c r="K989" s="5" t="s">
        <v>102</v>
      </c>
      <c r="L989" s="7">
        <v>1261.07</v>
      </c>
      <c r="M989" s="5">
        <v>13</v>
      </c>
      <c r="N989" s="7">
        <v>16393.91</v>
      </c>
      <c r="O989" s="8">
        <v>12</v>
      </c>
      <c r="P989" s="7">
        <v>14426.64</v>
      </c>
      <c r="Q989" s="8">
        <v>24.9</v>
      </c>
      <c r="R989" s="7">
        <v>3592.23</v>
      </c>
      <c r="S989" s="5" t="s">
        <v>30</v>
      </c>
    </row>
    <row r="990" spans="1:19" x14ac:dyDescent="0.3">
      <c r="A990" s="1" t="s">
        <v>1468</v>
      </c>
      <c r="B990" s="1" t="s">
        <v>690</v>
      </c>
      <c r="C990" s="1" t="s">
        <v>33</v>
      </c>
      <c r="D990" s="1" t="s">
        <v>22</v>
      </c>
      <c r="E990" s="2" t="s">
        <v>165</v>
      </c>
      <c r="F990" s="1" t="s">
        <v>166</v>
      </c>
      <c r="G990" s="1" t="s">
        <v>36</v>
      </c>
      <c r="H990" s="1" t="s">
        <v>105</v>
      </c>
      <c r="I990" s="1" t="s">
        <v>47</v>
      </c>
      <c r="J990" s="1" t="s">
        <v>47</v>
      </c>
      <c r="K990" s="1" t="s">
        <v>102</v>
      </c>
      <c r="L990" s="3">
        <v>628.14</v>
      </c>
      <c r="M990" s="1">
        <v>23</v>
      </c>
      <c r="N990" s="3">
        <v>14447.22</v>
      </c>
      <c r="O990" s="4">
        <v>3.2</v>
      </c>
      <c r="P990" s="3">
        <v>13984.91</v>
      </c>
      <c r="Q990" s="4">
        <v>49.1</v>
      </c>
      <c r="R990" s="3">
        <v>6866.59</v>
      </c>
      <c r="S990" s="1" t="s">
        <v>79</v>
      </c>
    </row>
    <row r="991" spans="1:19" x14ac:dyDescent="0.3">
      <c r="A991" s="5" t="s">
        <v>1469</v>
      </c>
      <c r="B991" s="5" t="s">
        <v>1072</v>
      </c>
      <c r="C991" s="5" t="s">
        <v>59</v>
      </c>
      <c r="D991" s="5" t="s">
        <v>60</v>
      </c>
      <c r="E991" s="6" t="s">
        <v>148</v>
      </c>
      <c r="F991" s="5" t="s">
        <v>52</v>
      </c>
      <c r="G991" s="5" t="s">
        <v>109</v>
      </c>
      <c r="H991" s="5" t="s">
        <v>110</v>
      </c>
      <c r="I991" s="5" t="s">
        <v>72</v>
      </c>
      <c r="J991" s="5" t="s">
        <v>65</v>
      </c>
      <c r="K991" s="5" t="s">
        <v>48</v>
      </c>
      <c r="L991" s="7">
        <v>1765.72</v>
      </c>
      <c r="M991" s="5">
        <v>13</v>
      </c>
      <c r="N991" s="7">
        <v>22954.36</v>
      </c>
      <c r="O991" s="8">
        <v>16.100000000000001</v>
      </c>
      <c r="P991" s="7">
        <v>19258.71</v>
      </c>
      <c r="Q991" s="8">
        <v>40.5</v>
      </c>
      <c r="R991" s="7">
        <v>7799.78</v>
      </c>
      <c r="S991" s="5" t="s">
        <v>40</v>
      </c>
    </row>
    <row r="992" spans="1:19" x14ac:dyDescent="0.3">
      <c r="A992" s="1" t="s">
        <v>1470</v>
      </c>
      <c r="B992" s="1" t="s">
        <v>336</v>
      </c>
      <c r="C992" s="1" t="s">
        <v>59</v>
      </c>
      <c r="D992" s="1" t="s">
        <v>60</v>
      </c>
      <c r="E992" s="2" t="s">
        <v>246</v>
      </c>
      <c r="F992" s="1" t="s">
        <v>52</v>
      </c>
      <c r="G992" s="1" t="s">
        <v>109</v>
      </c>
      <c r="H992" s="1" t="s">
        <v>152</v>
      </c>
      <c r="I992" s="1" t="s">
        <v>27</v>
      </c>
      <c r="J992" s="1" t="s">
        <v>93</v>
      </c>
      <c r="K992" s="1" t="s">
        <v>56</v>
      </c>
      <c r="L992" s="3">
        <v>5596.4</v>
      </c>
      <c r="M992" s="1">
        <v>8</v>
      </c>
      <c r="N992" s="3">
        <v>44771.199999999997</v>
      </c>
      <c r="O992" s="4">
        <v>24.9</v>
      </c>
      <c r="P992" s="3">
        <v>33623.17</v>
      </c>
      <c r="Q992" s="4">
        <v>38.700000000000003</v>
      </c>
      <c r="R992" s="3">
        <v>13012.17</v>
      </c>
      <c r="S992" s="1" t="s">
        <v>40</v>
      </c>
    </row>
    <row r="993" spans="1:19" x14ac:dyDescent="0.3">
      <c r="A993" s="5" t="s">
        <v>1471</v>
      </c>
      <c r="B993" s="5" t="s">
        <v>315</v>
      </c>
      <c r="C993" s="5" t="s">
        <v>75</v>
      </c>
      <c r="D993" s="5" t="s">
        <v>60</v>
      </c>
      <c r="E993" s="6" t="s">
        <v>148</v>
      </c>
      <c r="F993" s="5" t="s">
        <v>52</v>
      </c>
      <c r="G993" s="5" t="s">
        <v>109</v>
      </c>
      <c r="H993" s="5" t="s">
        <v>122</v>
      </c>
      <c r="I993" s="5" t="s">
        <v>47</v>
      </c>
      <c r="J993" s="5" t="s">
        <v>93</v>
      </c>
      <c r="K993" s="5" t="s">
        <v>159</v>
      </c>
      <c r="L993" s="7">
        <v>4012.1</v>
      </c>
      <c r="M993" s="5">
        <v>7</v>
      </c>
      <c r="N993" s="7">
        <v>28084.7</v>
      </c>
      <c r="O993" s="8">
        <v>20.6</v>
      </c>
      <c r="P993" s="7">
        <v>22299.25</v>
      </c>
      <c r="Q993" s="8">
        <v>45.8</v>
      </c>
      <c r="R993" s="7">
        <v>10213.06</v>
      </c>
      <c r="S993" s="5" t="s">
        <v>40</v>
      </c>
    </row>
    <row r="994" spans="1:19" x14ac:dyDescent="0.3">
      <c r="A994" s="1" t="s">
        <v>1472</v>
      </c>
      <c r="B994" s="1" t="s">
        <v>1052</v>
      </c>
      <c r="C994" s="1" t="s">
        <v>117</v>
      </c>
      <c r="D994" s="1" t="s">
        <v>86</v>
      </c>
      <c r="E994" s="2" t="s">
        <v>165</v>
      </c>
      <c r="F994" s="1" t="s">
        <v>166</v>
      </c>
      <c r="G994" s="1" t="s">
        <v>63</v>
      </c>
      <c r="H994" s="1" t="s">
        <v>92</v>
      </c>
      <c r="I994" s="1" t="s">
        <v>27</v>
      </c>
      <c r="J994" s="1" t="s">
        <v>93</v>
      </c>
      <c r="K994" s="1" t="s">
        <v>102</v>
      </c>
      <c r="L994" s="3">
        <v>1548.75</v>
      </c>
      <c r="M994" s="1">
        <v>1</v>
      </c>
      <c r="N994" s="3">
        <v>1548.75</v>
      </c>
      <c r="O994" s="4">
        <v>2.2999999999999998</v>
      </c>
      <c r="P994" s="3">
        <v>1513.13</v>
      </c>
      <c r="Q994" s="4">
        <v>43.1</v>
      </c>
      <c r="R994" s="3">
        <v>652.16</v>
      </c>
      <c r="S994" s="1" t="s">
        <v>40</v>
      </c>
    </row>
    <row r="995" spans="1:19" x14ac:dyDescent="0.3">
      <c r="A995" s="5" t="s">
        <v>1473</v>
      </c>
      <c r="B995" s="5" t="s">
        <v>681</v>
      </c>
      <c r="C995" s="5" t="s">
        <v>117</v>
      </c>
      <c r="D995" s="5" t="s">
        <v>86</v>
      </c>
      <c r="E995" s="6" t="s">
        <v>410</v>
      </c>
      <c r="F995" s="5" t="s">
        <v>166</v>
      </c>
      <c r="G995" s="5" t="s">
        <v>63</v>
      </c>
      <c r="H995" s="5" t="s">
        <v>167</v>
      </c>
      <c r="I995" s="5" t="s">
        <v>55</v>
      </c>
      <c r="J995" s="5" t="s">
        <v>93</v>
      </c>
      <c r="K995" s="5" t="s">
        <v>56</v>
      </c>
      <c r="L995" s="7">
        <v>1972.71</v>
      </c>
      <c r="M995" s="5">
        <v>25</v>
      </c>
      <c r="N995" s="7">
        <v>49317.75</v>
      </c>
      <c r="O995" s="8">
        <v>9</v>
      </c>
      <c r="P995" s="7">
        <v>44879.15</v>
      </c>
      <c r="Q995" s="8">
        <v>56.8</v>
      </c>
      <c r="R995" s="7">
        <v>25491.360000000001</v>
      </c>
      <c r="S995" s="5" t="s">
        <v>40</v>
      </c>
    </row>
    <row r="996" spans="1:19" x14ac:dyDescent="0.3">
      <c r="A996" s="1" t="s">
        <v>1474</v>
      </c>
      <c r="B996" s="1" t="s">
        <v>448</v>
      </c>
      <c r="C996" s="1" t="s">
        <v>33</v>
      </c>
      <c r="D996" s="1" t="s">
        <v>22</v>
      </c>
      <c r="E996" s="2" t="s">
        <v>174</v>
      </c>
      <c r="F996" s="1" t="s">
        <v>45</v>
      </c>
      <c r="G996" s="1" t="s">
        <v>25</v>
      </c>
      <c r="H996" s="1" t="s">
        <v>46</v>
      </c>
      <c r="I996" s="1" t="s">
        <v>38</v>
      </c>
      <c r="J996" s="1" t="s">
        <v>47</v>
      </c>
      <c r="K996" s="1" t="s">
        <v>29</v>
      </c>
      <c r="L996" s="3">
        <v>240.73</v>
      </c>
      <c r="M996" s="1">
        <v>16</v>
      </c>
      <c r="N996" s="3">
        <v>3851.68</v>
      </c>
      <c r="O996" s="4">
        <v>10.3</v>
      </c>
      <c r="P996" s="3">
        <v>3454.96</v>
      </c>
      <c r="Q996" s="4">
        <v>32.299999999999997</v>
      </c>
      <c r="R996" s="3">
        <v>1115.95</v>
      </c>
      <c r="S996" s="1" t="s">
        <v>40</v>
      </c>
    </row>
    <row r="997" spans="1:19" x14ac:dyDescent="0.3">
      <c r="A997" s="5" t="s">
        <v>1475</v>
      </c>
      <c r="B997" s="5" t="s">
        <v>298</v>
      </c>
      <c r="C997" s="5" t="s">
        <v>59</v>
      </c>
      <c r="D997" s="5" t="s">
        <v>60</v>
      </c>
      <c r="E997" s="6" t="s">
        <v>23</v>
      </c>
      <c r="F997" s="5" t="s">
        <v>24</v>
      </c>
      <c r="G997" s="5" t="s">
        <v>63</v>
      </c>
      <c r="H997" s="5" t="s">
        <v>92</v>
      </c>
      <c r="I997" s="5" t="s">
        <v>47</v>
      </c>
      <c r="J997" s="5" t="s">
        <v>47</v>
      </c>
      <c r="K997" s="5" t="s">
        <v>48</v>
      </c>
      <c r="L997" s="7">
        <v>25141.27</v>
      </c>
      <c r="M997" s="5">
        <v>8</v>
      </c>
      <c r="N997" s="7">
        <v>201130.16</v>
      </c>
      <c r="O997" s="8">
        <v>16.8</v>
      </c>
      <c r="P997" s="7">
        <v>167340.29</v>
      </c>
      <c r="Q997" s="8">
        <v>23.8</v>
      </c>
      <c r="R997" s="7">
        <v>39826.99</v>
      </c>
      <c r="S997" s="5" t="s">
        <v>79</v>
      </c>
    </row>
    <row r="998" spans="1:19" x14ac:dyDescent="0.3">
      <c r="A998" s="1" t="s">
        <v>1476</v>
      </c>
      <c r="B998" s="1" t="s">
        <v>1477</v>
      </c>
      <c r="C998" s="1" t="s">
        <v>59</v>
      </c>
      <c r="D998" s="1" t="s">
        <v>60</v>
      </c>
      <c r="E998" s="2" t="s">
        <v>184</v>
      </c>
      <c r="F998" s="1" t="s">
        <v>45</v>
      </c>
      <c r="G998" s="1" t="s">
        <v>53</v>
      </c>
      <c r="H998" s="1" t="s">
        <v>77</v>
      </c>
      <c r="I998" s="1" t="s">
        <v>72</v>
      </c>
      <c r="J998" s="1" t="s">
        <v>47</v>
      </c>
      <c r="K998" s="1" t="s">
        <v>48</v>
      </c>
      <c r="L998" s="3">
        <v>155.76</v>
      </c>
      <c r="M998" s="1">
        <v>11</v>
      </c>
      <c r="N998" s="3">
        <v>1713.36</v>
      </c>
      <c r="O998" s="4">
        <v>0.8</v>
      </c>
      <c r="P998" s="3">
        <v>1699.65</v>
      </c>
      <c r="Q998" s="4">
        <v>40.1</v>
      </c>
      <c r="R998" s="3">
        <v>681.56</v>
      </c>
      <c r="S998" s="1" t="s">
        <v>40</v>
      </c>
    </row>
    <row r="999" spans="1:19" x14ac:dyDescent="0.3">
      <c r="A999" s="5" t="s">
        <v>1478</v>
      </c>
      <c r="B999" s="5" t="s">
        <v>725</v>
      </c>
      <c r="C999" s="5" t="s">
        <v>101</v>
      </c>
      <c r="D999" s="5" t="s">
        <v>60</v>
      </c>
      <c r="E999" s="6" t="s">
        <v>303</v>
      </c>
      <c r="F999" s="5" t="s">
        <v>62</v>
      </c>
      <c r="G999" s="5" t="s">
        <v>109</v>
      </c>
      <c r="H999" s="5" t="s">
        <v>122</v>
      </c>
      <c r="I999" s="5" t="s">
        <v>27</v>
      </c>
      <c r="J999" s="5" t="s">
        <v>47</v>
      </c>
      <c r="K999" s="5" t="s">
        <v>48</v>
      </c>
      <c r="L999" s="7">
        <v>2935.36</v>
      </c>
      <c r="M999" s="5">
        <v>25</v>
      </c>
      <c r="N999" s="7">
        <v>73384</v>
      </c>
      <c r="O999" s="8">
        <v>5.0999999999999996</v>
      </c>
      <c r="P999" s="7">
        <v>69641.42</v>
      </c>
      <c r="Q999" s="8">
        <v>56</v>
      </c>
      <c r="R999" s="7">
        <v>38999.199999999997</v>
      </c>
      <c r="S999" s="5" t="s">
        <v>40</v>
      </c>
    </row>
    <row r="1000" spans="1:19" x14ac:dyDescent="0.3">
      <c r="A1000" s="1" t="s">
        <v>1479</v>
      </c>
      <c r="B1000" s="1" t="s">
        <v>787</v>
      </c>
      <c r="C1000" s="1" t="s">
        <v>135</v>
      </c>
      <c r="D1000" s="1" t="s">
        <v>69</v>
      </c>
      <c r="E1000" s="2" t="s">
        <v>23</v>
      </c>
      <c r="F1000" s="1" t="s">
        <v>24</v>
      </c>
      <c r="G1000" s="1" t="s">
        <v>109</v>
      </c>
      <c r="H1000" s="1" t="s">
        <v>152</v>
      </c>
      <c r="I1000" s="1" t="s">
        <v>72</v>
      </c>
      <c r="J1000" s="1" t="s">
        <v>47</v>
      </c>
      <c r="K1000" s="1" t="s">
        <v>88</v>
      </c>
      <c r="L1000" s="3">
        <v>46571.8</v>
      </c>
      <c r="M1000" s="1">
        <v>11</v>
      </c>
      <c r="N1000" s="3">
        <v>512289.8</v>
      </c>
      <c r="O1000" s="4">
        <v>3.1</v>
      </c>
      <c r="P1000" s="3">
        <v>496408.82</v>
      </c>
      <c r="Q1000" s="4">
        <v>14.8</v>
      </c>
      <c r="R1000" s="3">
        <v>73468.509999999995</v>
      </c>
      <c r="S1000" s="1" t="s">
        <v>40</v>
      </c>
    </row>
    <row r="1001" spans="1:19" x14ac:dyDescent="0.3">
      <c r="A1001" s="5" t="s">
        <v>1480</v>
      </c>
      <c r="B1001" s="5" t="s">
        <v>1481</v>
      </c>
      <c r="C1001" s="5" t="s">
        <v>75</v>
      </c>
      <c r="D1001" s="5" t="s">
        <v>60</v>
      </c>
      <c r="E1001" s="6" t="s">
        <v>346</v>
      </c>
      <c r="F1001" s="5" t="s">
        <v>35</v>
      </c>
      <c r="G1001" s="5" t="s">
        <v>36</v>
      </c>
      <c r="H1001" s="5" t="s">
        <v>37</v>
      </c>
      <c r="I1001" s="5" t="s">
        <v>27</v>
      </c>
      <c r="J1001" s="5" t="s">
        <v>28</v>
      </c>
      <c r="K1001" s="5" t="s">
        <v>88</v>
      </c>
      <c r="L1001" s="7">
        <v>23512.01</v>
      </c>
      <c r="M1001" s="5">
        <v>23</v>
      </c>
      <c r="N1001" s="7">
        <v>540776.23</v>
      </c>
      <c r="O1001" s="8">
        <v>15.2</v>
      </c>
      <c r="P1001" s="7">
        <v>458578.24</v>
      </c>
      <c r="Q1001" s="8">
        <v>36</v>
      </c>
      <c r="R1001" s="7">
        <v>165088.17000000001</v>
      </c>
      <c r="S1001" s="5" t="s">
        <v>40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28921-3DBF-4B76-95FD-07B144C68402}">
  <dimension ref="A1"/>
  <sheetViews>
    <sheetView zoomScale="90" zoomScaleNormal="100" workbookViewId="0">
      <selection activeCell="J29" sqref="J29"/>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EA323-95D2-4A94-B95B-A1F804CCE0C5}">
  <dimension ref="A3:B10"/>
  <sheetViews>
    <sheetView tabSelected="1" topLeftCell="A2" zoomScale="80" workbookViewId="0">
      <selection activeCell="T14" sqref="T14"/>
    </sheetView>
  </sheetViews>
  <sheetFormatPr defaultRowHeight="14.4" x14ac:dyDescent="0.3"/>
  <cols>
    <col min="1" max="1" width="12.5546875" bestFit="1" customWidth="1"/>
    <col min="2" max="2" width="23.33203125" bestFit="1" customWidth="1"/>
  </cols>
  <sheetData>
    <row r="3" spans="1:2" x14ac:dyDescent="0.3">
      <c r="A3" s="11" t="s">
        <v>1482</v>
      </c>
      <c r="B3" t="s">
        <v>1486</v>
      </c>
    </row>
    <row r="4" spans="1:2" x14ac:dyDescent="0.3">
      <c r="A4" s="12" t="s">
        <v>53</v>
      </c>
      <c r="B4" s="13">
        <v>31003083.380000014</v>
      </c>
    </row>
    <row r="5" spans="1:2" x14ac:dyDescent="0.3">
      <c r="A5" s="12" t="s">
        <v>25</v>
      </c>
      <c r="B5" s="13">
        <v>29059845.77999999</v>
      </c>
    </row>
    <row r="6" spans="1:2" x14ac:dyDescent="0.3">
      <c r="A6" s="12" t="s">
        <v>109</v>
      </c>
      <c r="B6" s="13">
        <v>27822294.959999997</v>
      </c>
    </row>
    <row r="7" spans="1:2" x14ac:dyDescent="0.3">
      <c r="A7" s="12" t="s">
        <v>36</v>
      </c>
      <c r="B7" s="13">
        <v>20281465.5</v>
      </c>
    </row>
    <row r="8" spans="1:2" x14ac:dyDescent="0.3">
      <c r="A8" s="12" t="s">
        <v>63</v>
      </c>
      <c r="B8" s="13">
        <v>29893994.610000007</v>
      </c>
    </row>
    <row r="9" spans="1:2" x14ac:dyDescent="0.3">
      <c r="A9" s="12" t="s">
        <v>1484</v>
      </c>
      <c r="B9" s="13"/>
    </row>
    <row r="10" spans="1:2" x14ac:dyDescent="0.3">
      <c r="A10" s="12" t="s">
        <v>1483</v>
      </c>
      <c r="B10" s="13">
        <v>138060684.23000002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C6B6A-5376-4D29-B6B0-1EEA62104D07}">
  <dimension ref="A3:B17"/>
  <sheetViews>
    <sheetView topLeftCell="A2" workbookViewId="0">
      <selection activeCell="B24" sqref="B24"/>
    </sheetView>
  </sheetViews>
  <sheetFormatPr defaultRowHeight="14.4" x14ac:dyDescent="0.3"/>
  <cols>
    <col min="1" max="1" width="12.5546875" bestFit="1" customWidth="1"/>
    <col min="2" max="2" width="23.33203125" bestFit="1" customWidth="1"/>
  </cols>
  <sheetData>
    <row r="3" spans="1:2" x14ac:dyDescent="0.3">
      <c r="A3" s="11" t="s">
        <v>1482</v>
      </c>
      <c r="B3" t="s">
        <v>1486</v>
      </c>
    </row>
    <row r="4" spans="1:2" x14ac:dyDescent="0.3">
      <c r="A4" s="12" t="s">
        <v>96</v>
      </c>
      <c r="B4" s="13">
        <v>9356360.2700000033</v>
      </c>
    </row>
    <row r="5" spans="1:2" x14ac:dyDescent="0.3">
      <c r="A5" s="12" t="s">
        <v>85</v>
      </c>
      <c r="B5" s="13">
        <v>7809286.7000000011</v>
      </c>
    </row>
    <row r="6" spans="1:2" x14ac:dyDescent="0.3">
      <c r="A6" s="12" t="s">
        <v>117</v>
      </c>
      <c r="B6" s="13">
        <v>9261001.0299999993</v>
      </c>
    </row>
    <row r="7" spans="1:2" x14ac:dyDescent="0.3">
      <c r="A7" s="12" t="s">
        <v>68</v>
      </c>
      <c r="B7" s="13">
        <v>10370820.18</v>
      </c>
    </row>
    <row r="8" spans="1:2" x14ac:dyDescent="0.3">
      <c r="A8" s="12" t="s">
        <v>135</v>
      </c>
      <c r="B8" s="13">
        <v>9109341.8800000008</v>
      </c>
    </row>
    <row r="9" spans="1:2" x14ac:dyDescent="0.3">
      <c r="A9" s="12" t="s">
        <v>131</v>
      </c>
      <c r="B9" s="13">
        <v>12809359.590000004</v>
      </c>
    </row>
    <row r="10" spans="1:2" x14ac:dyDescent="0.3">
      <c r="A10" s="12" t="s">
        <v>75</v>
      </c>
      <c r="B10" s="13">
        <v>12251346.580000006</v>
      </c>
    </row>
    <row r="11" spans="1:2" x14ac:dyDescent="0.3">
      <c r="A11" s="12" t="s">
        <v>101</v>
      </c>
      <c r="B11" s="13">
        <v>16655769.910000002</v>
      </c>
    </row>
    <row r="12" spans="1:2" x14ac:dyDescent="0.3">
      <c r="A12" s="12" t="s">
        <v>59</v>
      </c>
      <c r="B12" s="13">
        <v>10392525.690000003</v>
      </c>
    </row>
    <row r="13" spans="1:2" x14ac:dyDescent="0.3">
      <c r="A13" s="12" t="s">
        <v>43</v>
      </c>
      <c r="B13" s="13">
        <v>13402283.58</v>
      </c>
    </row>
    <row r="14" spans="1:2" x14ac:dyDescent="0.3">
      <c r="A14" s="12" t="s">
        <v>21</v>
      </c>
      <c r="B14" s="13">
        <v>11064568.610000003</v>
      </c>
    </row>
    <row r="15" spans="1:2" x14ac:dyDescent="0.3">
      <c r="A15" s="12" t="s">
        <v>33</v>
      </c>
      <c r="B15" s="13">
        <v>15578020.210000008</v>
      </c>
    </row>
    <row r="16" spans="1:2" x14ac:dyDescent="0.3">
      <c r="A16" s="12" t="s">
        <v>1484</v>
      </c>
      <c r="B16" s="13"/>
    </row>
    <row r="17" spans="1:2" x14ac:dyDescent="0.3">
      <c r="A17" s="12" t="s">
        <v>1483</v>
      </c>
      <c r="B17" s="13">
        <v>138060684.23000002</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67436-D351-49CD-9E0C-4929A169EAFC}">
  <dimension ref="A3:B10"/>
  <sheetViews>
    <sheetView workbookViewId="0">
      <selection activeCell="C20" sqref="C20"/>
    </sheetView>
  </sheetViews>
  <sheetFormatPr defaultRowHeight="14.4" x14ac:dyDescent="0.3"/>
  <cols>
    <col min="1" max="1" width="12.5546875" bestFit="1" customWidth="1"/>
    <col min="2" max="2" width="15.5546875" bestFit="1" customWidth="1"/>
  </cols>
  <sheetData>
    <row r="3" spans="1:2" x14ac:dyDescent="0.3">
      <c r="A3" s="11" t="s">
        <v>1482</v>
      </c>
      <c r="B3" t="s">
        <v>1485</v>
      </c>
    </row>
    <row r="4" spans="1:2" x14ac:dyDescent="0.3">
      <c r="A4" s="12" t="s">
        <v>166</v>
      </c>
      <c r="B4" s="13">
        <v>195</v>
      </c>
    </row>
    <row r="5" spans="1:2" x14ac:dyDescent="0.3">
      <c r="A5" s="12" t="s">
        <v>62</v>
      </c>
      <c r="B5" s="13">
        <v>152</v>
      </c>
    </row>
    <row r="6" spans="1:2" x14ac:dyDescent="0.3">
      <c r="A6" s="12" t="s">
        <v>24</v>
      </c>
      <c r="B6" s="13">
        <v>153</v>
      </c>
    </row>
    <row r="7" spans="1:2" x14ac:dyDescent="0.3">
      <c r="A7" s="12" t="s">
        <v>45</v>
      </c>
      <c r="B7" s="13">
        <v>164</v>
      </c>
    </row>
    <row r="8" spans="1:2" x14ac:dyDescent="0.3">
      <c r="A8" s="12" t="s">
        <v>35</v>
      </c>
      <c r="B8" s="13">
        <v>160</v>
      </c>
    </row>
    <row r="9" spans="1:2" x14ac:dyDescent="0.3">
      <c r="A9" s="12" t="s">
        <v>52</v>
      </c>
      <c r="B9" s="13">
        <v>176</v>
      </c>
    </row>
    <row r="10" spans="1:2" x14ac:dyDescent="0.3">
      <c r="A10" s="12" t="s">
        <v>1483</v>
      </c>
      <c r="B10" s="13">
        <v>1000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8925F-A393-4C02-B887-7F71719132F7}">
  <dimension ref="A3:B9"/>
  <sheetViews>
    <sheetView workbookViewId="0">
      <selection activeCell="B21" sqref="B21"/>
    </sheetView>
  </sheetViews>
  <sheetFormatPr defaultRowHeight="14.4" x14ac:dyDescent="0.3"/>
  <cols>
    <col min="1" max="1" width="12.5546875" bestFit="1" customWidth="1"/>
    <col min="2" max="2" width="23.33203125" bestFit="1" customWidth="1"/>
  </cols>
  <sheetData>
    <row r="3" spans="1:2" x14ac:dyDescent="0.3">
      <c r="A3" s="11" t="s">
        <v>1482</v>
      </c>
      <c r="B3" t="s">
        <v>1486</v>
      </c>
    </row>
    <row r="4" spans="1:2" x14ac:dyDescent="0.3">
      <c r="A4" s="12" t="s">
        <v>72</v>
      </c>
      <c r="B4" s="13">
        <v>28217202.100000009</v>
      </c>
    </row>
    <row r="5" spans="1:2" x14ac:dyDescent="0.3">
      <c r="A5" s="12" t="s">
        <v>47</v>
      </c>
      <c r="B5" s="13">
        <v>32016775.300000008</v>
      </c>
    </row>
    <row r="6" spans="1:2" x14ac:dyDescent="0.3">
      <c r="A6" s="12" t="s">
        <v>55</v>
      </c>
      <c r="B6" s="13">
        <v>31287940.649999984</v>
      </c>
    </row>
    <row r="7" spans="1:2" x14ac:dyDescent="0.3">
      <c r="A7" s="12" t="s">
        <v>27</v>
      </c>
      <c r="B7" s="13">
        <v>19735879.280000005</v>
      </c>
    </row>
    <row r="8" spans="1:2" x14ac:dyDescent="0.3">
      <c r="A8" s="12" t="s">
        <v>38</v>
      </c>
      <c r="B8" s="13">
        <v>26802886.899999995</v>
      </c>
    </row>
    <row r="9" spans="1:2" x14ac:dyDescent="0.3">
      <c r="A9" s="12" t="s">
        <v>1483</v>
      </c>
      <c r="B9" s="13">
        <v>138060684.23000002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29F3B-9D14-45E3-B0FF-10DEE2F75247}">
  <dimension ref="A1:B8"/>
  <sheetViews>
    <sheetView workbookViewId="0">
      <selection activeCell="C15" sqref="C15"/>
    </sheetView>
  </sheetViews>
  <sheetFormatPr defaultRowHeight="14.4" x14ac:dyDescent="0.3"/>
  <cols>
    <col min="1" max="1" width="12.5546875" bestFit="1" customWidth="1"/>
    <col min="2" max="2" width="16.77734375" bestFit="1" customWidth="1"/>
  </cols>
  <sheetData>
    <row r="1" spans="1:2" x14ac:dyDescent="0.3">
      <c r="A1" s="11" t="s">
        <v>1482</v>
      </c>
      <c r="B1" t="s">
        <v>1487</v>
      </c>
    </row>
    <row r="2" spans="1:2" x14ac:dyDescent="0.3">
      <c r="A2" s="12" t="s">
        <v>166</v>
      </c>
      <c r="B2" s="13">
        <v>9680.3999999999978</v>
      </c>
    </row>
    <row r="3" spans="1:2" x14ac:dyDescent="0.3">
      <c r="A3" s="12" t="s">
        <v>62</v>
      </c>
      <c r="B3" s="13">
        <v>9016.6</v>
      </c>
    </row>
    <row r="4" spans="1:2" x14ac:dyDescent="0.3">
      <c r="A4" s="12" t="s">
        <v>24</v>
      </c>
      <c r="B4" s="13">
        <v>3476.6999999999994</v>
      </c>
    </row>
    <row r="5" spans="1:2" x14ac:dyDescent="0.3">
      <c r="A5" s="12" t="s">
        <v>45</v>
      </c>
      <c r="B5" s="13">
        <v>4837.3999999999996</v>
      </c>
    </row>
    <row r="6" spans="1:2" x14ac:dyDescent="0.3">
      <c r="A6" s="12" t="s">
        <v>35</v>
      </c>
      <c r="B6" s="13">
        <v>6338.1000000000013</v>
      </c>
    </row>
    <row r="7" spans="1:2" x14ac:dyDescent="0.3">
      <c r="A7" s="12" t="s">
        <v>52</v>
      </c>
      <c r="B7" s="13">
        <v>5936.0999999999995</v>
      </c>
    </row>
    <row r="8" spans="1:2" x14ac:dyDescent="0.3">
      <c r="A8" s="12" t="s">
        <v>1483</v>
      </c>
      <c r="B8" s="13">
        <v>39285.299999999996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2CBF2-BD01-4C31-9316-0326B992BD61}">
  <dimension ref="A3:B14"/>
  <sheetViews>
    <sheetView workbookViewId="0">
      <selection activeCell="B22" sqref="B22"/>
    </sheetView>
  </sheetViews>
  <sheetFormatPr defaultRowHeight="14.4" x14ac:dyDescent="0.3"/>
  <cols>
    <col min="1" max="1" width="15.5546875" bestFit="1" customWidth="1"/>
    <col min="2" max="2" width="23.33203125" bestFit="1" customWidth="1"/>
  </cols>
  <sheetData>
    <row r="3" spans="1:2" x14ac:dyDescent="0.3">
      <c r="A3" s="11" t="s">
        <v>1482</v>
      </c>
      <c r="B3" t="s">
        <v>1486</v>
      </c>
    </row>
    <row r="4" spans="1:2" x14ac:dyDescent="0.3">
      <c r="A4" s="12" t="s">
        <v>108</v>
      </c>
      <c r="B4" s="13">
        <v>6666875.9100000011</v>
      </c>
    </row>
    <row r="5" spans="1:2" x14ac:dyDescent="0.3">
      <c r="A5" s="12" t="s">
        <v>201</v>
      </c>
      <c r="B5" s="13">
        <v>14947911.590000002</v>
      </c>
    </row>
    <row r="6" spans="1:2" x14ac:dyDescent="0.3">
      <c r="A6" s="12" t="s">
        <v>155</v>
      </c>
      <c r="B6" s="13">
        <v>11721860.950000003</v>
      </c>
    </row>
    <row r="7" spans="1:2" x14ac:dyDescent="0.3">
      <c r="A7" s="12" t="s">
        <v>142</v>
      </c>
      <c r="B7" s="13">
        <v>9963335.679999996</v>
      </c>
    </row>
    <row r="8" spans="1:2" x14ac:dyDescent="0.3">
      <c r="A8" s="12" t="s">
        <v>320</v>
      </c>
      <c r="B8" s="13">
        <v>7947290.4199999999</v>
      </c>
    </row>
    <row r="9" spans="1:2" x14ac:dyDescent="0.3">
      <c r="A9" s="12" t="s">
        <v>70</v>
      </c>
      <c r="B9" s="13">
        <v>12780171.700000005</v>
      </c>
    </row>
    <row r="10" spans="1:2" x14ac:dyDescent="0.3">
      <c r="A10" s="12" t="s">
        <v>34</v>
      </c>
      <c r="B10" s="13">
        <v>7973229.0999999996</v>
      </c>
    </row>
    <row r="11" spans="1:2" x14ac:dyDescent="0.3">
      <c r="A11" s="12" t="s">
        <v>23</v>
      </c>
      <c r="B11" s="13">
        <v>11093188.33</v>
      </c>
    </row>
    <row r="12" spans="1:2" x14ac:dyDescent="0.3">
      <c r="A12" s="12" t="s">
        <v>158</v>
      </c>
      <c r="B12" s="13">
        <v>8636358.6400000006</v>
      </c>
    </row>
    <row r="13" spans="1:2" x14ac:dyDescent="0.3">
      <c r="A13" s="12" t="s">
        <v>82</v>
      </c>
      <c r="B13" s="13">
        <v>9519870.2699999996</v>
      </c>
    </row>
    <row r="14" spans="1:2" x14ac:dyDescent="0.3">
      <c r="A14" s="12" t="s">
        <v>1483</v>
      </c>
      <c r="B14" s="13">
        <v>101250092.59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B6B7-77D2-4E13-825E-3D6CF8AC387E}">
  <dimension ref="A3:B14"/>
  <sheetViews>
    <sheetView workbookViewId="0">
      <selection activeCell="B20" sqref="B20"/>
    </sheetView>
  </sheetViews>
  <sheetFormatPr defaultRowHeight="14.4" x14ac:dyDescent="0.3"/>
  <cols>
    <col min="1" max="1" width="12.5546875" bestFit="1" customWidth="1"/>
    <col min="2" max="2" width="23.33203125" bestFit="1" customWidth="1"/>
  </cols>
  <sheetData>
    <row r="3" spans="1:2" x14ac:dyDescent="0.3">
      <c r="A3" s="11" t="s">
        <v>1482</v>
      </c>
      <c r="B3" t="s">
        <v>1486</v>
      </c>
    </row>
    <row r="4" spans="1:2" x14ac:dyDescent="0.3">
      <c r="A4" s="12" t="s">
        <v>78</v>
      </c>
      <c r="B4" s="13">
        <v>10430947.809999999</v>
      </c>
    </row>
    <row r="5" spans="1:2" x14ac:dyDescent="0.3">
      <c r="A5" s="12" t="s">
        <v>111</v>
      </c>
      <c r="B5" s="13">
        <v>16066822.470000003</v>
      </c>
    </row>
    <row r="6" spans="1:2" x14ac:dyDescent="0.3">
      <c r="A6" s="12" t="s">
        <v>149</v>
      </c>
      <c r="B6" s="13">
        <v>12243548.030000003</v>
      </c>
    </row>
    <row r="7" spans="1:2" x14ac:dyDescent="0.3">
      <c r="A7" s="12" t="s">
        <v>56</v>
      </c>
      <c r="B7" s="13">
        <v>17445808.830000002</v>
      </c>
    </row>
    <row r="8" spans="1:2" x14ac:dyDescent="0.3">
      <c r="A8" s="12" t="s">
        <v>39</v>
      </c>
      <c r="B8" s="13">
        <v>13962835.790000007</v>
      </c>
    </row>
    <row r="9" spans="1:2" x14ac:dyDescent="0.3">
      <c r="A9" s="12" t="s">
        <v>48</v>
      </c>
      <c r="B9" s="13">
        <v>13201854.730000004</v>
      </c>
    </row>
    <row r="10" spans="1:2" x14ac:dyDescent="0.3">
      <c r="A10" s="12" t="s">
        <v>102</v>
      </c>
      <c r="B10" s="13">
        <v>12524527.000000004</v>
      </c>
    </row>
    <row r="11" spans="1:2" x14ac:dyDescent="0.3">
      <c r="A11" s="12" t="s">
        <v>29</v>
      </c>
      <c r="B11" s="13">
        <v>14286675.52</v>
      </c>
    </row>
    <row r="12" spans="1:2" x14ac:dyDescent="0.3">
      <c r="A12" s="12" t="s">
        <v>88</v>
      </c>
      <c r="B12" s="13">
        <v>15604592.59</v>
      </c>
    </row>
    <row r="13" spans="1:2" x14ac:dyDescent="0.3">
      <c r="A13" s="12" t="s">
        <v>159</v>
      </c>
      <c r="B13" s="13">
        <v>12293071.460000008</v>
      </c>
    </row>
    <row r="14" spans="1:2" x14ac:dyDescent="0.3">
      <c r="A14" s="12" t="s">
        <v>1483</v>
      </c>
      <c r="B14" s="13">
        <v>138060684.23000002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44E59-3B03-4233-A282-4EB6725A3A05}">
  <dimension ref="A1:C5"/>
  <sheetViews>
    <sheetView workbookViewId="0">
      <selection activeCell="L16" sqref="L16"/>
    </sheetView>
  </sheetViews>
  <sheetFormatPr defaultRowHeight="14.4" x14ac:dyDescent="0.3"/>
  <cols>
    <col min="1" max="1" width="13.88671875" customWidth="1"/>
    <col min="2" max="2" width="15.6640625" bestFit="1" customWidth="1"/>
    <col min="3" max="3" width="13.44140625" bestFit="1" customWidth="1"/>
  </cols>
  <sheetData>
    <row r="1" spans="1:3" x14ac:dyDescent="0.3">
      <c r="A1" t="s">
        <v>1491</v>
      </c>
      <c r="B1" t="s">
        <v>1493</v>
      </c>
      <c r="C1" t="s">
        <v>1492</v>
      </c>
    </row>
    <row r="2" spans="1:3" x14ac:dyDescent="0.3">
      <c r="A2" s="16">
        <v>41532136.320000008</v>
      </c>
      <c r="B2" s="16">
        <v>138060684.22999987</v>
      </c>
      <c r="C2" s="16">
        <v>160150387.14000008</v>
      </c>
    </row>
    <row r="5" spans="1:3" x14ac:dyDescent="0.3">
      <c r="B5" s="13"/>
    </row>
  </sheetData>
  <pageMargins left="0.7" right="0.7" top="0.75" bottom="0.75" header="0.3" footer="0.3"/>
  <pageSetup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Dataset</vt:lpstr>
      <vt:lpstr>Dashboard</vt:lpstr>
      <vt:lpstr>Revenue by region</vt:lpstr>
      <vt:lpstr>Revenue by monthly trend</vt:lpstr>
      <vt:lpstr>Sales by category</vt:lpstr>
      <vt:lpstr>Customer segment Revenue Share</vt:lpstr>
      <vt:lpstr>Profit Margin by Category</vt:lpstr>
      <vt:lpstr>Top 10 Products by revenue</vt:lpstr>
      <vt:lpstr>Top Sales reps by Revenue</vt:lpstr>
      <vt:lpstr>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bhoir</dc:creator>
  <cp:lastModifiedBy>harshal bhoir</cp:lastModifiedBy>
  <dcterms:created xsi:type="dcterms:W3CDTF">2026-06-16T11:10:01Z</dcterms:created>
  <dcterms:modified xsi:type="dcterms:W3CDTF">2026-07-19T11:21:09Z</dcterms:modified>
</cp:coreProperties>
</file>